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6.xml" ContentType="application/vnd.openxmlformats-officedocument.spreadsheetml.table+xml"/>
  <Override PartName="/xl/worksheets/sheet22.xml" ContentType="application/vnd.openxmlformats-officedocument.spreadsheetml.worksheet+xml"/>
  <Override PartName="/xl/tables/table17.xml" ContentType="application/vnd.openxmlformats-officedocument.spreadsheetml.table+xml"/>
  <Override PartName="/xl/worksheets/sheet23.xml" ContentType="application/vnd.openxmlformats-officedocument.spreadsheetml.worksheet+xml"/>
  <Override PartName="/xl/tables/table18.xml" ContentType="application/vnd.openxmlformats-officedocument.spreadsheetml.table+xml"/>
  <Override PartName="/xl/worksheets/sheet24.xml" ContentType="application/vnd.openxmlformats-officedocument.spreadsheetml.worksheet+xml"/>
  <Override PartName="/xl/tables/table19.xml" ContentType="application/vnd.openxmlformats-officedocument.spreadsheetml.table+xml"/>
  <Override PartName="/xl/worksheets/sheet25.xml" ContentType="application/vnd.openxmlformats-officedocument.spreadsheetml.worksheet+xml"/>
  <Override PartName="/xl/tables/table20.xml" ContentType="application/vnd.openxmlformats-officedocument.spreadsheetml.table+xml"/>
  <Override PartName="/xl/worksheets/sheet26.xml" ContentType="application/vnd.openxmlformats-officedocument.spreadsheetml.worksheet+xml"/>
  <Override PartName="/xl/tables/table21.xml" ContentType="application/vnd.openxmlformats-officedocument.spreadsheetml.table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a40be58cd47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ulatory_Calendar" sheetId="1" r:id="R5f1588269f2242cd"/>
    <x:sheet xmlns:r="http://schemas.openxmlformats.org/officeDocument/2006/relationships" name="Submission_Tracker" sheetId="2" r:id="R503c3ae2f6254768"/>
    <x:sheet xmlns:r="http://schemas.openxmlformats.org/officeDocument/2006/relationships" name="Regulator_Interactions" sheetId="3" r:id="R448fc984ab02407a"/>
    <x:sheet xmlns:r="http://schemas.openxmlformats.org/officeDocument/2006/relationships" name="Policy_Monitoring" sheetId="4" r:id="R9db6e87426b14c07"/>
    <x:sheet xmlns:r="http://schemas.openxmlformats.org/officeDocument/2006/relationships" name="Translation_Tracker" sheetId="5" r:id="R2b0fc6568bd248e8"/>
    <x:sheet xmlns:r="http://schemas.openxmlformats.org/officeDocument/2006/relationships" name="Reference_Lists" sheetId="6" r:id="Rf8efb300f41544a0"/>
    <x:sheet xmlns:r="http://schemas.openxmlformats.org/officeDocument/2006/relationships" name="Daily_Control_Tower" sheetId="7" r:id="Rc33de8779e794608"/>
    <x:sheet xmlns:r="http://schemas.openxmlformats.org/officeDocument/2006/relationships" name="Document_QC_Checklist" sheetId="8" r:id="Rfd203682e25a4ae0"/>
    <x:sheet xmlns:r="http://schemas.openxmlformats.org/officeDocument/2006/relationships" name="Regulator_CRM" sheetId="9" r:id="R3130ac0c4f974fe6"/>
    <x:sheet xmlns:r="http://schemas.openxmlformats.org/officeDocument/2006/relationships" name="Knowledge_Base" sheetId="10" r:id="R2cd9606206264a82"/>
    <x:sheet xmlns:r="http://schemas.openxmlformats.org/officeDocument/2006/relationships" name="Workflow_Engine" sheetId="11" r:id="R8842c72498ce4d15"/>
    <x:sheet xmlns:r="http://schemas.openxmlformats.org/officeDocument/2006/relationships" name="Regulatory_Obligation_Register" sheetId="12" r:id="Rcef819d3d2584ead"/>
    <x:sheet xmlns:r="http://schemas.openxmlformats.org/officeDocument/2006/relationships" name="Regulatory_Response_Tracker" sheetId="13" r:id="R525b8183ed3040f0"/>
    <x:sheet xmlns:r="http://schemas.openxmlformats.org/officeDocument/2006/relationships" name="Product_Approval_Command_Center" sheetId="14" r:id="R9a8d03925f2b4639"/>
    <x:sheet xmlns:r="http://schemas.openxmlformats.org/officeDocument/2006/relationships" name="Internal_Coordination_Tracker" sheetId="15" r:id="R78b6b03d860747e6"/>
    <x:sheet xmlns:r="http://schemas.openxmlformats.org/officeDocument/2006/relationships" name="Meeting_Intelligence" sheetId="16" r:id="R21e5fa4a2e45458d"/>
    <x:sheet xmlns:r="http://schemas.openxmlformats.org/officeDocument/2006/relationships" name="Inspection_Readiness" sheetId="17" r:id="R85eefae39f174565"/>
    <x:sheet xmlns:r="http://schemas.openxmlformats.org/officeDocument/2006/relationships" name="Data_Dictionary_User_Guide" sheetId="18" r:id="R3b4cb70773fc48d0"/>
    <x:sheet xmlns:r="http://schemas.openxmlformats.org/officeDocument/2006/relationships" name="SLA_Escalation_Rules" sheetId="19" r:id="R3d78602cc9474f48"/>
    <x:sheet xmlns:r="http://schemas.openxmlformats.org/officeDocument/2006/relationships" name="Email_Template_Generator" sheetId="20" r:id="Rf158c2448b464cc9"/>
    <x:sheet xmlns:r="http://schemas.openxmlformats.org/officeDocument/2006/relationships" name="Stakeholder_Intelligence" sheetId="21" r:id="Recad916be33e4ea5"/>
    <x:sheet xmlns:r="http://schemas.openxmlformats.org/officeDocument/2006/relationships" name="Regulatory_Early_Warning" sheetId="22" r:id="R6608b67eb64242f9"/>
    <x:sheet xmlns:r="http://schemas.openxmlformats.org/officeDocument/2006/relationships" name="Public_Affairs_KPI" sheetId="23" r:id="R589dbdb7a218431b"/>
    <x:sheet xmlns:r="http://schemas.openxmlformats.org/officeDocument/2006/relationships" name="Regional_Reporting" sheetId="24" r:id="R0c2a38b9ae1c401d"/>
    <x:sheet xmlns:r="http://schemas.openxmlformats.org/officeDocument/2006/relationships" name="Executive_Timeline" sheetId="25" r:id="R4fa8f59a01b14a25"/>
    <x:sheet xmlns:r="http://schemas.openxmlformats.org/officeDocument/2006/relationships" name="Relationship_Health" sheetId="26" r:id="R516ac0507c4a4f80"/>
    <x:sheet xmlns:r="http://schemas.openxmlformats.org/officeDocument/2006/relationships" name="Reputation_Monitor" sheetId="27" r:id="R58b7d09138074971"/>
    <x:sheet xmlns:r="http://schemas.openxmlformats.org/officeDocument/2006/relationships" name="Product_Approval_Forecast" sheetId="28" r:id="R61b6429e34a74471"/>
    <x:sheet xmlns:r="http://schemas.openxmlformats.org/officeDocument/2006/relationships" name="Political_Intelligence" sheetId="29" r:id="Rcab39d7327db4377"/>
    <x:sheet xmlns:r="http://schemas.openxmlformats.org/officeDocument/2006/relationships" name="Regulatory_Positions" sheetId="30" r:id="R05ff7f8cab7d483e"/>
    <x:sheet xmlns:r="http://schemas.openxmlformats.org/officeDocument/2006/relationships" name="Response_Quality" sheetId="31" r:id="Rb448093bd86b4afe"/>
    <x:sheet xmlns:r="http://schemas.openxmlformats.org/officeDocument/2006/relationships" name="Department_Operations" sheetId="32" r:id="R0f1cc9df318647ff"/>
    <x:sheet xmlns:r="http://schemas.openxmlformats.org/officeDocument/2006/relationships" name="Engagement_Lifecycle" sheetId="33" r:id="Re9d6c9f741f845a5"/>
    <x:sheet xmlns:r="http://schemas.openxmlformats.org/officeDocument/2006/relationships" name="Regional_Office_Requests" sheetId="34" r:id="Ra113137dff5d4dea"/>
    <x:sheet xmlns:r="http://schemas.openxmlformats.org/officeDocument/2006/relationships" name="Bilingual_Document_Control" sheetId="35" r:id="R4bcb4a7dbdda4991"/>
    <x:sheet xmlns:r="http://schemas.openxmlformats.org/officeDocument/2006/relationships" name="00_Read_Me" sheetId="36" r:id="R6d96fc9f9a3946a6"/>
    <x:sheet xmlns:r="http://schemas.openxmlformats.org/officeDocument/2006/relationships" name="01_Data_Catalog" sheetId="37" r:id="R7de2650198a14dc2"/>
    <x:sheet xmlns:r="http://schemas.openxmlformats.org/officeDocument/2006/relationships" name="02_Data_Quality" sheetId="38" r:id="Rf1409f94c9bb4f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yyyy-mm-dd h:mm:ss"/>
    <x:numFmt numFmtId="166" formatCode="0.0"/>
  </x:numFmts>
  <x:fonts count="1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06B3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b/>
      <x:sz val="15"/>
      <x:color rgb="FFFFFFFF"/>
      <x:name val="Carlito"/>
    </x:font>
    <x:font>
      <x:i/>
      <x:sz val="11"/>
      <x:color rgb="FF064E3B"/>
      <x:name val="Carlito"/>
    </x:font>
    <x:font>
      <x:b/>
      <x:sz val="11"/>
      <x:color rgb="FF17365D"/>
      <x:name val="Carlito"/>
    </x:font>
    <x:font>
      <x:b/>
      <x:sz val="11"/>
      <x:color rgb="FF0F172A"/>
      <x:name val="Carlito"/>
    </x:font>
    <x:font>
      <x:b/>
      <x:sz val="13"/>
      <x:color rgb="FFFFFFFF"/>
      <x:name val="Carlito"/>
    </x:font>
    <x:font>
      <x:b/>
      <x:sz val="16"/>
      <x:color rgb="FF155A7A"/>
    </x:font>
    <x:font>
      <x:b/>
      <x:color rgb="FFFFFFFF"/>
    </x:font>
  </x:fonts>
  <x:fills count="25">
    <x:fill>
      <x:patternFill patternType="none"/>
    </x:fill>
    <x:fill>
      <x:patternFill patternType="gray125"/>
    </x:fill>
    <x:fill>
      <x:patternFill patternType="solid">
        <x:fgColor rgb="FF006B3F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0F172A"/>
      </x:patternFill>
    </x:fill>
    <x:fill>
      <x:patternFill patternType="solid">
        <x:fgColor rgb="FF115E59"/>
      </x:patternFill>
    </x:fill>
    <x:fill>
      <x:patternFill patternType="solid">
        <x:fgColor rgb="FF0F766E"/>
      </x:patternFill>
    </x:fill>
    <x:fill>
      <x:patternFill patternType="solid">
        <x:fgColor rgb="FF0B1F3A"/>
      </x:patternFill>
    </x:fill>
    <x:fill>
      <x:patternFill patternType="solid">
        <x:fgColor rgb="FFE5E7EB"/>
      </x:patternFill>
    </x:fill>
    <x:fill>
      <x:patternFill patternType="solid">
        <x:fgColor rgb="FF064E3B"/>
      </x:patternFill>
    </x:fill>
    <x:fill>
      <x:patternFill patternType="solid">
        <x:fgColor rgb="FFE0F2F1"/>
      </x:patternFill>
    </x:fill>
    <x:fill>
      <x:patternFill patternType="solid">
        <x:fgColor rgb="FF0F766E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E0F2FE"/>
      </x:patternFill>
    </x:fill>
    <x:fill>
      <x:patternFill patternType="solid">
        <x:fgColor rgb="FF0B1F3A"/>
      </x:patternFill>
    </x:fill>
    <x:fill>
      <x:patternFill patternType="solid">
        <x:fgColor rgb="FF006341"/>
      </x:patternFill>
    </x:fill>
    <x:fill>
      <x:patternFill patternType="solid">
        <x:fgColor rgb="FF00A758"/>
      </x:patternFill>
    </x:fill>
    <x:fill>
      <x:patternFill patternType="solid">
        <x:fgColor rgb="FF0E4174"/>
      </x:patternFill>
    </x:fill>
    <x:fill>
      <x:patternFill patternType="solid">
        <x:fgColor rgb="FF155A7A"/>
      </x:patternFill>
    </x:fill>
    <x:fill>
      <x:patternFill patternType="solid">
        <x:fgColor rgb="FF14518A"/>
      </x:patternFill>
    </x:fill>
    <x:fill>
      <x:patternFill patternType="solid">
        <x:fgColor rgb="FFD9EAF2"/>
      </x:patternFill>
    </x:fill>
  </x:fills>
  <x:borders count="3">
    <x:border/>
    <x:border/>
    <x:border>
      <x:left style="thin">
        <x:color rgb="FFB7C9D3"/>
      </x:left>
      <x:right style="thin">
        <x:color rgb="FFB7C9D3"/>
      </x:right>
      <x:top style="thin">
        <x:color rgb="FFB7C9D3"/>
      </x:top>
      <x:bottom style="thin">
        <x:color rgb="FFB7C9D3"/>
      </x:bottom>
    </x:border>
  </x:borders>
  <x:cellStyleXfs count="1">
    <x:xf numFmtId="0" fontId="0" fillId="0" borderId="1"/>
  </x:cellStyleXfs>
  <x:cellXfs count="43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164" fontId="0" fillId="0" borderId="0" xfId="0" applyAlignment="1">
      <x:alignment wrapText="1"/>
    </x:xf>
    <x:xf numFmtId="164" fontId="0" fillId="0" borderId="1" xfId="0" applyAlignment="1">
      <x:alignment wrapText="1"/>
    </x:xf>
    <x:xf numFmtId="0" fontId="2" fillId="2" borderId="0" xfId="0"/>
    <x:xf numFmtId="0" fontId="2" fillId="2" borderId="0" xfId="0" applyAlignment="1">
      <x:alignment horizontal="center"/>
    </x:xf>
    <x:xf numFmtId="0" fontId="2" fillId="2" borderId="0" xfId="0" applyAlignment="1">
      <x:alignment horizontal="center" vertical="center"/>
    </x:xf>
    <x:xf numFmtId="0" fontId="2" fillId="2" borderId="1" xfId="0"/>
    <x:xf numFmtId="0" fontId="2" fillId="2" borderId="1" xfId="0" applyAlignment="1">
      <x:alignment horizontal="center"/>
    </x:xf>
    <x:xf numFmtId="0" fontId="2" fillId="2" borderId="1" xfId="0" applyAlignment="1">
      <x:alignment horizontal="center" vertical="center"/>
    </x:xf>
    <x:xf numFmtId="0" fontId="1" fillId="2" borderId="0" xfId="0" applyAlignment="1">
      <x:alignment horizontal="center"/>
    </x:xf>
    <x:xf numFmtId="0" fontId="1" fillId="2" borderId="1" xfId="0" applyAlignment="1">
      <x:alignment horizontal="center"/>
    </x:xf>
    <x:xf numFmtId="0" fontId="0" fillId="3" borderId="0" xfId="0"/>
    <x:xf numFmtId="0" fontId="3" fillId="3" borderId="0" xfId="0"/>
    <x:xf numFmtId="0" fontId="0" fillId="3" borderId="1" xfId="0"/>
    <x:xf numFmtId="0" fontId="3" fillId="3" borderId="1" xfId="0"/>
    <x:xf numFmtId="0" fontId="0" fillId="4" borderId="0" xfId="0"/>
    <x:xf numFmtId="0" fontId="4" fillId="4" borderId="0" xfId="0"/>
    <x:xf numFmtId="0" fontId="4" fillId="4" borderId="0" xfId="0" applyAlignment="1">
      <x:alignment wrapText="1"/>
    </x:xf>
    <x:xf numFmtId="0" fontId="0" fillId="4" borderId="1" xfId="0"/>
    <x:xf numFmtId="0" fontId="4" fillId="4" borderId="1" xfId="0"/>
    <x:xf numFmtId="0" fontId="4" fillId="4" borderId="1" xfId="0" applyAlignment="1">
      <x:alignment wrapText="1"/>
    </x:xf>
    <x:xf numFmtId="0" fontId="5" fillId="2" borderId="0" xfId="0"/>
    <x:xf numFmtId="0" fontId="5" fillId="2" borderId="0" xfId="0" applyAlignment="1">
      <x:alignment horizontal="center"/>
    </x:xf>
    <x:xf numFmtId="0" fontId="5" fillId="2" borderId="1" xfId="0"/>
    <x:xf numFmtId="0" fontId="5" fillId="2" borderId="1" xfId="0" applyAlignment="1">
      <x:alignment horizontal="center"/>
    </x:xf>
    <x:xf numFmtId="0" fontId="4" fillId="3" borderId="0" xfId="0"/>
    <x:xf numFmtId="0" fontId="4" fillId="3" borderId="1" xfId="0"/>
    <x:xf numFmtId="0" fontId="2" fillId="2" borderId="0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5" fillId="2" borderId="0" xfId="0" applyAlignment="1">
      <x:alignment horizontal="center" wrapText="1"/>
    </x:xf>
    <x:xf numFmtId="0" fontId="5" fillId="2" borderId="1" xfId="0" applyAlignment="1">
      <x:alignment horizontal="center" wrapText="1"/>
    </x:xf>
    <x:xf numFmtId="0" fontId="0" fillId="0" borderId="0" xfId="0"/>
    <x:xf numFmtId="0" fontId="0" fillId="5" borderId="0" xfId="0"/>
    <x:xf numFmtId="0" fontId="5" fillId="5" borderId="0" xfId="0"/>
    <x:xf numFmtId="0" fontId="5" fillId="5" borderId="0" xfId="0" applyAlignment="1">
      <x:alignment horizontal="center"/>
    </x:xf>
    <x:xf numFmtId="0" fontId="5" fillId="5" borderId="0" xfId="0" applyAlignment="1">
      <x:alignment horizontal="center" vertical="center"/>
    </x:xf>
    <x:xf numFmtId="0" fontId="0" fillId="6" borderId="0" xfId="0"/>
    <x:xf numFmtId="0" fontId="1" fillId="6" borderId="0" xfId="0"/>
    <x:xf numFmtId="0" fontId="1" fillId="6" borderId="0" xfId="0" applyAlignment="1">
      <x:alignment wrapText="1"/>
    </x:xf>
    <x:xf numFmtId="0" fontId="1" fillId="6" borderId="0" xfId="0" applyAlignment="1">
      <x:alignment horizontal="center" wrapText="1"/>
    </x:xf>
    <x:xf numFmtId="0" fontId="1" fillId="6" borderId="0" xfId="0" applyAlignment="1">
      <x:alignment horizontal="center" vertical="center" wrapText="1"/>
    </x:xf>
    <x:xf numFmtId="1" fontId="0" fillId="0" borderId="0" xfId="0"/>
    <x:xf numFmtId="164" fontId="0" fillId="0" borderId="0" xfId="0"/>
    <x:xf numFmtId="1" fontId="4" fillId="0" borderId="0" xfId="0"/>
    <x:xf numFmtId="1" fontId="4" fillId="0" borderId="0" xfId="0" applyAlignment="1">
      <x:alignment horizontal="center"/>
    </x:xf>
    <x:xf numFmtId="0" fontId="0" fillId="7" borderId="0" xfId="0"/>
    <x:xf numFmtId="0" fontId="1" fillId="7" borderId="0" xfId="0"/>
    <x:xf numFmtId="0" fontId="1" fillId="7" borderId="0" xfId="0" applyAlignment="1">
      <x:alignment wrapText="1"/>
    </x:xf>
    <x:xf numFmtId="0" fontId="0" fillId="8" borderId="0" xfId="0"/>
    <x:xf numFmtId="0" fontId="5" fillId="8" borderId="0" xfId="0"/>
    <x:xf numFmtId="0" fontId="5" fillId="8" borderId="0" xfId="0" applyAlignment="1">
      <x:alignment horizontal="center"/>
    </x:xf>
    <x:xf numFmtId="0" fontId="5" fillId="8" borderId="0" xfId="0" applyAlignment="1">
      <x:alignment horizontal="center" vertical="center"/>
    </x:xf>
    <x:xf numFmtId="0" fontId="0" fillId="9" borderId="0" xfId="0"/>
    <x:xf numFmtId="0" fontId="6" fillId="9" borderId="0" xfId="0"/>
    <x:xf numFmtId="0" fontId="6" fillId="9" borderId="0" xfId="0" applyAlignment="1">
      <x:alignment wrapText="1"/>
    </x:xf>
    <x:xf numFmtId="0" fontId="6" fillId="9" borderId="0" xfId="0" applyAlignment="1">
      <x:alignment horizontal="center" wrapText="1"/>
    </x:xf>
    <x:xf numFmtId="0" fontId="6" fillId="9" borderId="0" xfId="0" applyAlignment="1">
      <x:alignment horizontal="center" vertical="center" wrapText="1"/>
    </x:xf>
    <x:xf numFmtId="0" fontId="5" fillId="8" borderId="0" xfId="0" applyAlignment="1">
      <x:alignment horizontal="center" vertical="center" wrapText="1"/>
    </x:xf>
    <x:xf numFmtId="9" fontId="0" fillId="0" borderId="0" xfId="0" applyAlignment="1">
      <x:alignment wrapText="1"/>
    </x:xf>
    <x:xf numFmtId="1" fontId="0" fillId="0" borderId="0" xfId="0" applyAlignment="1">
      <x:alignment wrapText="1"/>
    </x:xf>
    <x:xf numFmtId="2" fontId="0" fillId="0" borderId="0" xfId="0" applyAlignment="1">
      <x:alignment wrapText="1"/>
    </x:xf>
    <x:xf numFmtId="0" fontId="0" fillId="10" borderId="0" xfId="0"/>
    <x:xf numFmtId="0" fontId="7" fillId="10" borderId="0" xfId="0"/>
    <x:xf numFmtId="0" fontId="7" fillId="10" borderId="0" xfId="0" applyAlignment="1">
      <x:alignment horizontal="center"/>
    </x:xf>
    <x:xf numFmtId="0" fontId="7" fillId="10" borderId="0" xfId="0" applyAlignment="1">
      <x:alignment horizontal="center" vertical="center"/>
    </x:xf>
    <x:xf numFmtId="0" fontId="0" fillId="11" borderId="0" xfId="0"/>
    <x:xf numFmtId="0" fontId="8" fillId="11" borderId="0" xfId="0"/>
    <x:xf numFmtId="0" fontId="8" fillId="11" borderId="0" xfId="0" applyAlignment="1">
      <x:alignment horizontal="center"/>
    </x:xf>
    <x:xf numFmtId="0" fontId="8" fillId="11" borderId="0" xfId="0" applyAlignment="1">
      <x:alignment horizontal="center" vertical="center"/>
    </x:xf>
    <x:xf numFmtId="0" fontId="0" fillId="12" borderId="0" xfId="0"/>
    <x:xf numFmtId="0" fontId="1" fillId="12" borderId="0" xfId="0"/>
    <x:xf numFmtId="0" fontId="1" fillId="12" borderId="0" xfId="0" applyAlignment="1">
      <x:alignment wrapText="1"/>
    </x:xf>
    <x:xf numFmtId="0" fontId="1" fillId="12" borderId="0" xfId="0" applyAlignment="1">
      <x:alignment horizontal="center" wrapText="1"/>
    </x:xf>
    <x:xf numFmtId="0" fontId="1" fillId="12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1" fontId="0" fillId="0" borderId="0" xfId="0" applyAlignment="1">
      <x:alignment vertical="top" wrapText="1"/>
    </x:xf>
    <x:xf numFmtId="0" fontId="7" fillId="10" borderId="0" xfId="0" applyAlignment="1">
      <x:alignment horizontal="center" vertical="center" wrapText="1"/>
    </x:xf>
    <x:xf numFmtId="0" fontId="7" fillId="10" borderId="0" xfId="0" applyAlignment="1">
      <x:alignment horizontal="center" vertical="top" wrapText="1"/>
    </x:xf>
    <x:xf numFmtId="0" fontId="1" fillId="7" borderId="0" xfId="0" applyAlignment="1">
      <x:alignment horizontal="center" wrapText="1"/>
    </x:xf>
    <x:xf numFmtId="0" fontId="1" fillId="7" borderId="0" xfId="0" applyAlignment="1">
      <x:alignment horizontal="center" vertical="center" wrapText="1"/>
    </x:xf>
    <x:xf numFmtId="0" fontId="0" fillId="13" borderId="0" xfId="0"/>
    <x:xf numFmtId="0" fontId="5" fillId="13" borderId="0" xfId="0"/>
    <x:xf numFmtId="0" fontId="5" fillId="13" borderId="0" xfId="0" applyAlignment="1">
      <x:alignment horizontal="center"/>
    </x:xf>
    <x:xf numFmtId="0" fontId="5" fillId="13" borderId="0" xfId="0" applyAlignment="1">
      <x:alignment horizontal="center" vertical="center"/>
    </x:xf>
    <x:xf numFmtId="0" fontId="0" fillId="14" borderId="0" xfId="0"/>
    <x:xf numFmtId="0" fontId="1" fillId="14" borderId="0" xfId="0"/>
    <x:xf numFmtId="0" fontId="1" fillId="14" borderId="0" xfId="0" applyAlignment="1">
      <x:alignment wrapText="1"/>
    </x:xf>
    <x:xf numFmtId="0" fontId="1" fillId="14" borderId="0" xfId="0" applyAlignment="1">
      <x:alignment horizontal="center" wrapText="1"/>
    </x:xf>
    <x:xf numFmtId="0" fontId="1" fillId="14" borderId="0" xfId="0" applyAlignment="1">
      <x:alignment horizontal="center" vertical="center" wrapText="1"/>
    </x:xf>
    <x:xf numFmtId="0" fontId="0" fillId="15" borderId="0" xfId="0"/>
    <x:xf numFmtId="0" fontId="9" fillId="15" borderId="0" xfId="0"/>
    <x:xf numFmtId="0" fontId="9" fillId="15" borderId="0" xfId="0" applyAlignment="1">
      <x:alignment wrapText="1"/>
    </x:xf>
    <x:xf numFmtId="0" fontId="0" fillId="16" borderId="0" xfId="0"/>
    <x:xf numFmtId="0" fontId="5" fillId="16" borderId="0" xfId="0"/>
    <x:xf numFmtId="0" fontId="5" fillId="16" borderId="0" xfId="0" applyAlignment="1">
      <x:alignment horizontal="left"/>
    </x:xf>
    <x:xf numFmtId="0" fontId="5" fillId="16" borderId="0" xfId="0" applyAlignment="1">
      <x:alignment horizontal="left" vertical="center"/>
    </x:xf>
    <x:xf numFmtId="0" fontId="0" fillId="17" borderId="0" xfId="0"/>
    <x:xf numFmtId="0" fontId="10" fillId="17" borderId="0" xfId="0"/>
    <x:xf numFmtId="0" fontId="10" fillId="17" borderId="0" xfId="0" applyAlignment="1">
      <x:alignment horizontal="left"/>
    </x:xf>
    <x:xf numFmtId="0" fontId="10" fillId="17" borderId="0" xfId="0" applyAlignment="1">
      <x:alignment horizontal="left" vertical="center"/>
    </x:xf>
    <x:xf numFmtId="0" fontId="0" fillId="18" borderId="0" xfId="0"/>
    <x:xf numFmtId="0" fontId="1" fillId="18" borderId="0" xfId="0"/>
    <x:xf numFmtId="0" fontId="1" fillId="18" borderId="0" xfId="0" applyAlignment="1">
      <x:alignment horizontal="center"/>
    </x:xf>
    <x:xf numFmtId="0" fontId="1" fillId="18" borderId="0" xfId="0" applyAlignment="1">
      <x:alignment horizontal="center" vertical="center"/>
    </x:xf>
    <x:xf numFmtId="0" fontId="5" fillId="16" borderId="0" xfId="0" applyAlignment="1">
      <x:alignment horizontal="left" vertical="center" wrapText="1"/>
    </x:xf>
    <x:xf numFmtId="0" fontId="10" fillId="17" borderId="0" xfId="0" applyAlignment="1">
      <x:alignment horizontal="left" vertical="center" wrapText="1"/>
    </x:xf>
    <x:xf numFmtId="0" fontId="1" fillId="18" borderId="0" xfId="0" applyAlignment="1">
      <x:alignment horizontal="center" vertical="center" wrapText="1"/>
    </x:xf>
    <x:xf numFmtId="0" fontId="0" fillId="18" borderId="0" xfId="0" applyAlignment="1">
      <x:alignment wrapText="1"/>
    </x:xf>
    <x:xf numFmtId="0" fontId="1" fillId="18" borderId="0" xfId="0" applyAlignment="1">
      <x:alignment wrapText="1"/>
    </x:xf>
    <x:xf numFmtId="0" fontId="1" fillId="18" borderId="0" xfId="0" applyAlignment="1">
      <x:alignment horizontal="center" wrapText="1"/>
    </x:xf>
    <x:xf numFmtId="164" fontId="0" fillId="0" borderId="0" xfId="0" applyAlignment="1">
      <x:alignment wrapText="1"/>
    </x:xf>
    <x:xf numFmtId="0" fontId="1" fillId="2" borderId="0" xfId="0" applyAlignment="1">
      <x:alignment horizontal="center" vertical="top" wrapText="1"/>
    </x:xf>
    <x:xf numFmtId="165" fontId="0" fillId="0" borderId="0" xfId="0" applyAlignment="1">
      <x:alignment vertical="top" wrapText="1"/>
    </x:xf>
    <x:xf numFmtId="0" fontId="5" fillId="5" borderId="1" xfId="0" applyAlignment="1">
      <x:alignment horizontal="center" vertical="center"/>
    </x:xf>
    <x:xf numFmtId="1" fontId="4" fillId="0" borderId="0" xfId="0" applyAlignment="1">
      <x:alignment horizontal="center"/>
    </x:xf>
    <x:xf numFmtId="164" fontId="0" fillId="0" borderId="0" xfId="0"/>
    <x:xf numFmtId="1" fontId="0" fillId="0" borderId="0" xfId="0"/>
    <x:xf numFmtId="0" fontId="5" fillId="5" borderId="1" xfId="0" applyAlignment="1">
      <x:alignment horizontal="center" vertical="top" wrapText="1"/>
    </x:xf>
    <x:xf numFmtId="0" fontId="0" fillId="0" borderId="1" xfId="0" applyAlignment="1">
      <x:alignment vertical="top" wrapText="1"/>
    </x:xf>
    <x:xf numFmtId="0" fontId="1" fillId="6" borderId="0" xfId="0" applyAlignment="1">
      <x:alignment horizontal="center" vertical="top" wrapText="1"/>
    </x:xf>
    <x:xf numFmtId="0" fontId="5" fillId="8" borderId="1" xfId="0" applyAlignment="1">
      <x:alignment horizontal="center" vertical="top" wrapText="1"/>
    </x:xf>
    <x:xf numFmtId="0" fontId="6" fillId="9" borderId="0" xfId="0" applyAlignment="1">
      <x:alignment horizontal="center" vertical="top" wrapText="1"/>
    </x:xf>
    <x:xf numFmtId="0" fontId="5" fillId="8" borderId="1" xfId="0" applyAlignment="1">
      <x:alignment horizontal="center" vertical="center" wrapText="1"/>
    </x:xf>
    <x:xf numFmtId="1" fontId="0" fillId="0" borderId="0" xfId="0" applyAlignment="1">
      <x:alignment wrapText="1"/>
    </x:xf>
    <x:xf numFmtId="9" fontId="0" fillId="0" borderId="0" xfId="0" applyAlignment="1">
      <x:alignment wrapText="1"/>
    </x:xf>
    <x:xf numFmtId="0" fontId="7" fillId="10" borderId="1" xfId="0" applyAlignment="1">
      <x:alignment horizontal="center" vertical="top" wrapText="1"/>
    </x:xf>
    <x:xf numFmtId="0" fontId="8" fillId="11" borderId="1" xfId="0" applyAlignment="1">
      <x:alignment horizontal="center" vertical="center"/>
    </x:xf>
    <x:xf numFmtId="164" fontId="0" fillId="0" borderId="0" xfId="0" applyAlignment="1">
      <x:alignment vertical="top" wrapText="1"/>
    </x:xf>
    <x:xf numFmtId="1" fontId="0" fillId="0" borderId="0" xfId="0" applyAlignment="1">
      <x:alignment vertical="top" wrapText="1"/>
    </x:xf>
    <x:xf numFmtId="0" fontId="8" fillId="11" borderId="1" xfId="0" applyAlignment="1">
      <x:alignment horizontal="center" vertical="top" wrapText="1"/>
    </x:xf>
    <x:xf numFmtId="0" fontId="1" fillId="12" borderId="0" xfId="0" applyAlignment="1">
      <x:alignment horizontal="center" vertical="top" wrapText="1"/>
    </x:xf>
    <x:xf numFmtId="0" fontId="5" fillId="13" borderId="1" xfId="0" applyAlignment="1">
      <x:alignment horizontal="center" vertical="center"/>
    </x:xf>
    <x:xf numFmtId="0" fontId="5" fillId="16" borderId="1" xfId="0" applyAlignment="1">
      <x:alignment horizontal="left" vertical="center" wrapText="1"/>
    </x:xf>
    <x:xf numFmtId="0" fontId="10" fillId="17" borderId="1" xfId="0" applyAlignment="1">
      <x:alignment horizontal="left" vertical="center" wrapText="1"/>
    </x:xf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2" fillId="2" borderId="0" xfId="0"/>
    <x:xf numFmtId="0" fontId="2" fillId="2" borderId="0" xfId="0" applyAlignment="1">
      <x:alignment horizontal="center"/>
    </x:xf>
    <x:xf numFmtId="0" fontId="2" fillId="2" borderId="0" xfId="0" applyAlignment="1">
      <x:alignment horizontal="center" vertical="center"/>
    </x:xf>
    <x:xf numFmtId="0" fontId="1" fillId="2" borderId="0" xfId="0" applyAlignment="1">
      <x:alignment horizontal="center"/>
    </x:xf>
    <x:xf numFmtId="0" fontId="0" fillId="3" borderId="0" xfId="0"/>
    <x:xf numFmtId="0" fontId="3" fillId="3" borderId="0" xfId="0"/>
    <x:xf numFmtId="0" fontId="0" fillId="4" borderId="0" xfId="0"/>
    <x:xf numFmtId="0" fontId="4" fillId="4" borderId="0" xfId="0"/>
    <x:xf numFmtId="0" fontId="4" fillId="4" borderId="0" xfId="0" applyAlignment="1">
      <x:alignment wrapText="1"/>
    </x:xf>
    <x:xf numFmtId="0" fontId="5" fillId="2" borderId="0" xfId="0"/>
    <x:xf numFmtId="0" fontId="5" fillId="2" borderId="0" xfId="0" applyAlignment="1">
      <x:alignment horizontal="center"/>
    </x:xf>
    <x:xf numFmtId="0" fontId="4" fillId="3" borderId="0" xfId="0"/>
    <x:xf numFmtId="0" fontId="2" fillId="2" borderId="0" xfId="0" applyAlignment="1">
      <x:alignment horizontal="center" vertical="center" wrapText="1"/>
    </x:xf>
    <x:xf numFmtId="0" fontId="5" fillId="2" borderId="0" xfId="0" applyAlignment="1">
      <x:alignment horizontal="center" wrapText="1"/>
    </x:xf>
    <x:xf numFmtId="0" fontId="0" fillId="5" borderId="0" xfId="0"/>
    <x:xf numFmtId="0" fontId="5" fillId="5" borderId="0" xfId="0"/>
    <x:xf numFmtId="0" fontId="5" fillId="5" borderId="0" xfId="0" applyAlignment="1">
      <x:alignment horizontal="center"/>
    </x:xf>
    <x:xf numFmtId="0" fontId="5" fillId="5" borderId="0" xfId="0" applyAlignment="1">
      <x:alignment horizontal="center" vertical="center"/>
    </x:xf>
    <x:xf numFmtId="0" fontId="0" fillId="6" borderId="0" xfId="0"/>
    <x:xf numFmtId="0" fontId="1" fillId="6" borderId="0" xfId="0"/>
    <x:xf numFmtId="0" fontId="1" fillId="6" borderId="0" xfId="0" applyAlignment="1">
      <x:alignment wrapText="1"/>
    </x:xf>
    <x:xf numFmtId="0" fontId="1" fillId="6" borderId="0" xfId="0" applyAlignment="1">
      <x:alignment horizontal="center" wrapText="1"/>
    </x:xf>
    <x:xf numFmtId="0" fontId="1" fillId="6" borderId="0" xfId="0" applyAlignment="1">
      <x:alignment horizontal="center" vertical="center" wrapText="1"/>
    </x:xf>
    <x:xf numFmtId="1" fontId="0" fillId="0" borderId="0" xfId="0"/>
    <x:xf numFmtId="164" fontId="0" fillId="0" borderId="0" xfId="0"/>
    <x:xf numFmtId="1" fontId="4" fillId="0" borderId="0" xfId="0"/>
    <x:xf numFmtId="1" fontId="4" fillId="0" borderId="0" xfId="0" applyAlignment="1">
      <x:alignment horizontal="center"/>
    </x:xf>
    <x:xf numFmtId="0" fontId="0" fillId="7" borderId="0" xfId="0"/>
    <x:xf numFmtId="0" fontId="1" fillId="7" borderId="0" xfId="0"/>
    <x:xf numFmtId="0" fontId="1" fillId="7" borderId="0" xfId="0" applyAlignment="1">
      <x:alignment wrapText="1"/>
    </x:xf>
    <x:xf numFmtId="0" fontId="0" fillId="8" borderId="0" xfId="0"/>
    <x:xf numFmtId="0" fontId="5" fillId="8" borderId="0" xfId="0"/>
    <x:xf numFmtId="0" fontId="5" fillId="8" borderId="0" xfId="0" applyAlignment="1">
      <x:alignment horizontal="center"/>
    </x:xf>
    <x:xf numFmtId="0" fontId="5" fillId="8" borderId="0" xfId="0" applyAlignment="1">
      <x:alignment horizontal="center" vertical="center"/>
    </x:xf>
    <x:xf numFmtId="0" fontId="0" fillId="9" borderId="0" xfId="0"/>
    <x:xf numFmtId="0" fontId="6" fillId="9" borderId="0" xfId="0"/>
    <x:xf numFmtId="0" fontId="6" fillId="9" borderId="0" xfId="0" applyAlignment="1">
      <x:alignment wrapText="1"/>
    </x:xf>
    <x:xf numFmtId="0" fontId="6" fillId="9" borderId="0" xfId="0" applyAlignment="1">
      <x:alignment horizontal="center" wrapText="1"/>
    </x:xf>
    <x:xf numFmtId="0" fontId="6" fillId="9" borderId="0" xfId="0" applyAlignment="1">
      <x:alignment horizontal="center" vertical="center" wrapText="1"/>
    </x:xf>
    <x:xf numFmtId="0" fontId="5" fillId="8" borderId="0" xfId="0" applyAlignment="1">
      <x:alignment horizontal="center" vertical="center" wrapText="1"/>
    </x:xf>
    <x:xf numFmtId="9" fontId="0" fillId="0" borderId="0" xfId="0" applyAlignment="1">
      <x:alignment wrapText="1"/>
    </x:xf>
    <x:xf numFmtId="1" fontId="0" fillId="0" borderId="0" xfId="0" applyAlignment="1">
      <x:alignment wrapText="1"/>
    </x:xf>
    <x:xf numFmtId="2" fontId="0" fillId="0" borderId="0" xfId="0" applyAlignment="1">
      <x:alignment wrapText="1"/>
    </x:xf>
    <x:xf numFmtId="0" fontId="0" fillId="10" borderId="0" xfId="0"/>
    <x:xf numFmtId="0" fontId="7" fillId="10" borderId="0" xfId="0"/>
    <x:xf numFmtId="0" fontId="7" fillId="10" borderId="0" xfId="0" applyAlignment="1">
      <x:alignment horizontal="center"/>
    </x:xf>
    <x:xf numFmtId="0" fontId="7" fillId="10" borderId="0" xfId="0" applyAlignment="1">
      <x:alignment horizontal="center" vertical="center"/>
    </x:xf>
    <x:xf numFmtId="0" fontId="0" fillId="11" borderId="0" xfId="0"/>
    <x:xf numFmtId="0" fontId="8" fillId="11" borderId="0" xfId="0"/>
    <x:xf numFmtId="0" fontId="8" fillId="11" borderId="0" xfId="0" applyAlignment="1">
      <x:alignment horizontal="center"/>
    </x:xf>
    <x:xf numFmtId="0" fontId="8" fillId="11" borderId="0" xfId="0" applyAlignment="1">
      <x:alignment horizontal="center" vertical="center"/>
    </x:xf>
    <x:xf numFmtId="0" fontId="1" fillId="7" borderId="0" xfId="0" applyAlignment="1">
      <x:alignment horizontal="center" wrapText="1"/>
    </x:xf>
    <x:xf numFmtId="0" fontId="1" fillId="7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1" fontId="0" fillId="0" borderId="0" xfId="0" applyAlignment="1">
      <x:alignment vertical="top" wrapText="1"/>
    </x:xf>
    <x:xf numFmtId="0" fontId="7" fillId="10" borderId="0" xfId="0" applyAlignment="1">
      <x:alignment horizontal="center" vertical="center" wrapText="1"/>
    </x:xf>
    <x:xf numFmtId="0" fontId="7" fillId="10" borderId="0" xfId="0" applyAlignment="1">
      <x:alignment horizontal="center" vertical="top" wrapText="1"/>
    </x:xf>
    <x:xf numFmtId="0" fontId="0" fillId="13" borderId="0" xfId="0"/>
    <x:xf numFmtId="0" fontId="5" fillId="13" borderId="0" xfId="0"/>
    <x:xf numFmtId="0" fontId="5" fillId="13" borderId="0" xfId="0" applyAlignment="1">
      <x:alignment horizontal="center"/>
    </x:xf>
    <x:xf numFmtId="0" fontId="5" fillId="13" borderId="0" xfId="0" applyAlignment="1">
      <x:alignment horizontal="center" vertical="center"/>
    </x:xf>
    <x:xf numFmtId="0" fontId="0" fillId="14" borderId="0" xfId="0"/>
    <x:xf numFmtId="0" fontId="1" fillId="14" borderId="0" xfId="0"/>
    <x:xf numFmtId="0" fontId="1" fillId="14" borderId="0" xfId="0" applyAlignment="1">
      <x:alignment wrapText="1"/>
    </x:xf>
    <x:xf numFmtId="0" fontId="1" fillId="14" borderId="0" xfId="0" applyAlignment="1">
      <x:alignment horizontal="center" wrapText="1"/>
    </x:xf>
    <x:xf numFmtId="0" fontId="1" fillId="14" borderId="0" xfId="0" applyAlignment="1">
      <x:alignment horizontal="center" vertical="center" wrapText="1"/>
    </x:xf>
    <x:xf numFmtId="0" fontId="0" fillId="15" borderId="0" xfId="0"/>
    <x:xf numFmtId="0" fontId="9" fillId="15" borderId="0" xfId="0"/>
    <x:xf numFmtId="0" fontId="9" fillId="15" borderId="0" xfId="0" applyAlignment="1">
      <x:alignment wrapText="1"/>
    </x:xf>
    <x:xf numFmtId="0" fontId="5" fillId="7" borderId="0" xfId="0"/>
    <x:xf numFmtId="0" fontId="5" fillId="7" borderId="0" xfId="0" applyAlignment="1">
      <x:alignment horizontal="left"/>
    </x:xf>
    <x:xf numFmtId="0" fontId="5" fillId="7" borderId="0" xfId="0" applyAlignment="1">
      <x:alignment horizontal="left" vertical="center"/>
    </x:xf>
    <x:xf numFmtId="0" fontId="0" fillId="17" borderId="0" xfId="0"/>
    <x:xf numFmtId="0" fontId="10" fillId="17" borderId="0" xfId="0"/>
    <x:xf numFmtId="0" fontId="10" fillId="17" borderId="0" xfId="0" applyAlignment="1">
      <x:alignment horizontal="left"/>
    </x:xf>
    <x:xf numFmtId="0" fontId="10" fillId="17" borderId="0" xfId="0" applyAlignment="1">
      <x:alignment horizontal="left" vertical="center"/>
    </x:xf>
    <x:xf numFmtId="0" fontId="1" fillId="8" borderId="0" xfId="0"/>
    <x:xf numFmtId="0" fontId="1" fillId="8" borderId="0" xfId="0" applyAlignment="1">
      <x:alignment horizontal="center"/>
    </x:xf>
    <x:xf numFmtId="0" fontId="1" fillId="8" borderId="0" xfId="0" applyAlignment="1">
      <x:alignment horizontal="center" vertical="center"/>
    </x:xf>
    <x:xf numFmtId="0" fontId="5" fillId="7" borderId="0" xfId="0" applyAlignment="1">
      <x:alignment horizontal="left" vertical="center" wrapText="1"/>
    </x:xf>
    <x:xf numFmtId="0" fontId="10" fillId="17" borderId="0" xfId="0" applyAlignment="1">
      <x:alignment horizontal="left" vertical="center" wrapText="1"/>
    </x:xf>
    <x:xf numFmtId="0" fontId="1" fillId="8" borderId="0" xfId="0" applyAlignment="1">
      <x:alignment horizontal="center" vertical="center" wrapText="1"/>
    </x:xf>
    <x:xf numFmtId="0" fontId="0" fillId="8" borderId="0" xfId="0" applyAlignment="1">
      <x:alignment wrapText="1"/>
    </x:xf>
    <x:xf numFmtId="0" fontId="1" fillId="8" borderId="0" xfId="0" applyAlignment="1">
      <x:alignment wrapText="1"/>
    </x:xf>
    <x:xf numFmtId="0" fontId="1" fillId="8" borderId="0" xfId="0" applyAlignment="1">
      <x:alignment horizontal="center" wrapText="1"/>
    </x:xf>
    <x:xf numFmtId="0" fontId="1" fillId="2" borderId="0" xfId="0" applyAlignment="1">
      <x:alignment horizontal="center" vertical="top" wrapText="1"/>
    </x:xf>
    <x:xf numFmtId="165" fontId="0" fillId="0" borderId="0" xfId="0" applyAlignment="1">
      <x:alignment vertical="top" wrapText="1"/>
    </x:xf>
    <x:xf numFmtId="0" fontId="5" fillId="5" borderId="0" xfId="0" applyAlignment="1">
      <x:alignment horizontal="center" vertical="top" wrapText="1"/>
    </x:xf>
    <x:xf numFmtId="0" fontId="1" fillId="6" borderId="0" xfId="0" applyAlignment="1">
      <x:alignment horizontal="center" vertical="top" wrapText="1"/>
    </x:xf>
    <x:xf numFmtId="0" fontId="5" fillId="8" borderId="0" xfId="0" applyAlignment="1">
      <x:alignment horizontal="center" vertical="top" wrapText="1"/>
    </x:xf>
    <x:xf numFmtId="0" fontId="6" fillId="9" borderId="0" xfId="0" applyAlignment="1">
      <x:alignment horizontal="center" vertical="top" wrapText="1"/>
    </x:xf>
    <x:xf numFmtId="0" fontId="8" fillId="11" borderId="0" xfId="0" applyAlignment="1">
      <x:alignment horizontal="center" vertical="top" wrapText="1"/>
    </x:xf>
    <x:xf numFmtId="0" fontId="1" fillId="7" borderId="0" xfId="0" applyAlignment="1">
      <x:alignment horizontal="center" vertical="top" wrapText="1"/>
    </x:xf>
    <x:xf numFmtId="0" fontId="0" fillId="19" borderId="0" xfId="0"/>
    <x:xf numFmtId="0" fontId="5" fillId="19" borderId="0" xfId="0"/>
    <x:xf numFmtId="0" fontId="5" fillId="19" borderId="0" xfId="0" applyAlignment="1">
      <x:alignment horizontal="center"/>
    </x:xf>
    <x:xf numFmtId="0" fontId="5" fillId="19" borderId="0" xfId="0" applyAlignment="1">
      <x:alignment horizontal="center" vertical="center"/>
    </x:xf>
    <x:xf numFmtId="0" fontId="0" fillId="20" borderId="0" xfId="0"/>
    <x:xf numFmtId="0" fontId="1" fillId="20" borderId="0" xfId="0"/>
    <x:xf numFmtId="0" fontId="1" fillId="20" borderId="0" xfId="0" applyAlignment="1">
      <x:alignment wrapText="1"/>
    </x:xf>
    <x:xf numFmtId="0" fontId="1" fillId="20" borderId="0" xfId="0" applyAlignment="1">
      <x:alignment horizontal="center" wrapText="1"/>
    </x:xf>
    <x:xf numFmtId="0" fontId="1" fillId="20" borderId="0" xfId="0" applyAlignment="1">
      <x:alignment horizontal="center" vertical="center" wrapText="1"/>
    </x:xf>
    <x:xf numFmtId="166" fontId="0" fillId="0" borderId="0" xfId="0" applyAlignment="1">
      <x:alignment vertical="top" wrapText="1"/>
    </x:xf>
    <x:xf numFmtId="0" fontId="2" fillId="19" borderId="0" xfId="0"/>
    <x:xf numFmtId="0" fontId="2" fillId="19" borderId="0" xfId="0" applyAlignment="1">
      <x:alignment horizontal="center"/>
    </x:xf>
    <x:xf numFmtId="0" fontId="2" fillId="19" borderId="0" xfId="0" applyAlignment="1">
      <x:alignment horizontal="center" vertical="center"/>
    </x:xf>
    <x:xf numFmtId="166" fontId="0" fillId="0" borderId="0" xfId="0"/>
    <x:xf numFmtId="0" fontId="1" fillId="20" borderId="0" xfId="0"/>
    <x:xf numFmtId="0" fontId="0" fillId="0" borderId="0" xfId="0"/>
    <x:xf numFmtId="166" fontId="0" fillId="0" borderId="0" xfId="0"/>
    <x:xf numFmtId="0" fontId="0" fillId="21" borderId="0" xfId="0"/>
    <x:xf numFmtId="0" fontId="11" fillId="21" borderId="0" xfId="0"/>
    <x:xf numFmtId="0" fontId="11" fillId="21" borderId="0" xfId="0" applyAlignment="1">
      <x:alignment horizontal="center"/>
    </x:xf>
    <x:xf numFmtId="0" fontId="1" fillId="20" borderId="0" xfId="0" applyAlignment="1">
      <x:alignment wrapText="1"/>
    </x:xf>
    <x:xf numFmtId="0" fontId="0" fillId="0" borderId="0" xfId="0" applyAlignment="1">
      <x:alignment wrapText="1"/>
    </x:xf>
    <x:xf numFmtId="0" fontId="2" fillId="19" borderId="0" xfId="0" applyAlignment="1">
      <x:alignment horizontal="center" vertical="top"/>
    </x:xf>
    <x:xf numFmtId="0" fontId="0" fillId="0" borderId="0" xfId="0" applyAlignment="1">
      <x:alignment vertical="top"/>
    </x:xf>
    <x:xf numFmtId="0" fontId="1" fillId="20" borderId="0" xfId="0" applyAlignment="1">
      <x:alignment vertical="top"/>
    </x:xf>
    <x:xf numFmtId="0" fontId="0" fillId="0" borderId="0" xfId="0" applyAlignment="1">
      <x:alignment vertical="top"/>
    </x:xf>
    <x:xf numFmtId="166" fontId="0" fillId="0" borderId="0" xfId="0" applyAlignment="1">
      <x:alignment vertical="top"/>
    </x:xf>
    <x:xf numFmtId="0" fontId="11" fillId="21" borderId="0" xfId="0" applyAlignment="1">
      <x:alignment horizontal="center" vertical="top"/>
    </x:xf>
    <x:xf numFmtId="0" fontId="1" fillId="2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20" borderId="0" xfId="0" applyAlignment="1">
      <x:alignment vertical="top"/>
    </x:xf>
    <x:xf numFmtId="0" fontId="1" fillId="20" borderId="0" xfId="0" applyAlignment="1">
      <x:alignment vertical="top"/>
    </x:xf>
    <x:xf numFmtId="0" fontId="12" fillId="0" borderId="1" xfId="0"/>
    <x:xf numFmtId="0" fontId="13" fillId="22" borderId="2" xfId="0"/>
    <x:xf numFmtId="0" fontId="0" fillId="0" borderId="2" xfId="0" applyAlignment="1">
      <x:alignment vertical="top" wrapText="1"/>
    </x:xf>
    <x:xf numFmtId="0" fontId="13" fillId="22" borderId="2" xfId="0" applyAlignment="1">
      <x:alignment vertical="top" wrapText="1"/>
    </x:xf>
    <x:xf numFmtId="0" fontId="5" fillId="19" borderId="1" xfId="0" applyAlignment="1">
      <x:alignment horizontal="center" vertical="center"/>
    </x:xf>
    <x:xf numFmtId="166" fontId="0" fillId="0" borderId="0" xfId="0" applyAlignment="1">
      <x:alignment vertical="top" wrapText="1"/>
    </x:xf>
    <x:xf numFmtId="0" fontId="2" fillId="19" borderId="1" xfId="0" applyAlignment="1">
      <x:alignment horizontal="center" vertical="top"/>
    </x:xf>
    <x:xf numFmtId="166" fontId="0" fillId="0" borderId="0" xfId="0" applyAlignment="1">
      <x:alignment vertical="top"/>
    </x:xf>
    <x:xf numFmtId="0" fontId="11" fillId="21" borderId="1" xfId="0" applyAlignment="1">
      <x:alignment horizontal="center" vertical="top"/>
    </x:xf>
    <x:xf numFmtId="0" fontId="13" fillId="22" borderId="2" xfId="0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1" fontId="0" fillId="0" borderId="0" xfId="0" applyNumberFormat="1" applyFont="1" applyFill="1" applyBorder="1"/>
    <x:xf numFmtId="164" fontId="0" fillId="0" borderId="0" xfId="0" applyNumberFormat="1" applyFont="1" applyFill="1" applyBorder="1"/>
    <x:xf numFmtId="1" fontId="4" fillId="0" borderId="0" xfId="0" applyNumberFormat="1" applyFont="1" applyFill="1" applyBorder="1"/>
    <x:xf numFmtId="1" fontId="4" fillId="0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9" fontId="0" fillId="0" borderId="0" xfId="0" applyNumberFormat="1" applyFont="1" applyFill="1" applyBorder="1" applyAlignment="1">
      <x:alignment wrapText="1"/>
    </x:xf>
    <x:xf numFmtId="1" fontId="0" fillId="0" borderId="0" xfId="0" applyNumberFormat="1" applyFont="1" applyFill="1" applyBorder="1" applyAlignment="1">
      <x:alignment wrapText="1"/>
    </x:xf>
    <x:xf numFmtId="2" fontId="0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center"/>
    </x:xf>
    <x:xf numFmtId="0" fontId="8" fillId="11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  <x:xf numFmtId="1" fontId="0" fillId="0" borderId="0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7" fillId="10" borderId="0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horizontal="center"/>
    </x:xf>
    <x:xf numFmtId="0" fontId="5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0" xfId="0" applyNumberFormat="1" applyFont="1" applyFill="1" applyBorder="1" applyAlignment="1">
      <x:alignment horizontal="left"/>
    </x:xf>
    <x:xf numFmtId="0" fontId="10" fillId="17" borderId="0" xfId="0" applyNumberFormat="1" applyFont="1" applyFill="1" applyBorder="1" applyAlignment="1">
      <x:alignment horizontal="left" vertical="center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horizontal="left" vertical="center" wrapText="1"/>
    </x:xf>
    <x:xf numFmtId="0" fontId="10" fillId="17" borderId="0" xfId="0" applyNumberFormat="1" applyFont="1" applyFill="1" applyBorder="1" applyAlignment="1">
      <x:alignment horizontal="left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165" fontId="0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5" fillId="8" borderId="0" xfId="0" applyNumberFormat="1" applyFont="1" applyFill="1" applyBorder="1" applyAlignment="1">
      <x:alignment horizontal="center"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8" fillId="11" borderId="0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0" fillId="19" borderId="0" xfId="0" applyNumberFormat="1" applyFont="1" applyFill="1" applyBorder="1"/>
    <x:xf numFmtId="0" fontId="5" fillId="19" borderId="0" xfId="0" applyNumberFormat="1" applyFont="1" applyFill="1" applyBorder="1"/>
    <x:xf numFmtId="0" fontId="5" fillId="19" borderId="0" xfId="0" applyNumberFormat="1" applyFont="1" applyFill="1" applyBorder="1" applyAlignment="1">
      <x:alignment horizontal="center"/>
    </x:xf>
    <x:xf numFmtId="0" fontId="5" fillId="19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0" fontId="1" fillId="20" borderId="0" xfId="0" applyNumberFormat="1" applyFont="1" applyFill="1" applyBorder="1" applyAlignment="1">
      <x:alignment horizontal="center" wrapText="1"/>
    </x:xf>
    <x:xf numFmtId="0" fontId="1" fillId="20" borderId="0" xfId="0" applyNumberFormat="1" applyFont="1" applyFill="1" applyBorder="1" applyAlignment="1">
      <x:alignment horizontal="center" vertical="center" wrapText="1"/>
    </x:xf>
    <x:xf numFmtId="166" fontId="0" fillId="0" borderId="0" xfId="0" applyNumberFormat="1" applyFont="1" applyFill="1" applyBorder="1" applyAlignment="1">
      <x:alignment vertical="top" wrapText="1"/>
    </x:xf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horizontal="center"/>
    </x:xf>
    <x:xf numFmtId="0" fontId="2" fillId="19" borderId="0" xfId="0" applyNumberFormat="1" applyFont="1" applyFill="1" applyBorder="1" applyAlignment="1">
      <x:alignment horizontal="center" vertical="center"/>
    </x:xf>
    <x:xf numFmtId="166" fontId="0" fillId="0" borderId="0" xfId="0" applyNumberFormat="1" applyFont="1" applyFill="1" applyBorder="1"/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horizontal="center"/>
    </x:xf>
    <x:xf numFmtId="0" fontId="2" fillId="19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20" borderId="0" xfId="0" applyNumberFormat="1" applyFont="1" applyFill="1" applyBorder="1" applyAlignment="1">
      <x:alignment vertical="top"/>
    </x:xf>
    <x:xf numFmtId="166" fontId="0" fillId="0" borderId="0" xfId="0" applyNumberFormat="1" applyFont="1" applyFill="1" applyBorder="1" applyAlignment="1">
      <x:alignment vertical="top"/>
    </x:xf>
    <x:xf numFmtId="0" fontId="11" fillId="21" borderId="0" xfId="0" applyNumberFormat="1" applyFont="1" applyFill="1" applyBorder="1" applyAlignment="1">
      <x:alignment horizontal="center" vertical="top"/>
    </x:xf>
    <x:xf numFmtId="0" fontId="1" fillId="20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 applyAlignment="1">
      <x:alignment vertical="top"/>
    </x:xf>
    <x:xf numFmtId="0" fontId="12" fillId="0" borderId="0" xfId="0" applyNumberFormat="1" applyFont="1" applyFill="1" applyBorder="1"/>
    <x:xf numFmtId="0" fontId="13" fillId="22" borderId="2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  <x:xf numFmtId="0" fontId="13" fillId="22" borderId="2" xfId="0" applyNumberFormat="1" applyFont="1" applyFill="1" applyBorder="1" applyAlignment="1">
      <x:alignment vertical="top" wrapText="1"/>
    </x:xf>
    <x:xf numFmtId="0" fontId="13" fillId="22" borderId="2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0" fillId="24" borderId="0" xfId="0" applyNumberFormat="1" applyFont="1" applyFill="1" applyBorder="1"/>
    <x:xf numFmtId="0" fontId="4" fillId="24" borderId="0" xfId="0" applyNumberFormat="1" applyFont="1" applyFill="1" applyBorder="1"/>
    <x:xf numFmtId="0" fontId="2" fillId="23" borderId="0" xfId="0" applyNumberFormat="1" applyFont="1" applyFill="1" applyBorder="1" applyAlignment="1">
      <x:alignment wrapText="1"/>
    </x:xf>
    <x:xf numFmtId="0" fontId="4" fillId="24" borderId="0" xfId="0" applyNumberFormat="1" applyFont="1" applyFill="1" applyBorder="1" applyAlignment="1">
      <x:alignment wrapText="1"/>
    </x:xf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</x:cellXfs>
  <x:cellStyles count="1">
    <x:cellStyle name="Normal" xfId="0"/>
  </x:cellStyles>
  <x:dxfs count="29">
    <x:dxf>
      <x:font>
        <x:b/>
        <x:color rgb="00990000"/>
      </x:font>
      <x:fill>
        <x:patternFill>
          <x:bgColor rgb="00F4CCCC"/>
        </x:patternFill>
      </x:fill>
    </x:dxf>
    <x:dxf>
      <x:font>
        <x:b/>
        <x:color rgb="007F6000"/>
      </x:font>
      <x:fill>
        <x:patternFill>
          <x:bgColor rgb="00FFF2CC"/>
        </x:patternFill>
      </x:fill>
    </x:dxf>
    <x:dxf>
      <x:font>
        <x:b/>
        <x:color rgb="00990000"/>
      </x:font>
      <x:fill>
        <x:patternFill>
          <x:bgColor rgb="00F4CCCC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166534"/>
      </x:font>
      <x:fill>
        <x:patternFill>
          <x:bgColor rgb="00DCFCE7"/>
        </x:patternFill>
      </x:fill>
    </x:dxf>
    <x:dxf>
      <x:fill>
        <x:patternFill>
          <x:bgColor rgb="00FECACA"/>
        </x:patternFill>
      </x:fill>
    </x:dxf>
    <x:dxf>
      <x:fill>
        <x:patternFill>
          <x:bgColor rgb="00FECACA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166534"/>
      </x:font>
      <x:fill>
        <x:patternFill>
          <x:bgColor rgb="00DCFCE7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91B1B"/>
      </x:font>
      <x:fill>
        <x:patternFill>
          <x:bgColor rgb="00FECACA"/>
        </x:patternFill>
      </x:fill>
    </x:dxf>
    <x:dxf>
      <x:font>
        <x:b/>
        <x:color rgb="0092400E"/>
      </x:font>
      <x:fill>
        <x:patternFill>
          <x:bgColor rgb="00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166534"/>
      </x:font>
      <x:fill>
        <x:patternFill>
          <x:bgColor rgb="FF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7788ac5dfe433a" /><Relationship Type="http://schemas.openxmlformats.org/officeDocument/2006/relationships/theme" Target="/xl/theme/theme1.xml" Id="R0959ca3621014d40" /><Relationship Type="http://schemas.openxmlformats.org/officeDocument/2006/relationships/sharedStrings" Target="/xl/sharedStrings.xml" Id="Rdf10d7b4a1944a27" /><Relationship Type="http://schemas.openxmlformats.org/officeDocument/2006/relationships/worksheet" Target="/xl/worksheets/sheet1.xml" Id="R5f1588269f2242cd" /><Relationship Type="http://schemas.openxmlformats.org/officeDocument/2006/relationships/worksheet" Target="/xl/worksheets/sheet2.xml" Id="R503c3ae2f6254768" /><Relationship Type="http://schemas.openxmlformats.org/officeDocument/2006/relationships/worksheet" Target="/xl/worksheets/sheet3.xml" Id="R448fc984ab02407a" /><Relationship Type="http://schemas.openxmlformats.org/officeDocument/2006/relationships/worksheet" Target="/xl/worksheets/sheet4.xml" Id="R9db6e87426b14c07" /><Relationship Type="http://schemas.openxmlformats.org/officeDocument/2006/relationships/worksheet" Target="/xl/worksheets/sheet5.xml" Id="R2b0fc6568bd248e8" /><Relationship Type="http://schemas.openxmlformats.org/officeDocument/2006/relationships/worksheet" Target="/xl/worksheets/sheet6.xml" Id="Rf8efb300f41544a0" /><Relationship Type="http://schemas.openxmlformats.org/officeDocument/2006/relationships/worksheet" Target="/xl/worksheets/sheet7.xml" Id="Rc33de8779e794608" /><Relationship Type="http://schemas.openxmlformats.org/officeDocument/2006/relationships/worksheet" Target="/xl/worksheets/sheet8.xml" Id="Rfd203682e25a4ae0" /><Relationship Type="http://schemas.openxmlformats.org/officeDocument/2006/relationships/worksheet" Target="/xl/worksheets/sheet9.xml" Id="R3130ac0c4f974fe6" /><Relationship Type="http://schemas.openxmlformats.org/officeDocument/2006/relationships/worksheet" Target="/xl/worksheets/sheet10.xml" Id="R2cd9606206264a82" /><Relationship Type="http://schemas.openxmlformats.org/officeDocument/2006/relationships/worksheet" Target="/xl/worksheets/sheet11.xml" Id="R8842c72498ce4d15" /><Relationship Type="http://schemas.openxmlformats.org/officeDocument/2006/relationships/worksheet" Target="/xl/worksheets/sheet12.xml" Id="Rcef819d3d2584ead" /><Relationship Type="http://schemas.openxmlformats.org/officeDocument/2006/relationships/worksheet" Target="/xl/worksheets/sheet13.xml" Id="R525b8183ed3040f0" /><Relationship Type="http://schemas.openxmlformats.org/officeDocument/2006/relationships/worksheet" Target="/xl/worksheets/sheet14.xml" Id="R9a8d03925f2b4639" /><Relationship Type="http://schemas.openxmlformats.org/officeDocument/2006/relationships/worksheet" Target="/xl/worksheets/sheet15.xml" Id="R78b6b03d860747e6" /><Relationship Type="http://schemas.openxmlformats.org/officeDocument/2006/relationships/worksheet" Target="/xl/worksheets/sheet16.xml" Id="R21e5fa4a2e45458d" /><Relationship Type="http://schemas.openxmlformats.org/officeDocument/2006/relationships/worksheet" Target="/xl/worksheets/sheet17.xml" Id="R85eefae39f174565" /><Relationship Type="http://schemas.openxmlformats.org/officeDocument/2006/relationships/worksheet" Target="/xl/worksheets/sheet18.xml" Id="R3b4cb70773fc48d0" /><Relationship Type="http://schemas.openxmlformats.org/officeDocument/2006/relationships/worksheet" Target="/xl/worksheets/sheet19.xml" Id="R3d78602cc9474f48" /><Relationship Type="http://schemas.openxmlformats.org/officeDocument/2006/relationships/worksheet" Target="/xl/worksheets/sheet20.xml" Id="Rf158c2448b464cc9" /><Relationship Type="http://schemas.openxmlformats.org/officeDocument/2006/relationships/worksheet" Target="/xl/worksheets/sheet21.xml" Id="Recad916be33e4ea5" /><Relationship Type="http://schemas.openxmlformats.org/officeDocument/2006/relationships/worksheet" Target="/xl/worksheets/sheet22.xml" Id="R6608b67eb64242f9" /><Relationship Type="http://schemas.openxmlformats.org/officeDocument/2006/relationships/worksheet" Target="/xl/worksheets/sheet23.xml" Id="R589dbdb7a218431b" /><Relationship Type="http://schemas.openxmlformats.org/officeDocument/2006/relationships/worksheet" Target="/xl/worksheets/sheet24.xml" Id="R0c2a38b9ae1c401d" /><Relationship Type="http://schemas.openxmlformats.org/officeDocument/2006/relationships/worksheet" Target="/xl/worksheets/sheet25.xml" Id="R4fa8f59a01b14a25" /><Relationship Type="http://schemas.openxmlformats.org/officeDocument/2006/relationships/worksheet" Target="/xl/worksheets/sheet26.xml" Id="R516ac0507c4a4f80" /><Relationship Type="http://schemas.openxmlformats.org/officeDocument/2006/relationships/worksheet" Target="/xl/worksheets/sheet27.xml" Id="R58b7d09138074971" /><Relationship Type="http://schemas.openxmlformats.org/officeDocument/2006/relationships/worksheet" Target="/xl/worksheets/sheet28.xml" Id="R61b6429e34a74471" /><Relationship Type="http://schemas.openxmlformats.org/officeDocument/2006/relationships/worksheet" Target="/xl/worksheets/sheet29.xml" Id="Rcab39d7327db4377" /><Relationship Type="http://schemas.openxmlformats.org/officeDocument/2006/relationships/worksheet" Target="/xl/worksheets/sheet30.xml" Id="R05ff7f8cab7d483e" /><Relationship Type="http://schemas.openxmlformats.org/officeDocument/2006/relationships/worksheet" Target="/xl/worksheets/sheet31.xml" Id="Rb448093bd86b4afe" /><Relationship Type="http://schemas.openxmlformats.org/officeDocument/2006/relationships/worksheet" Target="/xl/worksheets/sheet32.xml" Id="R0f1cc9df318647ff" /><Relationship Type="http://schemas.openxmlformats.org/officeDocument/2006/relationships/worksheet" Target="/xl/worksheets/sheet33.xml" Id="Re9d6c9f741f845a5" /><Relationship Type="http://schemas.openxmlformats.org/officeDocument/2006/relationships/worksheet" Target="/xl/worksheets/sheet34.xml" Id="Ra113137dff5d4dea" /><Relationship Type="http://schemas.openxmlformats.org/officeDocument/2006/relationships/worksheet" Target="/xl/worksheets/sheet35.xml" Id="R4bcb4a7dbdda4991" /><Relationship Type="http://schemas.openxmlformats.org/officeDocument/2006/relationships/worksheet" Target="/xl/worksheets/sheet36.xml" Id="R6d96fc9f9a3946a6" /><Relationship Type="http://schemas.openxmlformats.org/officeDocument/2006/relationships/worksheet" Target="/xl/worksheets/sheet37.xml" Id="R7de2650198a14dc2" /><Relationship Type="http://schemas.openxmlformats.org/officeDocument/2006/relationships/worksheet" Target="/xl/worksheets/sheet38.xml" Id="Rf1409f94c9bb4f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66b37a8f6c433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Policy Risk Score by Policy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Policy / Regulation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'Policy_Monitoring'!$B$2:$B$11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Agency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'Policy_Monitoring'!$C$2:$C$11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Policy Stage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'Policy_Monitoring'!$D$2:$D$11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Expected Timeline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'Policy_Monitoring'!$E$2:$E$11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Probability (%)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'Policy_Monitoring'!$F$2:$F$11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Business Impact (1-5)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'Policy_Monitoring'!$G$2:$G$11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Reputation Impact (1-5)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'Policy_Monitoring'!$H$2:$H$11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v>Risk Score</c:v>
          </c:tx>
          <c:spPr>
            <a:ln xmlns:a="http://schemas.openxmlformats.org/drawingml/2006/main">
              <a:prstDash val="solid"/>
            </a:ln>
          </c:spPr>
          <c:cat>
            <c:strRef>
              <c:f>'Policy_Monitoring'!$A$2:$A$11</c:f>
              <c:strCache>
                <c:ptCount val="0"/>
              </c:strCache>
            </c:strRef>
          </c:cat>
          <c:val>
            <c:numRef>
              <c:f>'Policy_Monitoring'!$I$2:$I$11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66b37a8f6c433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gCalendar" displayName="RegCalendar" ref="A1:K31" headerRowCount="1">
  <x:tableColumns count="11">
    <x:tableColumn id="1" name="Obligation ID"/>
    <x:tableColumn id="2" name="Report / Obligation"/>
    <x:tableColumn id="3" name="Regulator"/>
    <x:tableColumn id="4" name="Frequency"/>
    <x:tableColumn id="5" name="Owner Dept"/>
    <x:tableColumn id="6" name="Due Date"/>
    <x:tableColumn id="7" name="Days to Due"/>
    <x:tableColumn id="8" name="Status"/>
    <x:tableColumn id="9" name="Quality Check"/>
    <x:tableColumn id="10" name="Escalation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ubmissionTable" displayName="SubmissionTable" ref="A1:M61" headerRowCount="1">
  <x:tableColumns count="13">
    <x:tableColumn id="1" name="Submission ID"/>
    <x:tableColumn id="2" name="Document / Request"/>
    <x:tableColumn id="3" name="Regulator"/>
    <x:tableColumn id="4" name="Submission Type"/>
    <x:tableColumn id="5" name="Owner Dept"/>
    <x:tableColumn id="6" name="Received Date"/>
    <x:tableColumn id="7" name="Submission Due Date"/>
    <x:tableColumn id="8" name="Submitted Date"/>
    <x:tableColumn id="9" name="Status"/>
    <x:tableColumn id="10" name="Lead Time Days"/>
    <x:tableColumn id="11" name="Checklist Complete"/>
    <x:tableColumn id="12" name="Risk Level"/>
    <x:tableColumn id="13" name="Next Action"/>
  </x:tableColumns>
  <x:tableStyleInfo name="TableStyleMedium2" showRowStripes="1"/>
</x:table>
</file>

<file path=xl/tables/table3.xml><?xml version="1.0" encoding="utf-8"?>
<x:table xmlns:x="http://schemas.openxmlformats.org/spreadsheetml/2006/main" id="4" name="InteractionTable" displayName="InteractionTable" ref="A1:K49" headerRowCount="1">
  <x:tableColumns count="11">
    <x:tableColumn id="1" name="Interaction ID"/>
    <x:tableColumn id="2" name="Date"/>
    <x:tableColumn id="3" name="Regulator"/>
    <x:tableColumn id="4" name="Person / Unit"/>
    <x:tableColumn id="5" name="Topic"/>
    <x:tableColumn id="6" name="Interaction Type"/>
    <x:tableColumn id="7" name="Tone"/>
    <x:tableColumn id="8" name="Key Message"/>
    <x:tableColumn id="9" name="Follow-up Owner"/>
    <x:tableColumn id="10" name="Follow-up Due"/>
    <x:tableColumn id="11" name="Status"/>
  </x:tableColumns>
  <x:tableStyleInfo name="TableStyleMedium2" showRowStripes="1"/>
</x:table>
</file>

<file path=xl/tables/table4.xml><?xml version="1.0" encoding="utf-8"?>
<x:table xmlns:x="http://schemas.openxmlformats.org/spreadsheetml/2006/main" id="5" name="PolicyTable" displayName="PolicyTable" ref="A1:L11" headerRowCount="1">
  <x:tableColumns count="12">
    <x:tableColumn id="1" name="Policy ID"/>
    <x:tableColumn id="2" name="Policy / Regulation"/>
    <x:tableColumn id="3" name="Agency"/>
    <x:tableColumn id="4" name="Policy Stage"/>
    <x:tableColumn id="5" name="Expected Timeline"/>
    <x:tableColumn id="6" name="Probability (%)"/>
    <x:tableColumn id="7" name="Business Impact (1-5)"/>
    <x:tableColumn id="8" name="Reputation Impact (1-5)"/>
    <x:tableColumn id="9" name="Risk Score"/>
    <x:tableColumn id="10" name="Opportunity"/>
    <x:tableColumn id="11" name="Recommended Action"/>
    <x:tableColumn id="12" name="Owner"/>
  </x:tableColumns>
  <x:tableStyleInfo name="TableStyleMedium2" showRowStripes="1"/>
</x:table>
</file>

<file path=xl/tables/table5.xml><?xml version="1.0" encoding="utf-8"?>
<x:table xmlns:x="http://schemas.openxmlformats.org/spreadsheetml/2006/main" id="6" name="TranslationTable" displayName="TranslationTable" ref="A1:I21" headerRowCount="1">
  <x:tableColumns count="9">
    <x:tableColumn id="1" name="Document ID"/>
    <x:tableColumn id="2" name="Document Name"/>
    <x:tableColumn id="3" name="Direction"/>
    <x:tableColumn id="4" name="Owner"/>
    <x:tableColumn id="5" name="Received Date"/>
    <x:tableColumn id="6" name="Due Date"/>
    <x:tableColumn id="7" name="Status"/>
    <x:tableColumn id="8" name="SLA Days"/>
    <x:tableColumn id="9" name="Notes"/>
  </x:tableColumns>
  <x:tableStyleInfo name="TableStyleMedium2" showRowStripes="1"/>
</x:table>
</file>

<file path=xl/tables/table6.xml><?xml version="1.0" encoding="utf-8"?>
<x:table xmlns:x="http://schemas.openxmlformats.org/spreadsheetml/2006/main" id="7" name="RegulatorCRMTable" displayName="RegulatorCRMTable" ref="A3:J9" headerRowCount="1">
  <x:tableColumns count="10">
    <x:tableColumn id="1" name="Regulator"/>
    <x:tableColumn id="2" name="Mandate / Role"/>
    <x:tableColumn id="3" name="Key Units / Contact Point"/>
    <x:tableColumn id="4" name="Relationship Strength (1-5)"/>
    <x:tableColumn id="5" name="Sentiment"/>
    <x:tableColumn id="6" name="Open Issues"/>
    <x:tableColumn id="7" name="Pending Requests"/>
    <x:tableColumn id="8" name="Next Engagement"/>
    <x:tableColumn id="9" name="Engagement Owner"/>
    <x:tableColumn id="10" name="Institutional Memory Note"/>
  </x:tableColumns>
  <x:tableStyleInfo name="TableStyleMedium2" showRowStripes="1"/>
</x:table>
</file>

<file path=xl/tables/table7.xml><?xml version="1.0" encoding="utf-8"?>
<x:table xmlns:x="http://schemas.openxmlformats.org/spreadsheetml/2006/main" id="8" name="KnowledgeBaseTable" displayName="KnowledgeBaseTable" ref="A3:J9" headerRowCount="1">
  <x:tableColumns count="10">
    <x:tableColumn id="1" name="Topic / Regulation"/>
    <x:tableColumn id="2" name="Agency"/>
    <x:tableColumn id="3" name="Summary"/>
    <x:tableColumn id="4" name="Key Obligations"/>
    <x:tableColumn id="5" name="Impact on Manulife"/>
    <x:tableColumn id="6" name="Affected Departments"/>
    <x:tableColumn id="7" name="Required Actions"/>
    <x:tableColumn id="8" name="Status"/>
    <x:tableColumn id="9" name="Owner"/>
    <x:tableColumn id="10" name="Review Frequency"/>
  </x:tableColumns>
  <x:tableStyleInfo name="TableStyleMedium2" showRowStripes="1"/>
</x:table>
</file>

<file path=xl/tables/table8.xml><?xml version="1.0" encoding="utf-8"?>
<x:table xmlns:x="http://schemas.openxmlformats.org/spreadsheetml/2006/main" id="9" name="WorkflowEngineTable" displayName="WorkflowEngineTable" ref="A3:J13" headerRowCount="1">
  <x:tableColumns count="10">
    <x:tableColumn id="1" name="Workflow ID"/>
    <x:tableColumn id="2" name="Workflow Name"/>
    <x:tableColumn id="3" name="Stage"/>
    <x:tableColumn id="4" name="Owner"/>
    <x:tableColumn id="5" name="SLA Days"/>
    <x:tableColumn id="6" name="Status"/>
    <x:tableColumn id="7" name="Bottleneck"/>
    <x:tableColumn id="8" name="Next Action"/>
    <x:tableColumn id="9" name="Regulator / Audience"/>
    <x:tableColumn id="10" name="Control Point"/>
  </x:tableColumns>
  <x:tableStyleInfo name="TableStyleMedium2" showRowStripes="1"/>
</x:table>
</file>

<file path=xl/tables/table9.xml><?xml version="1.0" encoding="utf-8"?>
<x:table xmlns:x="http://schemas.openxmlformats.org/spreadsheetml/2006/main" id="13" name="RegulatoryObligationRegister" displayName="RegulatoryObligationRegister" ref="A4:P14" headerRowCount="1">
  <x:tableColumns count="16">
    <x:tableColumn id="1" name="Obligation ID"/>
    <x:tableColumn id="2" name="Obligation"/>
    <x:tableColumn id="3" name="Regulator"/>
    <x:tableColumn id="4" name="Legal Basis / Source"/>
    <x:tableColumn id="5" name="Frequency"/>
    <x:tableColumn id="6" name="Owner Dept"/>
    <x:tableColumn id="7" name="Submission Channel"/>
    <x:tableColumn id="8" name="Due Rule"/>
    <x:tableColumn id="9" name="Next Due Date"/>
    <x:tableColumn id="10" name="Penalty / Consequence"/>
    <x:tableColumn id="11" name="Criticality"/>
    <x:tableColumn id="12" name="Evidence Required"/>
    <x:tableColumn id="13" name="Control Owner"/>
    <x:tableColumn id="14" name="Status"/>
    <x:tableColumn id="15" name="Days to Due"/>
    <x:tableColumn id="16" name="RAG"/>
  </x:tableColumns>
  <x:tableStyleInfo name="TableStyleMedium2" showRowStripes="1"/>
</x:table>
</file>

<file path=xl/tables/table10.xml><?xml version="1.0" encoding="utf-8"?>
<x:table xmlns:x="http://schemas.openxmlformats.org/spreadsheetml/2006/main" id="14" name="RegulatoryResponseTracker" displayName="RegulatoryResponseTracker" ref="A4:N11" headerRowCount="1">
  <x:tableColumns count="14">
    <x:tableColumn id="1" name="Ref No"/>
    <x:tableColumn id="2" name="Date Received / Sent"/>
    <x:tableColumn id="3" name="Direction"/>
    <x:tableColumn id="4" name="Regulator"/>
    <x:tableColumn id="5" name="Topic"/>
    <x:tableColumn id="6" name="Linked Obligation / Submission"/>
    <x:tableColumn id="7" name="Internal Owner"/>
    <x:tableColumn id="8" name="Response Due Date"/>
    <x:tableColumn id="9" name="Status"/>
    <x:tableColumn id="10" name="Response Sent Date"/>
    <x:tableColumn id="11" name="Days Open"/>
    <x:tableColumn id="12" name="SLA Status"/>
    <x:tableColumn id="13" name="Next Action"/>
    <x:tableColumn id="14" name="Archive Location"/>
  </x:tableColumns>
  <x:tableStyleInfo name="TableStyleMedium2" showRowStripes="1"/>
</x:table>
</file>

<file path=xl/tables/table11.xml><?xml version="1.0" encoding="utf-8"?>
<x:table xmlns:x="http://schemas.openxmlformats.org/spreadsheetml/2006/main" id="15" name="ProductApprovalCommandCenter" displayName="ProductApprovalCommandCenter" ref="A4:N10" headerRowCount="1">
  <x:tableColumns count="14">
    <x:tableColumn id="1" name="Product ID"/>
    <x:tableColumn id="2" name="Product Name"/>
    <x:tableColumn id="3" name="Product Type"/>
    <x:tableColumn id="4" name="Business Owner"/>
    <x:tableColumn id="5" name="Regulator"/>
    <x:tableColumn id="6" name="Current Stage"/>
    <x:tableColumn id="7" name="Request Date"/>
    <x:tableColumn id="8" name="Submitted Date"/>
    <x:tableColumn id="9" name="Target Approval Date"/>
    <x:tableColumn id="10" name="Expected Approval Days"/>
    <x:tableColumn id="11" name="Actual Approval Date"/>
    <x:tableColumn id="12" name="Bottleneck"/>
    <x:tableColumn id="13" name="Approval Risk"/>
    <x:tableColumn id="14" name="Next Action"/>
  </x:tableColumns>
  <x:tableStyleInfo name="TableStyleMedium2" showRowStripes="1"/>
</x:table>
</file>

<file path=xl/tables/table12.xml><?xml version="1.0" encoding="utf-8"?>
<x:table xmlns:x="http://schemas.openxmlformats.org/spreadsheetml/2006/main" id="16" name="InternalCoordinationTracker" displayName="InternalCoordinationTracker" ref="A4:M11" headerRowCount="1">
  <x:tableColumns count="13">
    <x:tableColumn id="1" name="Item ID"/>
    <x:tableColumn id="2" name="Department"/>
    <x:tableColumn id="3" name="Request / Input Needed"/>
    <x:tableColumn id="4" name="Linked Matter"/>
    <x:tableColumn id="5" name="Request Date"/>
    <x:tableColumn id="6" name="Due Date"/>
    <x:tableColumn id="7" name="SLA Days"/>
    <x:tableColumn id="8" name="Owner"/>
    <x:tableColumn id="9" name="Status"/>
    <x:tableColumn id="10" name="Escalation"/>
    <x:tableColumn id="11" name="Days to Due"/>
    <x:tableColumn id="12" name="Reminder Sent"/>
    <x:tableColumn id="13" name="Management Attention"/>
  </x:tableColumns>
  <x:tableStyleInfo name="TableStyleMedium2" showRowStripes="1"/>
</x:table>
</file>

<file path=xl/tables/table13.xml><?xml version="1.0" encoding="utf-8"?>
<x:table xmlns:x="http://schemas.openxmlformats.org/spreadsheetml/2006/main" id="17" name="MeetingIntelligence" displayName="MeetingIntelligence" ref="A4:O8" headerRowCount="1">
  <x:tableColumns count="15">
    <x:tableColumn id="1" name="Meeting ID"/>
    <x:tableColumn id="2" name="Date"/>
    <x:tableColumn id="3" name="Regulator"/>
    <x:tableColumn id="4" name="Topic"/>
    <x:tableColumn id="5" name="Meeting Type"/>
    <x:tableColumn id="6" name="Pre-Meeting Objective"/>
    <x:tableColumn id="7" name="Key Talking Points"/>
    <x:tableColumn id="8" name="Potential Regulator Questions"/>
    <x:tableColumn id="9" name="Recommended Position"/>
    <x:tableColumn id="10" name="Commitments Made"/>
    <x:tableColumn id="11" name="Action Owner"/>
    <x:tableColumn id="12" name="Action Due Date"/>
    <x:tableColumn id="13" name="Status"/>
    <x:tableColumn id="14" name="Institutional Memory Note"/>
    <x:tableColumn id="15" name="Linked Documents"/>
  </x:tableColumns>
  <x:tableStyleInfo name="TableStyleMedium2" showRowStripes="1"/>
</x:table>
</file>

<file path=xl/tables/table14.xml><?xml version="1.0" encoding="utf-8"?>
<x:table xmlns:x="http://schemas.openxmlformats.org/spreadsheetml/2006/main" id="18" name="InspectionReadiness" displayName="InspectionReadiness" ref="A4:K10" headerRowCount="1">
  <x:tableColumns count="11">
    <x:tableColumn id="1" name="Area"/>
    <x:tableColumn id="2" name="Regulator Focus"/>
    <x:tableColumn id="3" name="Required Evidence"/>
    <x:tableColumn id="4" name="Owner"/>
    <x:tableColumn id="5" name="Last Review Date"/>
    <x:tableColumn id="6" name="Readiness Score (0-100)"/>
    <x:tableColumn id="7" name="Gap"/>
    <x:tableColumn id="8" name="Remediation Action"/>
    <x:tableColumn id="9" name="Due Date"/>
    <x:tableColumn id="10" name="Status"/>
    <x:tableColumn id="11" name="RAG"/>
  </x:tableColumns>
  <x:tableStyleInfo name="TableStyleMedium2" showRowStripes="1"/>
</x:table>
</file>

<file path=xl/tables/table15.xml><?xml version="1.0" encoding="utf-8"?>
<x:table xmlns:x="http://schemas.openxmlformats.org/spreadsheetml/2006/main" id="20" name="DataDictionaryTable" displayName="DataDictionaryTable" ref="A3:H22" headerRowCount="1">
  <x:tableColumns count="8">
    <x:tableColumn id="1" name="Sheet / Module"/>
    <x:tableColumn id="2" name="Purpose"/>
    <x:tableColumn id="3" name="Primary User"/>
    <x:tableColumn id="4" name="Update Frequency"/>
    <x:tableColumn id="5" name="Key Inputs"/>
    <x:tableColumn id="6" name="Key Outputs"/>
    <x:tableColumn id="7" name="Typical KPI"/>
    <x:tableColumn id="8" name="Notes"/>
  </x:tableColumns>
  <x:tableStyleInfo name="TableStyleMedium2" showRowStripes="1"/>
</x:table>
</file>

<file path=xl/tables/table16.xml><?xml version="1.0" encoding="utf-8"?>
<x:table xmlns:x="http://schemas.openxmlformats.org/spreadsheetml/2006/main" id="21" name="StakeholderIntelligencTbl" displayName="StakeholderIntelligencTbl" ref="A3:K9" headerRowCount="1">
  <x:tableColumns count="11">
    <x:tableColumn id="1" name="Stakeholder"/>
    <x:tableColumn id="2" name="Type"/>
    <x:tableColumn id="3" name="Influence (1-5)"/>
    <x:tableColumn id="4" name="Position"/>
    <x:tableColumn id="5" name="Relationship (1-5)"/>
    <x:tableColumn id="6" name="Priority"/>
    <x:tableColumn id="7" name="Owner"/>
    <x:tableColumn id="8" name="Last Engagement"/>
    <x:tableColumn id="9" name="Next Engagement"/>
    <x:tableColumn id="10" name="Key Issue"/>
    <x:tableColumn id="11" name="Engagement Strategy"/>
  </x:tableColumns>
  <x:tableStyleInfo name="TableStyleMedium2" showRowStripes="1"/>
</x:table>
</file>

<file path=xl/tables/table17.xml><?xml version="1.0" encoding="utf-8"?>
<x:table xmlns:x="http://schemas.openxmlformats.org/spreadsheetml/2006/main" id="22" name="RegulatoryEarlyWarningTbl" displayName="RegulatoryEarlyWarningTbl" ref="A3:G8" headerRowCount="1">
  <x:tableColumns count="7">
    <x:tableColumn id="1" name="Topic"/>
    <x:tableColumn id="2" name="Signal Source"/>
    <x:tableColumn id="3" name="Probability (%)"/>
    <x:tableColumn id="4" name="Expected Timing"/>
    <x:tableColumn id="5" name="Business Impact (1-5)"/>
    <x:tableColumn id="6" name="Risk Level"/>
    <x:tableColumn id="7" name="Recommended Action"/>
  </x:tableColumns>
  <x:tableStyleInfo name="TableStyleMedium2" showRowStripes="1"/>
</x:table>
</file>

<file path=xl/tables/table18.xml><?xml version="1.0" encoding="utf-8"?>
<x:table xmlns:x="http://schemas.openxmlformats.org/spreadsheetml/2006/main" id="23" name="PublicAffairsKPITbl" displayName="PublicAffairsKPITbl" ref="A3:F9" headerRowCount="1">
  <x:tableColumns count="6">
    <x:tableColumn id="1" name="KPI"/>
    <x:tableColumn id="2" name="Target"/>
    <x:tableColumn id="3" name="Actual"/>
    <x:tableColumn id="4" name="RAG"/>
    <x:tableColumn id="5" name="Owner"/>
    <x:tableColumn id="6" name="Comment"/>
  </x:tableColumns>
  <x:tableStyleInfo name="TableStyleMedium2" showRowStripes="1"/>
</x:table>
</file>

<file path=xl/tables/table19.xml><?xml version="1.0" encoding="utf-8"?>
<x:table xmlns:x="http://schemas.openxmlformats.org/spreadsheetml/2006/main" id="24" name="RegionalReportingTbl" displayName="RegionalReportingTbl" ref="A3:F7" headerRowCount="1">
  <x:tableColumns count="6">
    <x:tableColumn id="1" name="Month"/>
    <x:tableColumn id="2" name="Topic"/>
    <x:tableColumn id="3" name="Impact"/>
    <x:tableColumn id="4" name="Escalation Required"/>
    <x:tableColumn id="5" name="Owner"/>
    <x:tableColumn id="6" name="Management Message"/>
  </x:tableColumns>
  <x:tableStyleInfo name="TableStyleMedium2" showRowStripes="1"/>
</x:table>
</file>

<file path=xl/tables/table20.xml><?xml version="1.0" encoding="utf-8"?>
<x:table xmlns:x="http://schemas.openxmlformats.org/spreadsheetml/2006/main" id="25" name="ExecutiveTimelineTbl" displayName="ExecutiveTimelineTbl" ref="A3:H9" headerRowCount="1">
  <x:tableColumns count="8">
    <x:tableColumn id="1" name="Horizon"/>
    <x:tableColumn id="2" name="Date"/>
    <x:tableColumn id="3" name="Item"/>
    <x:tableColumn id="4" name="Category"/>
    <x:tableColumn id="5" name="Owner"/>
    <x:tableColumn id="6" name="Priority"/>
    <x:tableColumn id="7" name="Status"/>
    <x:tableColumn id="8" name="Management Attention"/>
  </x:tableColumns>
  <x:tableStyleInfo name="TableStyleMedium2" showRowStripes="1"/>
</x:table>
</file>

<file path=xl/tables/table21.xml><?xml version="1.0" encoding="utf-8"?>
<x:table xmlns:x="http://schemas.openxmlformats.org/spreadsheetml/2006/main" id="26" name="RelationshipHealthTbl" displayName="RelationshipHealthTbl" ref="A3:G21" headerRowCount="1">
  <x:tableColumns count="7">
    <x:tableColumn id="1" name="Month"/>
    <x:tableColumn id="2" name="Stakeholder"/>
    <x:tableColumn id="3" name="Meeting Frequency Score"/>
    <x:tableColumn id="4" name="Response Timeliness Score"/>
    <x:tableColumn id="5" name="Open Issue Score"/>
    <x:tableColumn id="6" name="Engagement Quality Score"/>
    <x:tableColumn id="7" name="Overall Health Score"/>
  </x:tableColumns>
  <x:tableStyleInfo name="TableStyleMedium2" showRowStripes="1"/>
</x:table>
</file>

<file path=xl/tables/table22.xml><?xml version="1.0" encoding="utf-8"?>
<x:table xmlns:x="http://schemas.openxmlformats.org/spreadsheetml/2006/main" id="27" name="ReputationMonitorTbl" displayName="ReputationMonitorTbl" ref="A3:H9" headerRowCount="1">
  <x:tableColumns count="8">
    <x:tableColumn id="1" name="Month"/>
    <x:tableColumn id="2" name="Customer Complaints Index"/>
    <x:tableColumn id="3" name="Negative Media Index"/>
    <x:tableColumn id="4" name="Social Sentiment Score"/>
    <x:tableColumn id="5" name="Regulatory Concern Index"/>
    <x:tableColumn id="6" name="Overall Reputation Score"/>
    <x:tableColumn id="7" name="Trend"/>
    <x:tableColumn id="8" name="Management Commentary"/>
  </x:tableColumns>
  <x:tableStyleInfo name="TableStyleMedium2" showRowStripes="1"/>
</x:table>
</file>

<file path=xl/tables/table23.xml><?xml version="1.0" encoding="utf-8"?>
<x:table xmlns:x="http://schemas.openxmlformats.org/spreadsheetml/2006/main" id="28" name="ProductApprovalForecasTbl" displayName="ProductApprovalForecasTbl" ref="A3:I7" headerRowCount="1">
  <x:tableColumns count="9">
    <x:tableColumn id="1" name="Product"/>
    <x:tableColumn id="2" name="Current Stage"/>
    <x:tableColumn id="3" name="Document Quality (1-5)"/>
    <x:tableColumn id="4" name="Regulatory Sensitivity (1-5)"/>
    <x:tableColumn id="5" name="Prior Feedback Severity (1-5)"/>
    <x:tableColumn id="6" name="Days in Pipeline"/>
    <x:tableColumn id="7" name="Approval Probability (%)"/>
    <x:tableColumn id="8" name="Expected Decision"/>
    <x:tableColumn id="9" name="Recommended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c24853f6a240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7a0721ca6a43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50efb18c36742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2b66f52e2924b5c" /><Relationship Type="http://schemas.openxmlformats.org/officeDocument/2006/relationships/table" Target="/xl/tables/table4.xml" Id="R1da5b578f23a48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249cc4f049946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b0267d79877749c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903c54bf116f41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e01454bb9c6473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0c913596049a44d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0ee9808291b4ae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4f68b0404b184bb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0d4cf93f3f84401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d776be0d3c0b45b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4a63c17f745448f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11836739d3ec444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6.xml" Id="Rc296a32a75fe406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7.xml" Id="Rd4a696c6174944d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8.xml" Id="R3e8fc13512ed437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9.xml" Id="Raf5f9c2408744c3d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0.xml" Id="R8335d14d6af34146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1.xml" Id="R4a0ab52c98674e0f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2.xml" Id="Rb11e9f56258b4c4b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3.xml" Id="Re0b601124e9e4a50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3.319999694824219" style="265" customWidth="1"/>
    <x:col min="2" max="2" width="32.29999923706055" style="265" customWidth="1"/>
    <x:col min="3" max="3" width="11.979999542236328" style="265" customWidth="1"/>
    <x:col min="4" max="4" width="11.170000076293945" style="265" customWidth="1"/>
    <x:col min="5" max="5" width="12.649999618530273" style="265" customWidth="1"/>
    <x:col min="6" max="6" width="10.229999542236328" style="265" customWidth="1"/>
    <x:col min="7" max="7" width="12.380000114440918" style="265" customWidth="1"/>
    <x:col min="8" max="8" width="8.210000038146973" style="265" customWidth="1"/>
    <x:col min="9" max="9" width="13.859999656677246" style="265" customWidth="1"/>
    <x:col min="10" max="10" width="10.899999618530273" style="265" customWidth="1"/>
    <x:col min="11" max="11" width="34.9900016784668" style="265" customWidth="1"/>
  </x:cols>
  <x:sheetData>
    <x:row r="1">
      <x:c r="A1" s="153" t="inlineStr">
        <x:is>
          <x:t xml:space="preserve">Obligation ID</x:t>
        </x:is>
      </x:c>
      <x:c r="B1" s="153" t="inlineStr">
        <x:is>
          <x:t xml:space="preserve">Report / Obligation</x:t>
        </x:is>
      </x:c>
      <x:c r="C1" s="153" t="inlineStr">
        <x:is>
          <x:t xml:space="preserve">Regulator</x:t>
        </x:is>
      </x:c>
      <x:c r="D1" s="153" t="inlineStr">
        <x:is>
          <x:t xml:space="preserve">Frequency</x:t>
        </x:is>
      </x:c>
      <x:c r="E1" s="153" t="inlineStr">
        <x:is>
          <x:t xml:space="preserve">Owner Dept</x:t>
        </x:is>
      </x:c>
      <x:c r="F1" s="153" t="inlineStr">
        <x:is>
          <x:t xml:space="preserve">Due Date</x:t>
        </x:is>
      </x:c>
      <x:c r="G1" s="153" t="inlineStr">
        <x:is>
          <x:t xml:space="preserve">Days to Due</x:t>
        </x:is>
      </x:c>
      <x:c r="H1" s="153" t="inlineStr">
        <x:is>
          <x:t xml:space="preserve">Status</x:t>
        </x:is>
      </x:c>
      <x:c r="I1" s="153" t="inlineStr">
        <x:is>
          <x:t xml:space="preserve">Quality Check</x:t>
        </x:is>
      </x:c>
      <x:c r="J1" s="153" t="inlineStr">
        <x:is>
          <x:t xml:space="preserve">Escalation</x:t>
        </x:is>
      </x:c>
      <x:c r="K1" s="153" t="inlineStr">
        <x:is>
          <x:t xml:space="preserve">Notes</x:t>
        </x:is>
      </x:c>
      <x:c r="L1" s="271" t="n"/>
      <x:c r="M1" s="271" t="n"/>
      <x:c r="N1" s="271" t="n"/>
      <x:c r="O1" s="271" t="n"/>
      <x:c r="P1" s="271" t="n"/>
      <x:c r="Q1" s="271" t="n"/>
      <x:c r="R1" s="271" t="n"/>
      <x:c r="S1" s="271" t="n"/>
      <x:c r="T1" s="271" t="n"/>
      <x:c r="U1" s="271" t="n"/>
      <x:c r="V1" s="271" t="n"/>
      <x:c r="W1" s="271" t="n"/>
      <x:c r="X1" s="271" t="n"/>
      <x:c r="Y1" s="271" t="n"/>
      <x:c r="Z1" s="271" t="n"/>
    </x:row>
    <x:row r="2">
      <x:c r="A2" s="271" t="inlineStr">
        <x:is>
          <x:t xml:space="preserve">CAL-001</x:t>
        </x:is>
      </x:c>
      <x:c r="B2" s="271" t="inlineStr">
        <x:is>
          <x:t xml:space="preserve">Monthly solvency monitoring report</x:t>
        </x:is>
      </x:c>
      <x:c r="C2" s="271" t="inlineStr">
        <x:is>
          <x:t xml:space="preserve">ISA</x:t>
        </x:is>
      </x:c>
      <x:c r="D2" s="271" t="inlineStr">
        <x:is>
          <x:t xml:space="preserve">Monthly</x:t>
        </x:is>
      </x:c>
      <x:c r="E2" s="271" t="inlineStr">
        <x:is>
          <x:t xml:space="preserve">Product</x:t>
        </x:is>
      </x:c>
      <x:c r="F2" s="155" t="n">
        <x:v>46179</x:v>
      </x:c>
      <x:c r="G2" s="271" t="n">
        <x:f>F2-TODAY()</x:f>
        <x:v>-39</x:v>
      </x:c>
      <x:c r="H2" s="271" t="inlineStr">
        <x:is>
          <x:t xml:space="preserve">Overdue</x:t>
        </x:is>
      </x:c>
      <x:c r="I2" s="271" t="inlineStr">
        <x:is>
          <x:t xml:space="preserve">In Progress</x:t>
        </x:is>
      </x:c>
      <x:c r="J2" s="271" t="inlineStr">
        <x:is>
          <x:t xml:space="preserve">Yes</x:t>
        </x:is>
      </x:c>
      <x:c r="K2" s="271" t="inlineStr">
        <x:is>
          <x:t xml:space="preserve">Sample data - replace with actual obligation</x:t>
        </x:is>
      </x:c>
    </x:row>
    <x:row r="3">
      <x:c r="A3" s="271" t="inlineStr">
        <x:is>
          <x:t xml:space="preserve">CAL-002</x:t>
        </x:is>
      </x:c>
      <x:c r="B3" s="271" t="inlineStr">
        <x:is>
          <x:t xml:space="preserve">Quarterly capital adequacy report</x:t>
        </x:is>
      </x:c>
      <x:c r="C3" s="271" t="inlineStr">
        <x:is>
          <x:t xml:space="preserve">MOF</x:t>
        </x:is>
      </x:c>
      <x:c r="D3" s="271" t="inlineStr">
        <x:is>
          <x:t xml:space="preserve">Quarterly</x:t>
        </x:is>
      </x:c>
      <x:c r="E3" s="271" t="inlineStr">
        <x:is>
          <x:t xml:space="preserve">Agency</x:t>
        </x:is>
      </x:c>
      <x:c r="F3" s="155" t="n">
        <x:v>46187</x:v>
      </x:c>
      <x:c r="G3" s="271" t="n">
        <x:f>F3-TODAY()</x:f>
        <x:v>-31</x:v>
      </x:c>
      <x:c r="H3" s="271" t="inlineStr">
        <x:is>
          <x:t xml:space="preserve">Due Soon</x:t>
        </x:is>
      </x:c>
      <x:c r="I3" s="271" t="inlineStr">
        <x:is>
          <x:t xml:space="preserve">Not Started</x:t>
        </x:is>
      </x:c>
      <x:c r="J3" s="271" t="inlineStr">
        <x:is>
          <x:t xml:space="preserve">No</x:t>
        </x:is>
      </x:c>
      <x:c r="K3" s="271" t="inlineStr">
        <x:is>
          <x:t xml:space="preserve">Sample data - replace with actual obligation</x:t>
        </x:is>
      </x:c>
    </x:row>
    <x:row r="4">
      <x:c r="A4" s="271" t="inlineStr">
        <x:is>
          <x:t xml:space="preserve">CAL-003</x:t>
        </x:is>
      </x:c>
      <x:c r="B4" s="271" t="inlineStr">
        <x:is>
          <x:t xml:space="preserve">Annual audited financial statement filing</x:t>
        </x:is>
      </x:c>
      <x:c r="C4" s="271" t="inlineStr">
        <x:is>
          <x:t xml:space="preserve">MOF</x:t>
        </x:is>
      </x:c>
      <x:c r="D4" s="271" t="inlineStr">
        <x:is>
          <x:t xml:space="preserve">Annual</x:t>
        </x:is>
      </x:c>
      <x:c r="E4" s="271" t="inlineStr">
        <x:is>
          <x:t xml:space="preserve">Bancassurance</x:t>
        </x:is>
      </x:c>
      <x:c r="F4" s="155" t="n">
        <x:v>46184</x:v>
      </x:c>
      <x:c r="G4" s="271" t="n">
        <x:f>F4-TODAY()</x:f>
        <x:v>-34</x:v>
      </x:c>
      <x:c r="H4" s="271" t="inlineStr">
        <x:is>
          <x:t xml:space="preserve">Due Soon</x:t>
        </x:is>
      </x:c>
      <x:c r="I4" s="271" t="inlineStr">
        <x:is>
          <x:t xml:space="preserve">Completed</x:t>
        </x:is>
      </x:c>
      <x:c r="J4" s="271" t="inlineStr">
        <x:is>
          <x:t xml:space="preserve">No</x:t>
        </x:is>
      </x:c>
      <x:c r="K4" s="271" t="inlineStr">
        <x:is>
          <x:t xml:space="preserve">Sample data - replace with actual obligation</x:t>
        </x:is>
      </x:c>
    </x:row>
    <x:row r="5">
      <x:c r="A5" s="271" t="inlineStr">
        <x:is>
          <x:t xml:space="preserve">CAL-004</x:t>
        </x:is>
      </x:c>
      <x:c r="B5" s="271" t="inlineStr">
        <x:is>
          <x:t xml:space="preserve">Product approval status update</x:t>
        </x:is>
      </x:c>
      <x:c r="C5" s="271" t="inlineStr">
        <x:is>
          <x:t xml:space="preserve">ISA</x:t>
        </x:is>
      </x:c>
      <x:c r="D5" s="271" t="inlineStr">
        <x:is>
          <x:t xml:space="preserve">Ad-hoc</x:t>
        </x:is>
      </x:c>
      <x:c r="E5" s="271" t="inlineStr">
        <x:is>
          <x:t xml:space="preserve">Operations</x:t>
        </x:is>
      </x:c>
      <x:c r="F5" s="155" t="n">
        <x:v>46179</x:v>
      </x:c>
      <x:c r="G5" s="271" t="n">
        <x:f>F5-TODAY()</x:f>
        <x:v>-39</x:v>
      </x:c>
      <x:c r="H5" s="271" t="inlineStr">
        <x:is>
          <x:t xml:space="preserve">Submitted</x:t>
        </x:is>
      </x:c>
      <x:c r="I5" s="271" t="inlineStr">
        <x:is>
          <x:t xml:space="preserve">Completed</x:t>
        </x:is>
      </x:c>
      <x:c r="J5" s="271" t="inlineStr">
        <x:is>
          <x:t xml:space="preserve">No</x:t>
        </x:is>
      </x:c>
      <x:c r="K5" s="271" t="inlineStr">
        <x:is>
          <x:t xml:space="preserve">Sample data - replace with actual obligation</x:t>
        </x:is>
      </x:c>
    </x:row>
    <x:row r="6">
      <x:c r="A6" s="271" t="inlineStr">
        <x:is>
          <x:t xml:space="preserve">CAL-005</x:t>
        </x:is>
      </x:c>
      <x:c r="B6" s="271" t="inlineStr">
        <x:is>
          <x:t xml:space="preserve">Agency training approval report</x:t>
        </x:is>
      </x:c>
      <x:c r="C6" s="271" t="inlineStr">
        <x:is>
          <x:t xml:space="preserve">ISA</x:t>
        </x:is>
      </x:c>
      <x:c r="D6" s="271" t="inlineStr">
        <x:is>
          <x:t xml:space="preserve">Monthly</x:t>
        </x:is>
      </x:c>
      <x:c r="E6" s="271" t="inlineStr">
        <x:is>
          <x:t xml:space="preserve">CEO Office</x:t>
        </x:is>
      </x:c>
      <x:c r="F6" s="155" t="n">
        <x:v>46179</x:v>
      </x:c>
      <x:c r="G6" s="271" t="n">
        <x:f>F6-TODAY()</x:f>
        <x:v>-39</x:v>
      </x:c>
      <x:c r="H6" s="271" t="inlineStr">
        <x:is>
          <x:t xml:space="preserve">Submitted</x:t>
        </x:is>
      </x:c>
      <x:c r="I6" s="271" t="inlineStr">
        <x:is>
          <x:t xml:space="preserve">Not Started</x:t>
        </x:is>
      </x:c>
      <x:c r="J6" s="271" t="inlineStr">
        <x:is>
          <x:t xml:space="preserve">No</x:t>
        </x:is>
      </x:c>
      <x:c r="K6" s="271" t="inlineStr">
        <x:is>
          <x:t xml:space="preserve">Sample data - replace with actual obligation</x:t>
        </x:is>
      </x:c>
    </x:row>
    <x:row r="7">
      <x:c r="A7" s="271" t="inlineStr">
        <x:is>
          <x:t xml:space="preserve">CAL-006</x:t>
        </x:is>
      </x:c>
      <x:c r="B7" s="271" t="inlineStr">
        <x:is>
          <x:t xml:space="preserve">Bancassurance compliance update</x:t>
        </x:is>
      </x:c>
      <x:c r="C7" s="271" t="inlineStr">
        <x:is>
          <x:t xml:space="preserve">SBV</x:t>
        </x:is>
      </x:c>
      <x:c r="D7" s="271" t="inlineStr">
        <x:is>
          <x:t xml:space="preserve">Quarterly</x:t>
        </x:is>
      </x:c>
      <x:c r="E7" s="271" t="inlineStr">
        <x:is>
          <x:t xml:space="preserve">Legal</x:t>
        </x:is>
      </x:c>
      <x:c r="F7" s="155" t="n">
        <x:v>46172</x:v>
      </x:c>
      <x:c r="G7" s="271" t="n">
        <x:f>F7-TODAY()</x:f>
        <x:v>-46</x:v>
      </x:c>
      <x:c r="H7" s="271" t="inlineStr">
        <x:is>
          <x:t xml:space="preserve">Overdue</x:t>
        </x:is>
      </x:c>
      <x:c r="I7" s="271" t="inlineStr">
        <x:is>
          <x:t xml:space="preserve">Not Started</x:t>
        </x:is>
      </x:c>
      <x:c r="J7" s="271" t="inlineStr">
        <x:is>
          <x:t xml:space="preserve">Yes</x:t>
        </x:is>
      </x:c>
      <x:c r="K7" s="271" t="inlineStr">
        <x:is>
          <x:t xml:space="preserve">Sample data - replace with actual obligation</x:t>
        </x:is>
      </x:c>
    </x:row>
    <x:row r="8">
      <x:c r="A8" s="271" t="inlineStr">
        <x:is>
          <x:t xml:space="preserve">CAL-007</x:t>
        </x:is>
      </x:c>
      <x:c r="B8" s="271" t="inlineStr">
        <x:is>
          <x:t xml:space="preserve">Consumer complaint summary</x:t>
        </x:is>
      </x:c>
      <x:c r="C8" s="271" t="inlineStr">
        <x:is>
          <x:t xml:space="preserve">VCA</x:t>
        </x:is>
      </x:c>
      <x:c r="D8" s="271" t="inlineStr">
        <x:is>
          <x:t xml:space="preserve">Monthly</x:t>
        </x:is>
      </x:c>
      <x:c r="E8" s="271" t="inlineStr">
        <x:is>
          <x:t xml:space="preserve">Compliance</x:t>
        </x:is>
      </x:c>
      <x:c r="F8" s="155" t="n">
        <x:v>46219</x:v>
      </x:c>
      <x:c r="G8" s="271" t="n">
        <x:f>F8-TODAY()</x:f>
        <x:v>1</x:v>
      </x:c>
      <x:c r="H8" s="271" t="inlineStr">
        <x:is>
          <x:t xml:space="preserve">On Track</x:t>
        </x:is>
      </x:c>
      <x:c r="I8" s="271" t="inlineStr">
        <x:is>
          <x:t xml:space="preserve">Completed</x:t>
        </x:is>
      </x:c>
      <x:c r="J8" s="271" t="inlineStr">
        <x:is>
          <x:t xml:space="preserve">No</x:t>
        </x:is>
      </x:c>
      <x:c r="K8" s="271" t="inlineStr">
        <x:is>
          <x:t xml:space="preserve">Sample data - replace with actual obligation</x:t>
        </x:is>
      </x:c>
    </x:row>
    <x:row r="9">
      <x:c r="A9" s="271" t="inlineStr">
        <x:is>
          <x:t xml:space="preserve">CAL-008</x:t>
        </x:is>
      </x:c>
      <x:c r="B9" s="271" t="inlineStr">
        <x:is>
          <x:t xml:space="preserve">AML / CFT compliance certification</x:t>
        </x:is>
      </x:c>
      <x:c r="C9" s="271" t="inlineStr">
        <x:is>
          <x:t xml:space="preserve">MOF</x:t>
        </x:is>
      </x:c>
      <x:c r="D9" s="271" t="inlineStr">
        <x:is>
          <x:t xml:space="preserve">Annual</x:t>
        </x:is>
      </x:c>
      <x:c r="E9" s="271" t="inlineStr">
        <x:is>
          <x:t xml:space="preserve">Finance</x:t>
        </x:is>
      </x:c>
      <x:c r="F9" s="155" t="n">
        <x:v>46172</x:v>
      </x:c>
      <x:c r="G9" s="271" t="n">
        <x:f>F9-TODAY()</x:f>
        <x:v>-46</x:v>
      </x:c>
      <x:c r="H9" s="271" t="inlineStr">
        <x:is>
          <x:t xml:space="preserve">Submitted</x:t>
        </x:is>
      </x:c>
      <x:c r="I9" s="271" t="inlineStr">
        <x:is>
          <x:t xml:space="preserve">Completed</x:t>
        </x:is>
      </x:c>
      <x:c r="J9" s="271" t="inlineStr">
        <x:is>
          <x:t xml:space="preserve">No</x:t>
        </x:is>
      </x:c>
      <x:c r="K9" s="271" t="inlineStr">
        <x:is>
          <x:t xml:space="preserve">Sample data - replace with actual obligation</x:t>
        </x:is>
      </x:c>
    </x:row>
    <x:row r="10">
      <x:c r="A10" s="271" t="inlineStr">
        <x:is>
          <x:t xml:space="preserve">CAL-009</x:t>
        </x:is>
      </x:c>
      <x:c r="B10" s="271" t="inlineStr">
        <x:is>
          <x:t xml:space="preserve">Data privacy compliance update</x:t>
        </x:is>
      </x:c>
      <x:c r="C10" s="271" t="inlineStr">
        <x:is>
          <x:t xml:space="preserve">MIC</x:t>
        </x:is>
      </x:c>
      <x:c r="D10" s="271" t="inlineStr">
        <x:is>
          <x:t xml:space="preserve">Quarterly</x:t>
        </x:is>
      </x:c>
      <x:c r="E10" s="271" t="inlineStr">
        <x:is>
          <x:t xml:space="preserve">Product</x:t>
        </x:is>
      </x:c>
      <x:c r="F10" s="155" t="n">
        <x:v>46219</x:v>
      </x:c>
      <x:c r="G10" s="271" t="n">
        <x:f>F10-TODAY()</x:f>
        <x:v>1</x:v>
      </x:c>
      <x:c r="H10" s="271" t="inlineStr">
        <x:is>
          <x:t xml:space="preserve">On Track</x:t>
        </x:is>
      </x:c>
      <x:c r="I10" s="271" t="inlineStr">
        <x:is>
          <x:t xml:space="preserve">In Progress</x:t>
        </x:is>
      </x:c>
      <x:c r="J10" s="271" t="inlineStr">
        <x:is>
          <x:t xml:space="preserve">No</x:t>
        </x:is>
      </x:c>
      <x:c r="K10" s="271" t="inlineStr">
        <x:is>
          <x:t xml:space="preserve">Sample data - replace with actual obligation</x:t>
        </x:is>
      </x:c>
    </x:row>
    <x:row r="11">
      <x:c r="A11" s="271" t="inlineStr">
        <x:is>
          <x:t xml:space="preserve">CAL-010</x:t>
        </x:is>
      </x:c>
      <x:c r="B11" s="271" t="inlineStr">
        <x:is>
          <x:t xml:space="preserve">Market conduct remediation update</x:t>
        </x:is>
      </x:c>
      <x:c r="C11" s="271" t="inlineStr">
        <x:is>
          <x:t xml:space="preserve">ISA</x:t>
        </x:is>
      </x:c>
      <x:c r="D11" s="271" t="inlineStr">
        <x:is>
          <x:t xml:space="preserve">Ad-hoc</x:t>
        </x:is>
      </x:c>
      <x:c r="E11" s="271" t="inlineStr">
        <x:is>
          <x:t xml:space="preserve">Agency</x:t>
        </x:is>
      </x:c>
      <x:c r="F11" s="155" t="n">
        <x:v>46187</x:v>
      </x:c>
      <x:c r="G11" s="271" t="n">
        <x:f>F11-TODAY()</x:f>
        <x:v>-31</x:v>
      </x:c>
      <x:c r="H11" s="271" t="inlineStr">
        <x:is>
          <x:t xml:space="preserve">Due Soon</x:t>
        </x:is>
      </x:c>
      <x:c r="I11" s="271" t="inlineStr">
        <x:is>
          <x:t xml:space="preserve">In Progress</x:t>
        </x:is>
      </x:c>
      <x:c r="J11" s="271" t="inlineStr">
        <x:is>
          <x:t xml:space="preserve">No</x:t>
        </x:is>
      </x:c>
      <x:c r="K11" s="271" t="inlineStr">
        <x:is>
          <x:t xml:space="preserve">Sample data - replace with actual obligation</x:t>
        </x:is>
      </x:c>
    </x:row>
    <x:row r="12">
      <x:c r="A12" s="271" t="inlineStr">
        <x:is>
          <x:t xml:space="preserve">CAL-011</x:t>
        </x:is>
      </x:c>
      <x:c r="B12" s="271" t="inlineStr">
        <x:is>
          <x:t xml:space="preserve">Regional Office regulatory update</x:t>
        </x:is>
      </x:c>
      <x:c r="C12" s="271" t="inlineStr">
        <x:is>
          <x:t xml:space="preserve">Regional Office</x:t>
        </x:is>
      </x:c>
      <x:c r="D12" s="271" t="inlineStr">
        <x:is>
          <x:t xml:space="preserve">Monthly</x:t>
        </x:is>
      </x:c>
      <x:c r="E12" s="271" t="inlineStr">
        <x:is>
          <x:t xml:space="preserve">Bancassurance</x:t>
        </x:is>
      </x:c>
      <x:c r="F12" s="155" t="n">
        <x:v>46232</x:v>
      </x:c>
      <x:c r="G12" s="271" t="n">
        <x:f>F12-TODAY()</x:f>
        <x:v>14</x:v>
      </x:c>
      <x:c r="H12" s="271" t="inlineStr">
        <x:is>
          <x:t xml:space="preserve">On Track</x:t>
        </x:is>
      </x:c>
      <x:c r="I12" s="271" t="inlineStr">
        <x:is>
          <x:t xml:space="preserve">In Progress</x:t>
        </x:is>
      </x:c>
      <x:c r="J12" s="271" t="inlineStr">
        <x:is>
          <x:t xml:space="preserve">No</x:t>
        </x:is>
      </x:c>
      <x:c r="K12" s="271" t="inlineStr">
        <x:is>
          <x:t xml:space="preserve">Sample data - replace with actual obligation</x:t>
        </x:is>
      </x:c>
    </x:row>
    <x:row r="13">
      <x:c r="A13" s="271" t="inlineStr">
        <x:is>
          <x:t xml:space="preserve">CAL-012</x:t>
        </x:is>
      </x:c>
      <x:c r="B13" s="271" t="inlineStr">
        <x:is>
          <x:t xml:space="preserve">Ad-hoc ISA information request</x:t>
        </x:is>
      </x:c>
      <x:c r="C13" s="271" t="inlineStr">
        <x:is>
          <x:t xml:space="preserve">ISA</x:t>
        </x:is>
      </x:c>
      <x:c r="D13" s="271" t="inlineStr">
        <x:is>
          <x:t xml:space="preserve">Ad-hoc</x:t>
        </x:is>
      </x:c>
      <x:c r="E13" s="271" t="inlineStr">
        <x:is>
          <x:t xml:space="preserve">Operations</x:t>
        </x:is>
      </x:c>
      <x:c r="F13" s="155" t="n">
        <x:v>46172</x:v>
      </x:c>
      <x:c r="G13" s="271" t="n">
        <x:f>F13-TODAY()</x:f>
        <x:v>-46</x:v>
      </x:c>
      <x:c r="H13" s="271" t="inlineStr">
        <x:is>
          <x:t xml:space="preserve">Submitted</x:t>
        </x:is>
      </x:c>
      <x:c r="I13" s="271" t="inlineStr">
        <x:is>
          <x:t xml:space="preserve">Not Started</x:t>
        </x:is>
      </x:c>
      <x:c r="J13" s="271" t="inlineStr">
        <x:is>
          <x:t xml:space="preserve">No</x:t>
        </x:is>
      </x:c>
      <x:c r="K13" s="271" t="inlineStr">
        <x:is>
          <x:t xml:space="preserve">Sample data - replace with actual obligation</x:t>
        </x:is>
      </x:c>
    </x:row>
    <x:row r="14">
      <x:c r="A14" s="271" t="inlineStr">
        <x:is>
          <x:t xml:space="preserve">CAL-013</x:t>
        </x:is>
      </x:c>
      <x:c r="B14" s="271" t="inlineStr">
        <x:is>
          <x:t xml:space="preserve">Monthly solvency monitoring report</x:t>
        </x:is>
      </x:c>
      <x:c r="C14" s="271" t="inlineStr">
        <x:is>
          <x:t xml:space="preserve">ISA</x:t>
        </x:is>
      </x:c>
      <x:c r="D14" s="271" t="inlineStr">
        <x:is>
          <x:t xml:space="preserve">Monthly</x:t>
        </x:is>
      </x:c>
      <x:c r="E14" s="271" t="inlineStr">
        <x:is>
          <x:t xml:space="preserve">CEO Office</x:t>
        </x:is>
      </x:c>
      <x:c r="F14" s="155" t="n">
        <x:v>46199</x:v>
      </x:c>
      <x:c r="G14" s="271" t="n">
        <x:f>F14-TODAY()</x:f>
        <x:v>-19</x:v>
      </x:c>
      <x:c r="H14" s="271" t="inlineStr">
        <x:is>
          <x:t xml:space="preserve">On Track</x:t>
        </x:is>
      </x:c>
      <x:c r="I14" s="271" t="inlineStr">
        <x:is>
          <x:t xml:space="preserve">In Progress</x:t>
        </x:is>
      </x:c>
      <x:c r="J14" s="271" t="inlineStr">
        <x:is>
          <x:t xml:space="preserve">No</x:t>
        </x:is>
      </x:c>
      <x:c r="K14" s="271" t="inlineStr">
        <x:is>
          <x:t xml:space="preserve">Sample data - replace with actual obligation</x:t>
        </x:is>
      </x:c>
    </x:row>
    <x:row r="15">
      <x:c r="A15" s="271" t="inlineStr">
        <x:is>
          <x:t xml:space="preserve">CAL-014</x:t>
        </x:is>
      </x:c>
      <x:c r="B15" s="271" t="inlineStr">
        <x:is>
          <x:t xml:space="preserve">Quarterly capital adequacy report</x:t>
        </x:is>
      </x:c>
      <x:c r="C15" s="271" t="inlineStr">
        <x:is>
          <x:t xml:space="preserve">MOF</x:t>
        </x:is>
      </x:c>
      <x:c r="D15" s="271" t="inlineStr">
        <x:is>
          <x:t xml:space="preserve">Quarterly</x:t>
        </x:is>
      </x:c>
      <x:c r="E15" s="271" t="inlineStr">
        <x:is>
          <x:t xml:space="preserve">Legal</x:t>
        </x:is>
      </x:c>
      <x:c r="F15" s="155" t="n">
        <x:v>46189</x:v>
      </x:c>
      <x:c r="G15" s="271" t="n">
        <x:f>F15-TODAY()</x:f>
        <x:v>-29</x:v>
      </x:c>
      <x:c r="H15" s="271" t="inlineStr">
        <x:is>
          <x:t xml:space="preserve">Due Soon</x:t>
        </x:is>
      </x:c>
      <x:c r="I15" s="271" t="inlineStr">
        <x:is>
          <x:t xml:space="preserve">Not Started</x:t>
        </x:is>
      </x:c>
      <x:c r="J15" s="271" t="inlineStr">
        <x:is>
          <x:t xml:space="preserve">No</x:t>
        </x:is>
      </x:c>
      <x:c r="K15" s="271" t="inlineStr">
        <x:is>
          <x:t xml:space="preserve">Sample data - replace with actual obligation</x:t>
        </x:is>
      </x:c>
    </x:row>
    <x:row r="16">
      <x:c r="A16" s="271" t="inlineStr">
        <x:is>
          <x:t xml:space="preserve">CAL-015</x:t>
        </x:is>
      </x:c>
      <x:c r="B16" s="271" t="inlineStr">
        <x:is>
          <x:t xml:space="preserve">Annual audited financial statement filing</x:t>
        </x:is>
      </x:c>
      <x:c r="C16" s="271" t="inlineStr">
        <x:is>
          <x:t xml:space="preserve">MOF</x:t>
        </x:is>
      </x:c>
      <x:c r="D16" s="271" t="inlineStr">
        <x:is>
          <x:t xml:space="preserve">Annual</x:t>
        </x:is>
      </x:c>
      <x:c r="E16" s="271" t="inlineStr">
        <x:is>
          <x:t xml:space="preserve">Compliance</x:t>
        </x:is>
      </x:c>
      <x:c r="F16" s="155" t="n">
        <x:v>46187</x:v>
      </x:c>
      <x:c r="G16" s="271" t="n">
        <x:f>F16-TODAY()</x:f>
        <x:v>-31</x:v>
      </x:c>
      <x:c r="H16" s="271" t="inlineStr">
        <x:is>
          <x:t xml:space="preserve">Due Soon</x:t>
        </x:is>
      </x:c>
      <x:c r="I16" s="271" t="inlineStr">
        <x:is>
          <x:t xml:space="preserve">In Progress</x:t>
        </x:is>
      </x:c>
      <x:c r="J16" s="271" t="inlineStr">
        <x:is>
          <x:t xml:space="preserve">No</x:t>
        </x:is>
      </x:c>
      <x:c r="K16" s="271" t="inlineStr">
        <x:is>
          <x:t xml:space="preserve">Sample data - replace with actual obligation</x:t>
        </x:is>
      </x:c>
    </x:row>
    <x:row r="17">
      <x:c r="A17" s="271" t="inlineStr">
        <x:is>
          <x:t xml:space="preserve">CAL-016</x:t>
        </x:is>
      </x:c>
      <x:c r="B17" s="271" t="inlineStr">
        <x:is>
          <x:t xml:space="preserve">Product approval status update</x:t>
        </x:is>
      </x:c>
      <x:c r="C17" s="271" t="inlineStr">
        <x:is>
          <x:t xml:space="preserve">ISA</x:t>
        </x:is>
      </x:c>
      <x:c r="D17" s="271" t="inlineStr">
        <x:is>
          <x:t xml:space="preserve">Ad-hoc</x:t>
        </x:is>
      </x:c>
      <x:c r="E17" s="271" t="inlineStr">
        <x:is>
          <x:t xml:space="preserve">Finance</x:t>
        </x:is>
      </x:c>
      <x:c r="F17" s="155" t="n">
        <x:v>46179</x:v>
      </x:c>
      <x:c r="G17" s="271" t="n">
        <x:f>F17-TODAY()</x:f>
        <x:v>-39</x:v>
      </x:c>
      <x:c r="H17" s="271" t="inlineStr">
        <x:is>
          <x:t xml:space="preserve">Overdue</x:t>
        </x:is>
      </x:c>
      <x:c r="I17" s="271" t="inlineStr">
        <x:is>
          <x:t xml:space="preserve">Not Started</x:t>
        </x:is>
      </x:c>
      <x:c r="J17" s="271" t="inlineStr">
        <x:is>
          <x:t xml:space="preserve">Yes</x:t>
        </x:is>
      </x:c>
      <x:c r="K17" s="271" t="inlineStr">
        <x:is>
          <x:t xml:space="preserve">Sample data - replace with actual obligation</x:t>
        </x:is>
      </x:c>
    </x:row>
    <x:row r="18">
      <x:c r="A18" s="271" t="inlineStr">
        <x:is>
          <x:t xml:space="preserve">CAL-017</x:t>
        </x:is>
      </x:c>
      <x:c r="B18" s="271" t="inlineStr">
        <x:is>
          <x:t xml:space="preserve">Agency training approval report</x:t>
        </x:is>
      </x:c>
      <x:c r="C18" s="271" t="inlineStr">
        <x:is>
          <x:t xml:space="preserve">ISA</x:t>
        </x:is>
      </x:c>
      <x:c r="D18" s="271" t="inlineStr">
        <x:is>
          <x:t xml:space="preserve">Monthly</x:t>
        </x:is>
      </x:c>
      <x:c r="E18" s="271" t="inlineStr">
        <x:is>
          <x:t xml:space="preserve">Product</x:t>
        </x:is>
      </x:c>
      <x:c r="F18" s="155" t="n">
        <x:v>46192</x:v>
      </x:c>
      <x:c r="G18" s="271" t="n">
        <x:f>F18-TODAY()</x:f>
        <x:v>-26</x:v>
      </x:c>
      <x:c r="H18" s="271" t="inlineStr">
        <x:is>
          <x:t xml:space="preserve">On Track</x:t>
        </x:is>
      </x:c>
      <x:c r="I18" s="271" t="inlineStr">
        <x:is>
          <x:t xml:space="preserve">In Progress</x:t>
        </x:is>
      </x:c>
      <x:c r="J18" s="271" t="inlineStr">
        <x:is>
          <x:t xml:space="preserve">No</x:t>
        </x:is>
      </x:c>
      <x:c r="K18" s="271" t="inlineStr">
        <x:is>
          <x:t xml:space="preserve">Sample data - replace with actual obligation</x:t>
        </x:is>
      </x:c>
    </x:row>
    <x:row r="19">
      <x:c r="A19" s="271" t="inlineStr">
        <x:is>
          <x:t xml:space="preserve">CAL-018</x:t>
        </x:is>
      </x:c>
      <x:c r="B19" s="271" t="inlineStr">
        <x:is>
          <x:t xml:space="preserve">Bancassurance compliance update</x:t>
        </x:is>
      </x:c>
      <x:c r="C19" s="271" t="inlineStr">
        <x:is>
          <x:t xml:space="preserve">SBV</x:t>
        </x:is>
      </x:c>
      <x:c r="D19" s="271" t="inlineStr">
        <x:is>
          <x:t xml:space="preserve">Quarterly</x:t>
        </x:is>
      </x:c>
      <x:c r="E19" s="271" t="inlineStr">
        <x:is>
          <x:t xml:space="preserve">Agency</x:t>
        </x:is>
      </x:c>
      <x:c r="F19" s="155" t="n">
        <x:v>46232</x:v>
      </x:c>
      <x:c r="G19" s="271" t="n">
        <x:f>F19-TODAY()</x:f>
        <x:v>14</x:v>
      </x:c>
      <x:c r="H19" s="271" t="inlineStr">
        <x:is>
          <x:t xml:space="preserve">On Track</x:t>
        </x:is>
      </x:c>
      <x:c r="I19" s="271" t="inlineStr">
        <x:is>
          <x:t xml:space="preserve">In Progress</x:t>
        </x:is>
      </x:c>
      <x:c r="J19" s="271" t="inlineStr">
        <x:is>
          <x:t xml:space="preserve">No</x:t>
        </x:is>
      </x:c>
      <x:c r="K19" s="271" t="inlineStr">
        <x:is>
          <x:t xml:space="preserve">Sample data - replace with actual obligation</x:t>
        </x:is>
      </x:c>
    </x:row>
    <x:row r="20">
      <x:c r="A20" s="271" t="inlineStr">
        <x:is>
          <x:t xml:space="preserve">CAL-019</x:t>
        </x:is>
      </x:c>
      <x:c r="B20" s="271" t="inlineStr">
        <x:is>
          <x:t xml:space="preserve">Consumer complaint summary</x:t>
        </x:is>
      </x:c>
      <x:c r="C20" s="271" t="inlineStr">
        <x:is>
          <x:t xml:space="preserve">VCA</x:t>
        </x:is>
      </x:c>
      <x:c r="D20" s="271" t="inlineStr">
        <x:is>
          <x:t xml:space="preserve">Monthly</x:t>
        </x:is>
      </x:c>
      <x:c r="E20" s="271" t="inlineStr">
        <x:is>
          <x:t xml:space="preserve">Bancassurance</x:t>
        </x:is>
      </x:c>
      <x:c r="F20" s="155" t="n">
        <x:v>46172</x:v>
      </x:c>
      <x:c r="G20" s="271" t="n">
        <x:f>F20-TODAY()</x:f>
        <x:v>-46</x:v>
      </x:c>
      <x:c r="H20" s="271" t="inlineStr">
        <x:is>
          <x:t xml:space="preserve">Submitted</x:t>
        </x:is>
      </x:c>
      <x:c r="I20" s="271" t="inlineStr">
        <x:is>
          <x:t xml:space="preserve">Completed</x:t>
        </x:is>
      </x:c>
      <x:c r="J20" s="271" t="inlineStr">
        <x:is>
          <x:t xml:space="preserve">No</x:t>
        </x:is>
      </x:c>
      <x:c r="K20" s="271" t="inlineStr">
        <x:is>
          <x:t xml:space="preserve">Sample data - replace with actual obligation</x:t>
        </x:is>
      </x:c>
    </x:row>
    <x:row r="21">
      <x:c r="A21" s="271" t="inlineStr">
        <x:is>
          <x:t xml:space="preserve">CAL-020</x:t>
        </x:is>
      </x:c>
      <x:c r="B21" s="271" t="inlineStr">
        <x:is>
          <x:t xml:space="preserve">AML / CFT compliance certification</x:t>
        </x:is>
      </x:c>
      <x:c r="C21" s="271" t="inlineStr">
        <x:is>
          <x:t xml:space="preserve">MOF</x:t>
        </x:is>
      </x:c>
      <x:c r="D21" s="271" t="inlineStr">
        <x:is>
          <x:t xml:space="preserve">Annual</x:t>
        </x:is>
      </x:c>
      <x:c r="E21" s="271" t="inlineStr">
        <x:is>
          <x:t xml:space="preserve">Operations</x:t>
        </x:is>
      </x:c>
      <x:c r="F21" s="155" t="n">
        <x:v>46179</x:v>
      </x:c>
      <x:c r="G21" s="271" t="n">
        <x:f>F21-TODAY()</x:f>
        <x:v>-39</x:v>
      </x:c>
      <x:c r="H21" s="271" t="inlineStr">
        <x:is>
          <x:t xml:space="preserve">Submitted</x:t>
        </x:is>
      </x:c>
      <x:c r="I21" s="271" t="inlineStr">
        <x:is>
          <x:t xml:space="preserve">In Progress</x:t>
        </x:is>
      </x:c>
      <x:c r="J21" s="271" t="inlineStr">
        <x:is>
          <x:t xml:space="preserve">No</x:t>
        </x:is>
      </x:c>
      <x:c r="K21" s="271" t="inlineStr">
        <x:is>
          <x:t xml:space="preserve">Sample data - replace with actual obligation</x:t>
        </x:is>
      </x:c>
    </x:row>
    <x:row r="22">
      <x:c r="A22" s="271" t="inlineStr">
        <x:is>
          <x:t xml:space="preserve">CAL-021</x:t>
        </x:is>
      </x:c>
      <x:c r="B22" s="271" t="inlineStr">
        <x:is>
          <x:t xml:space="preserve">Data privacy compliance update</x:t>
        </x:is>
      </x:c>
      <x:c r="C22" s="271" t="inlineStr">
        <x:is>
          <x:t xml:space="preserve">MIC</x:t>
        </x:is>
      </x:c>
      <x:c r="D22" s="271" t="inlineStr">
        <x:is>
          <x:t xml:space="preserve">Quarterly</x:t>
        </x:is>
      </x:c>
      <x:c r="E22" s="271" t="inlineStr">
        <x:is>
          <x:t xml:space="preserve">CEO Office</x:t>
        </x:is>
      </x:c>
      <x:c r="F22" s="155" t="n">
        <x:v>46179</x:v>
      </x:c>
      <x:c r="G22" s="271" t="n">
        <x:f>F22-TODAY()</x:f>
        <x:v>-39</x:v>
      </x:c>
      <x:c r="H22" s="271" t="inlineStr">
        <x:is>
          <x:t xml:space="preserve">Submitted</x:t>
        </x:is>
      </x:c>
      <x:c r="I22" s="271" t="inlineStr">
        <x:is>
          <x:t xml:space="preserve">Completed</x:t>
        </x:is>
      </x:c>
      <x:c r="J22" s="271" t="inlineStr">
        <x:is>
          <x:t xml:space="preserve">No</x:t>
        </x:is>
      </x:c>
      <x:c r="K22" s="271" t="inlineStr">
        <x:is>
          <x:t xml:space="preserve">Sample data - replace with actual obligation</x:t>
        </x:is>
      </x:c>
    </x:row>
    <x:row r="23">
      <x:c r="A23" s="271" t="inlineStr">
        <x:is>
          <x:t xml:space="preserve">CAL-022</x:t>
        </x:is>
      </x:c>
      <x:c r="B23" s="271" t="inlineStr">
        <x:is>
          <x:t xml:space="preserve">Market conduct remediation update</x:t>
        </x:is>
      </x:c>
      <x:c r="C23" s="271" t="inlineStr">
        <x:is>
          <x:t xml:space="preserve">ISA</x:t>
        </x:is>
      </x:c>
      <x:c r="D23" s="271" t="inlineStr">
        <x:is>
          <x:t xml:space="preserve">Ad-hoc</x:t>
        </x:is>
      </x:c>
      <x:c r="E23" s="271" t="inlineStr">
        <x:is>
          <x:t xml:space="preserve">Legal</x:t>
        </x:is>
      </x:c>
      <x:c r="F23" s="155" t="n">
        <x:v>46232</x:v>
      </x:c>
      <x:c r="G23" s="271" t="n">
        <x:f>F23-TODAY()</x:f>
        <x:v>14</x:v>
      </x:c>
      <x:c r="H23" s="271" t="inlineStr">
        <x:is>
          <x:t xml:space="preserve">On Track</x:t>
        </x:is>
      </x:c>
      <x:c r="I23" s="271" t="inlineStr">
        <x:is>
          <x:t xml:space="preserve">In Progress</x:t>
        </x:is>
      </x:c>
      <x:c r="J23" s="271" t="inlineStr">
        <x:is>
          <x:t xml:space="preserve">No</x:t>
        </x:is>
      </x:c>
      <x:c r="K23" s="271" t="inlineStr">
        <x:is>
          <x:t xml:space="preserve">Sample data - replace with actual obligation</x:t>
        </x:is>
      </x:c>
    </x:row>
    <x:row r="24">
      <x:c r="A24" s="271" t="inlineStr">
        <x:is>
          <x:t xml:space="preserve">CAL-023</x:t>
        </x:is>
      </x:c>
      <x:c r="B24" s="271" t="inlineStr">
        <x:is>
          <x:t xml:space="preserve">Regional Office regulatory update</x:t>
        </x:is>
      </x:c>
      <x:c r="C24" s="271" t="inlineStr">
        <x:is>
          <x:t xml:space="preserve">Regional Office</x:t>
        </x:is>
      </x:c>
      <x:c r="D24" s="271" t="inlineStr">
        <x:is>
          <x:t xml:space="preserve">Monthly</x:t>
        </x:is>
      </x:c>
      <x:c r="E24" s="271" t="inlineStr">
        <x:is>
          <x:t xml:space="preserve">Compliance</x:t>
        </x:is>
      </x:c>
      <x:c r="F24" s="155" t="n">
        <x:v>46232</x:v>
      </x:c>
      <x:c r="G24" s="271" t="n">
        <x:f>F24-TODAY()</x:f>
        <x:v>14</x:v>
      </x:c>
      <x:c r="H24" s="271" t="inlineStr">
        <x:is>
          <x:t xml:space="preserve">On Track</x:t>
        </x:is>
      </x:c>
      <x:c r="I24" s="271" t="inlineStr">
        <x:is>
          <x:t xml:space="preserve">Not Started</x:t>
        </x:is>
      </x:c>
      <x:c r="J24" s="271" t="inlineStr">
        <x:is>
          <x:t xml:space="preserve">No</x:t>
        </x:is>
      </x:c>
      <x:c r="K24" s="271" t="inlineStr">
        <x:is>
          <x:t xml:space="preserve">Sample data - replace with actual obligation</x:t>
        </x:is>
      </x:c>
    </x:row>
    <x:row r="25">
      <x:c r="A25" s="271" t="inlineStr">
        <x:is>
          <x:t xml:space="preserve">CAL-024</x:t>
        </x:is>
      </x:c>
      <x:c r="B25" s="271" t="inlineStr">
        <x:is>
          <x:t xml:space="preserve">Ad-hoc ISA information request</x:t>
        </x:is>
      </x:c>
      <x:c r="C25" s="271" t="inlineStr">
        <x:is>
          <x:t xml:space="preserve">ISA</x:t>
        </x:is>
      </x:c>
      <x:c r="D25" s="271" t="inlineStr">
        <x:is>
          <x:t xml:space="preserve">Ad-hoc</x:t>
        </x:is>
      </x:c>
      <x:c r="E25" s="271" t="inlineStr">
        <x:is>
          <x:t xml:space="preserve">Finance</x:t>
        </x:is>
      </x:c>
      <x:c r="F25" s="155" t="n">
        <x:v>46179</x:v>
      </x:c>
      <x:c r="G25" s="271" t="n">
        <x:f>F25-TODAY()</x:f>
        <x:v>-39</x:v>
      </x:c>
      <x:c r="H25" s="271" t="inlineStr">
        <x:is>
          <x:t xml:space="preserve">Overdue</x:t>
        </x:is>
      </x:c>
      <x:c r="I25" s="271" t="inlineStr">
        <x:is>
          <x:t xml:space="preserve">Not Started</x:t>
        </x:is>
      </x:c>
      <x:c r="J25" s="271" t="inlineStr">
        <x:is>
          <x:t xml:space="preserve">Yes</x:t>
        </x:is>
      </x:c>
      <x:c r="K25" s="271" t="inlineStr">
        <x:is>
          <x:t xml:space="preserve">Sample data - replace with actual obligation</x:t>
        </x:is>
      </x:c>
    </x:row>
    <x:row r="26">
      <x:c r="A26" s="271" t="inlineStr">
        <x:is>
          <x:t xml:space="preserve">CAL-025</x:t>
        </x:is>
      </x:c>
      <x:c r="B26" s="271" t="inlineStr">
        <x:is>
          <x:t xml:space="preserve">Monthly solvency monitoring report</x:t>
        </x:is>
      </x:c>
      <x:c r="C26" s="271" t="inlineStr">
        <x:is>
          <x:t xml:space="preserve">ISA</x:t>
        </x:is>
      </x:c>
      <x:c r="D26" s="271" t="inlineStr">
        <x:is>
          <x:t xml:space="preserve">Monthly</x:t>
        </x:is>
      </x:c>
      <x:c r="E26" s="271" t="inlineStr">
        <x:is>
          <x:t xml:space="preserve">Product</x:t>
        </x:is>
      </x:c>
      <x:c r="F26" s="155" t="n">
        <x:v>46189</x:v>
      </x:c>
      <x:c r="G26" s="271" t="n">
        <x:f>F26-TODAY()</x:f>
        <x:v>-29</x:v>
      </x:c>
      <x:c r="H26" s="271" t="inlineStr">
        <x:is>
          <x:t xml:space="preserve">Due Soon</x:t>
        </x:is>
      </x:c>
      <x:c r="I26" s="271" t="inlineStr">
        <x:is>
          <x:t xml:space="preserve">Not Started</x:t>
        </x:is>
      </x:c>
      <x:c r="J26" s="271" t="inlineStr">
        <x:is>
          <x:t xml:space="preserve">No</x:t>
        </x:is>
      </x:c>
      <x:c r="K26" s="271" t="inlineStr">
        <x:is>
          <x:t xml:space="preserve">Sample data - replace with actual obligation</x:t>
        </x:is>
      </x:c>
    </x:row>
    <x:row r="27">
      <x:c r="A27" s="271" t="inlineStr">
        <x:is>
          <x:t xml:space="preserve">CAL-026</x:t>
        </x:is>
      </x:c>
      <x:c r="B27" s="271" t="inlineStr">
        <x:is>
          <x:t xml:space="preserve">Quarterly capital adequacy report</x:t>
        </x:is>
      </x:c>
      <x:c r="C27" s="271" t="inlineStr">
        <x:is>
          <x:t xml:space="preserve">MOF</x:t>
        </x:is>
      </x:c>
      <x:c r="D27" s="271" t="inlineStr">
        <x:is>
          <x:t xml:space="preserve">Quarterly</x:t>
        </x:is>
      </x:c>
      <x:c r="E27" s="271" t="inlineStr">
        <x:is>
          <x:t xml:space="preserve">Agency</x:t>
        </x:is>
      </x:c>
      <x:c r="F27" s="155" t="n">
        <x:v>46187</x:v>
      </x:c>
      <x:c r="G27" s="271" t="n">
        <x:f>F27-TODAY()</x:f>
        <x:v>-31</x:v>
      </x:c>
      <x:c r="H27" s="271" t="inlineStr">
        <x:is>
          <x:t xml:space="preserve">Due Soon</x:t>
        </x:is>
      </x:c>
      <x:c r="I27" s="271" t="inlineStr">
        <x:is>
          <x:t xml:space="preserve">Not Started</x:t>
        </x:is>
      </x:c>
      <x:c r="J27" s="271" t="inlineStr">
        <x:is>
          <x:t xml:space="preserve">No</x:t>
        </x:is>
      </x:c>
      <x:c r="K27" s="271" t="inlineStr">
        <x:is>
          <x:t xml:space="preserve">Sample data - replace with actual obligation</x:t>
        </x:is>
      </x:c>
    </x:row>
    <x:row r="28">
      <x:c r="A28" s="271" t="inlineStr">
        <x:is>
          <x:t xml:space="preserve">CAL-027</x:t>
        </x:is>
      </x:c>
      <x:c r="B28" s="271" t="inlineStr">
        <x:is>
          <x:t xml:space="preserve">Annual audited financial statement filing</x:t>
        </x:is>
      </x:c>
      <x:c r="C28" s="271" t="inlineStr">
        <x:is>
          <x:t xml:space="preserve">MOF</x:t>
        </x:is>
      </x:c>
      <x:c r="D28" s="271" t="inlineStr">
        <x:is>
          <x:t xml:space="preserve">Annual</x:t>
        </x:is>
      </x:c>
      <x:c r="E28" s="271" t="inlineStr">
        <x:is>
          <x:t xml:space="preserve">Bancassurance</x:t>
        </x:is>
      </x:c>
      <x:c r="F28" s="155" t="n">
        <x:v>46199</x:v>
      </x:c>
      <x:c r="G28" s="271" t="n">
        <x:f>F28-TODAY()</x:f>
        <x:v>-19</x:v>
      </x:c>
      <x:c r="H28" s="271" t="inlineStr">
        <x:is>
          <x:t xml:space="preserve">On Track</x:t>
        </x:is>
      </x:c>
      <x:c r="I28" s="271" t="inlineStr">
        <x:is>
          <x:t xml:space="preserve">In Progress</x:t>
        </x:is>
      </x:c>
      <x:c r="J28" s="271" t="inlineStr">
        <x:is>
          <x:t xml:space="preserve">No</x:t>
        </x:is>
      </x:c>
      <x:c r="K28" s="271" t="inlineStr">
        <x:is>
          <x:t xml:space="preserve">Sample data - replace with actual obligation</x:t>
        </x:is>
      </x:c>
    </x:row>
    <x:row r="29">
      <x:c r="A29" s="271" t="inlineStr">
        <x:is>
          <x:t xml:space="preserve">CAL-028</x:t>
        </x:is>
      </x:c>
      <x:c r="B29" s="271" t="inlineStr">
        <x:is>
          <x:t xml:space="preserve">Product approval status update</x:t>
        </x:is>
      </x:c>
      <x:c r="C29" s="271" t="inlineStr">
        <x:is>
          <x:t xml:space="preserve">ISA</x:t>
        </x:is>
      </x:c>
      <x:c r="D29" s="271" t="inlineStr">
        <x:is>
          <x:t xml:space="preserve">Ad-hoc</x:t>
        </x:is>
      </x:c>
      <x:c r="E29" s="271" t="inlineStr">
        <x:is>
          <x:t xml:space="preserve">Operations</x:t>
        </x:is>
      </x:c>
      <x:c r="F29" s="155" t="n">
        <x:v>46206</x:v>
      </x:c>
      <x:c r="G29" s="271" t="n">
        <x:f>F29-TODAY()</x:f>
        <x:v>-12</x:v>
      </x:c>
      <x:c r="H29" s="271" t="inlineStr">
        <x:is>
          <x:t xml:space="preserve">On Track</x:t>
        </x:is>
      </x:c>
      <x:c r="I29" s="271" t="inlineStr">
        <x:is>
          <x:t xml:space="preserve">Completed</x:t>
        </x:is>
      </x:c>
      <x:c r="J29" s="271" t="inlineStr">
        <x:is>
          <x:t xml:space="preserve">No</x:t>
        </x:is>
      </x:c>
      <x:c r="K29" s="271" t="inlineStr">
        <x:is>
          <x:t xml:space="preserve">Sample data - replace with actual obligation</x:t>
        </x:is>
      </x:c>
    </x:row>
    <x:row r="30">
      <x:c r="A30" s="271" t="inlineStr">
        <x:is>
          <x:t xml:space="preserve">CAL-029</x:t>
        </x:is>
      </x:c>
      <x:c r="B30" s="271" t="inlineStr">
        <x:is>
          <x:t xml:space="preserve">Agency training approval report</x:t>
        </x:is>
      </x:c>
      <x:c r="C30" s="271" t="inlineStr">
        <x:is>
          <x:t xml:space="preserve">ISA</x:t>
        </x:is>
      </x:c>
      <x:c r="D30" s="271" t="inlineStr">
        <x:is>
          <x:t xml:space="preserve">Monthly</x:t>
        </x:is>
      </x:c>
      <x:c r="E30" s="271" t="inlineStr">
        <x:is>
          <x:t xml:space="preserve">CEO Office</x:t>
        </x:is>
      </x:c>
      <x:c r="F30" s="155" t="n">
        <x:v>46192</x:v>
      </x:c>
      <x:c r="G30" s="271" t="n">
        <x:f>F30-TODAY()</x:f>
        <x:v>-26</x:v>
      </x:c>
      <x:c r="H30" s="271" t="inlineStr">
        <x:is>
          <x:t xml:space="preserve">On Track</x:t>
        </x:is>
      </x:c>
      <x:c r="I30" s="271" t="inlineStr">
        <x:is>
          <x:t xml:space="preserve">Not Started</x:t>
        </x:is>
      </x:c>
      <x:c r="J30" s="271" t="inlineStr">
        <x:is>
          <x:t xml:space="preserve">No</x:t>
        </x:is>
      </x:c>
      <x:c r="K30" s="271" t="inlineStr">
        <x:is>
          <x:t xml:space="preserve">Sample data - replace with actual obligation</x:t>
        </x:is>
      </x:c>
    </x:row>
    <x:row r="31">
      <x:c r="A31" s="271" t="inlineStr">
        <x:is>
          <x:t xml:space="preserve">CAL-030</x:t>
        </x:is>
      </x:c>
      <x:c r="B31" s="271" t="inlineStr">
        <x:is>
          <x:t xml:space="preserve">Bancassurance compliance update</x:t>
        </x:is>
      </x:c>
      <x:c r="C31" s="271" t="inlineStr">
        <x:is>
          <x:t xml:space="preserve">SBV</x:t>
        </x:is>
      </x:c>
      <x:c r="D31" s="271" t="inlineStr">
        <x:is>
          <x:t xml:space="preserve">Quarterly</x:t>
        </x:is>
      </x:c>
      <x:c r="E31" s="271" t="inlineStr">
        <x:is>
          <x:t xml:space="preserve">Legal</x:t>
        </x:is>
      </x:c>
      <x:c r="F31" s="155" t="n">
        <x:v>46192</x:v>
      </x:c>
      <x:c r="G31" s="271" t="n">
        <x:f>F31-TODAY()</x:f>
        <x:v>-26</x:v>
      </x:c>
      <x:c r="H31" s="271" t="inlineStr">
        <x:is>
          <x:t xml:space="preserve">On Track</x:t>
        </x:is>
      </x:c>
      <x:c r="I31" s="271" t="inlineStr">
        <x:is>
          <x:t xml:space="preserve">In Progress</x:t>
        </x:is>
      </x:c>
      <x:c r="J31" s="271" t="inlineStr">
        <x:is>
          <x:t xml:space="preserve">No</x:t>
        </x:is>
      </x:c>
      <x:c r="K31" s="271" t="inlineStr">
        <x:is>
          <x:t xml:space="preserve">Sample data - replace with actual obligation</x:t>
        </x:is>
      </x:c>
    </x:row>
  </x:sheetData>
  <x:conditionalFormatting sqref="H2:H31">
    <x:cfRule type="expression" dxfId="0" priority="1">
      <x:formula>H2="Overdue"</x:formula>
    </x:cfRule>
    <x:cfRule type="expression" dxfId="1" priority="2">
      <x:formula>H2="Due Soon"</x:formula>
    </x:cfRule>
  </x:conditionalFormatting>
  <x:conditionalFormatting sqref="G2:G200">
    <x:cfRule type="cellIs" dxfId="3" priority="3" operator="lessThan">
      <x:formula>0</x:formula>
    </x:cfRule>
    <x:cfRule type="cellIs" dxfId="5" priority="4" operator="between">
      <x:formula>0</x:formula>
    </x:cfRule>
  </x:conditionalFormatting>
  <x:dataValidations count="4">
    <x:dataValidation type="list" allowBlank="0" showDropDown="0" showInputMessage="0" showErrorMessage="0" sqref="H2:H31">
      <x:formula1>"On Track,Due Soon,Overdue,Submitted,Approved,In Review,Drafting,Waiting Internal Input"</x:formula1>
    </x:dataValidation>
    <x:dataValidation type="list" allowBlank="0" showDropDown="0" showInputMessage="0" showErrorMessage="0" sqref="C2:C200">
      <x:formula1>"MOF,ISA,IAV,SBV,MIC,VCA,Regional Office"</x:formula1>
    </x:dataValidation>
    <x:dataValidation type="list" allowBlank="0" showDropDown="0" showInputMessage="0" showErrorMessage="0" sqref="E2:E200">
      <x:formula1>"Legal,Compliance,Finance,Product,Agency,Bancassurance,Operations,CEO Office,Public Affairs,Risk"</x:formula1>
    </x:dataValidation>
    <x:dataValidation type="list" allowBlank="0" showDropDown="0" showInputMessage="0" showErrorMessage="0" sqref="H2:H200">
      <x:formula1>"On Track,Due Soon,Overdue,Submitted,Approved,In Review,Drafting,Waiting Internal Input,Open,Closed,In Progress,Blocked,Pending,Done,Not Started"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c24853f6a2402a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.130000114440918" style="265" customWidth="1"/>
    <x:col min="2" max="2" width="25.56999969482422" style="265" customWidth="1"/>
    <x:col min="3" max="3" width="10.5" style="265" customWidth="1"/>
    <x:col min="4" max="4" width="17.899999618530273" style="265" customWidth="1"/>
    <x:col min="5" max="5" width="12.649999618530273" style="265" customWidth="1"/>
    <x:col min="6" max="6" width="14.270000457763672" style="265" customWidth="1"/>
    <x:col min="7" max="7" width="19.920000076293945" style="265" customWidth="1"/>
    <x:col min="8" max="8" width="15.34000015258789" style="265" customWidth="1"/>
    <x:col min="9" max="9" width="17.5" style="265" customWidth="1"/>
    <x:col min="10" max="10" width="15.34000015258789" style="265" customWidth="1"/>
    <x:col min="11" max="11" width="18.299999237060547" style="265" customWidth="1"/>
    <x:col min="12" max="12" width="10.630000114440918" style="265" customWidth="1"/>
    <x:col min="13" max="13" width="20.729999542236328" style="265" customWidth="1"/>
  </x:cols>
  <x:sheetData>
    <x:row r="1">
      <x:c r="A1" s="153" t="inlineStr">
        <x:is>
          <x:t xml:space="preserve">Submission ID</x:t>
        </x:is>
      </x:c>
      <x:c r="B1" s="153" t="inlineStr">
        <x:is>
          <x:t xml:space="preserve">Document / Request</x:t>
        </x:is>
      </x:c>
      <x:c r="C1" s="153" t="inlineStr">
        <x:is>
          <x:t xml:space="preserve">Regulator</x:t>
        </x:is>
      </x:c>
      <x:c r="D1" s="153" t="inlineStr">
        <x:is>
          <x:t xml:space="preserve">Submission Type</x:t>
        </x:is>
      </x:c>
      <x:c r="E1" s="153" t="inlineStr">
        <x:is>
          <x:t xml:space="preserve">Owner Dept</x:t>
        </x:is>
      </x:c>
      <x:c r="F1" s="153" t="inlineStr">
        <x:is>
          <x:t xml:space="preserve">Received Date</x:t>
        </x:is>
      </x:c>
      <x:c r="G1" s="153" t="inlineStr">
        <x:is>
          <x:t xml:space="preserve">Submission Due Date</x:t>
        </x:is>
      </x:c>
      <x:c r="H1" s="153" t="inlineStr">
        <x:is>
          <x:t xml:space="preserve">Submitted Date</x:t>
        </x:is>
      </x:c>
      <x:c r="I1" s="153" t="inlineStr">
        <x:is>
          <x:t xml:space="preserve">Status</x:t>
        </x:is>
      </x:c>
      <x:c r="J1" s="153" t="inlineStr">
        <x:is>
          <x:t xml:space="preserve">Lead Time Days</x:t>
        </x:is>
      </x:c>
      <x:c r="K1" s="153" t="inlineStr">
        <x:is>
          <x:t xml:space="preserve">Checklist Complete</x:t>
        </x:is>
      </x:c>
      <x:c r="L1" s="153" t="inlineStr">
        <x:is>
          <x:t xml:space="preserve">Risk Level</x:t>
        </x:is>
      </x:c>
      <x:c r="M1" s="153" t="inlineStr">
        <x:is>
          <x:t xml:space="preserve">Next Action</x:t>
        </x:is>
      </x:c>
      <x:c r="N1" s="271" t="n"/>
      <x:c r="O1" s="271" t="n"/>
      <x:c r="P1" s="271" t="n"/>
      <x:c r="Q1" s="271" t="n"/>
      <x:c r="R1" s="271" t="n"/>
      <x:c r="S1" s="271" t="n"/>
      <x:c r="T1" s="271" t="n"/>
      <x:c r="U1" s="271" t="n"/>
      <x:c r="V1" s="271" t="n"/>
      <x:c r="W1" s="271" t="n"/>
      <x:c r="X1" s="271" t="n"/>
      <x:c r="Y1" s="271" t="n"/>
      <x:c r="Z1" s="271" t="n"/>
    </x:row>
    <x:row r="2">
      <x:c r="A2" s="271" t="inlineStr">
        <x:is>
          <x:t xml:space="preserve">SUB-001</x:t>
        </x:is>
      </x:c>
      <x:c r="B2" s="271" t="inlineStr">
        <x:is>
          <x:t xml:space="preserve">License/Transaction - item 1</x:t>
        </x:is>
      </x:c>
      <x:c r="C2" s="271" t="inlineStr">
        <x:is>
          <x:t xml:space="preserve">MOF</x:t>
        </x:is>
      </x:c>
      <x:c r="D2" s="271" t="inlineStr">
        <x:is>
          <x:t xml:space="preserve">Agency Training</x:t>
        </x:is>
      </x:c>
      <x:c r="E2" s="271" t="inlineStr">
        <x:is>
          <x:t xml:space="preserve">Finance</x:t>
        </x:is>
      </x:c>
      <x:c r="F2" s="155" t="n">
        <x:v>46157</x:v>
      </x:c>
      <x:c r="G2" s="155" t="n">
        <x:v>46183</x:v>
      </x:c>
      <x:c r="H2" s="155" t="str"/>
      <x:c r="I2" s="271" t="inlineStr">
        <x:is>
          <x:t xml:space="preserve">In Review</x:t>
        </x:is>
      </x:c>
      <x:c r="J2" s="271" t="n">
        <x:f>IF(H2="",TODAY()-F2,H2-F2)</x:f>
        <x:v>61</x:v>
      </x:c>
      <x:c r="K2" s="271" t="inlineStr">
        <x:is>
          <x:t xml:space="preserve">Partial</x:t>
        </x:is>
      </x:c>
      <x:c r="L2" s="271" t="inlineStr">
        <x:is>
          <x:t xml:space="preserve">Low</x:t>
        </x:is>
      </x:c>
      <x:c r="M2" s="271" t="inlineStr">
        <x:is>
          <x:t xml:space="preserve">Follow-up / quality review</x:t>
        </x:is>
      </x:c>
    </x:row>
    <x:row r="3">
      <x:c r="A3" s="271" t="inlineStr">
        <x:is>
          <x:t xml:space="preserve">SUB-002</x:t>
        </x:is>
      </x:c>
      <x:c r="B3" s="271" t="inlineStr">
        <x:is>
          <x:t xml:space="preserve">License/Transaction - item 2</x:t>
        </x:is>
      </x:c>
      <x:c r="C3" s="271" t="inlineStr">
        <x:is>
          <x:t xml:space="preserve">SBV</x:t>
        </x:is>
      </x:c>
      <x:c r="D3" s="271" t="inlineStr">
        <x:is>
          <x:t xml:space="preserve">Report</x:t>
        </x:is>
      </x:c>
      <x:c r="E3" s="271" t="inlineStr">
        <x:is>
          <x:t xml:space="preserve">Bancassurance</x:t>
        </x:is>
      </x:c>
      <x:c r="F3" s="155" t="n">
        <x:v>46152</x:v>
      </x:c>
      <x:c r="G3" s="155" t="n">
        <x:v>46162</x:v>
      </x:c>
      <x:c r="H3" s="155" t="n">
        <x:v>46160</x:v>
      </x:c>
      <x:c r="I3" s="271" t="inlineStr">
        <x:is>
          <x:t xml:space="preserve">Submitted</x:t>
        </x:is>
      </x:c>
      <x:c r="J3" s="271" t="n">
        <x:f>IF(H3="",TODAY()-F3,H3-F3)</x:f>
        <x:v>8</x:v>
      </x:c>
      <x:c r="K3" s="271" t="inlineStr">
        <x:is>
          <x:t xml:space="preserve">Yes</x:t>
        </x:is>
      </x:c>
      <x:c r="L3" s="271" t="inlineStr">
        <x:is>
          <x:t xml:space="preserve">High</x:t>
        </x:is>
      </x:c>
      <x:c r="M3" s="271" t="inlineStr">
        <x:is>
          <x:t xml:space="preserve">Follow-up / quality review</x:t>
        </x:is>
      </x:c>
    </x:row>
    <x:row r="4">
      <x:c r="A4" s="271" t="inlineStr">
        <x:is>
          <x:t xml:space="preserve">SUB-003</x:t>
        </x:is>
      </x:c>
      <x:c r="B4" s="271" t="inlineStr">
        <x:is>
          <x:t xml:space="preserve">New Product Approval - item 3</x:t>
        </x:is>
      </x:c>
      <x:c r="C4" s="271" t="inlineStr">
        <x:is>
          <x:t xml:space="preserve">MOF</x:t>
        </x:is>
      </x:c>
      <x:c r="D4" s="271" t="inlineStr">
        <x:is>
          <x:t xml:space="preserve">Report</x:t>
        </x:is>
      </x:c>
      <x:c r="E4" s="271" t="inlineStr">
        <x:is>
          <x:t xml:space="preserve">Bancassurance</x:t>
        </x:is>
      </x:c>
      <x:c r="F4" s="155" t="n">
        <x:v>46179</x:v>
      </x:c>
      <x:c r="G4" s="155" t="n">
        <x:v>46209</x:v>
      </x:c>
      <x:c r="H4" s="155" t="str"/>
      <x:c r="I4" s="271" t="inlineStr">
        <x:is>
          <x:t xml:space="preserve">In Review</x:t>
        </x:is>
      </x:c>
      <x:c r="J4" s="271" t="n">
        <x:f>IF(H4="",TODAY()-F4,H4-F4)</x:f>
        <x:v>39</x:v>
      </x:c>
      <x:c r="K4" s="271" t="inlineStr">
        <x:is>
          <x:t xml:space="preserve">Yes</x:t>
        </x:is>
      </x:c>
      <x:c r="L4" s="271" t="inlineStr">
        <x:is>
          <x:t xml:space="preserve">Low</x:t>
        </x:is>
      </x:c>
      <x:c r="M4" s="271" t="inlineStr">
        <x:is>
          <x:t xml:space="preserve">Follow-up / quality review</x:t>
        </x:is>
      </x:c>
    </x:row>
    <x:row r="5">
      <x:c r="A5" s="271" t="inlineStr">
        <x:is>
          <x:t xml:space="preserve">SUB-004</x:t>
        </x:is>
      </x:c>
      <x:c r="B5" s="271" t="inlineStr">
        <x:is>
          <x:t xml:space="preserve">Report - item 4</x:t>
        </x:is>
      </x:c>
      <x:c r="C5" s="271" t="inlineStr">
        <x:is>
          <x:t xml:space="preserve">IAV</x:t>
        </x:is>
      </x:c>
      <x:c r="D5" s="271" t="inlineStr">
        <x:is>
          <x:t xml:space="preserve">Report</x:t>
        </x:is>
      </x:c>
      <x:c r="E5" s="271" t="inlineStr">
        <x:is>
          <x:t xml:space="preserve">Product</x:t>
        </x:is>
      </x:c>
      <x:c r="F5" s="155" t="n">
        <x:v>46120</x:v>
      </x:c>
      <x:c r="G5" s="155" t="n">
        <x:v>46137</x:v>
      </x:c>
      <x:c r="H5" s="155" t="n">
        <x:v>46134</x:v>
      </x:c>
      <x:c r="I5" s="271" t="inlineStr">
        <x:is>
          <x:t xml:space="preserve">Approved</x:t>
        </x:is>
      </x:c>
      <x:c r="J5" s="271" t="n">
        <x:f>IF(H5="",TODAY()-F5,H5-F5)</x:f>
        <x:v>14</x:v>
      </x:c>
      <x:c r="K5" s="271" t="inlineStr">
        <x:is>
          <x:t xml:space="preserve">Partial</x:t>
        </x:is>
      </x:c>
      <x:c r="L5" s="271" t="inlineStr">
        <x:is>
          <x:t xml:space="preserve">Low</x:t>
        </x:is>
      </x:c>
      <x:c r="M5" s="271" t="inlineStr">
        <x:is>
          <x:t xml:space="preserve">Follow-up / quality review</x:t>
        </x:is>
      </x:c>
    </x:row>
    <x:row r="6">
      <x:c r="A6" s="271" t="inlineStr">
        <x:is>
          <x:t xml:space="preserve">SUB-005</x:t>
        </x:is>
      </x:c>
      <x:c r="B6" s="271" t="inlineStr">
        <x:is>
          <x:t xml:space="preserve">Agency Training - item 5</x:t>
        </x:is>
      </x:c>
      <x:c r="C6" s="271" t="inlineStr">
        <x:is>
          <x:t xml:space="preserve">MIC</x:t>
        </x:is>
      </x:c>
      <x:c r="D6" s="271" t="inlineStr">
        <x:is>
          <x:t xml:space="preserve">New Product Approval</x:t>
        </x:is>
      </x:c>
      <x:c r="E6" s="271" t="inlineStr">
        <x:is>
          <x:t xml:space="preserve">Product</x:t>
        </x:is>
      </x:c>
      <x:c r="F6" s="155" t="n">
        <x:v>46115</x:v>
      </x:c>
      <x:c r="G6" s="155" t="n">
        <x:v>46128</x:v>
      </x:c>
      <x:c r="H6" s="155" t="n">
        <x:v>46125</x:v>
      </x:c>
      <x:c r="I6" s="271" t="inlineStr">
        <x:is>
          <x:t xml:space="preserve">Approved</x:t>
        </x:is>
      </x:c>
      <x:c r="J6" s="271" t="n">
        <x:f>IF(H6="",TODAY()-F6,H6-F6)</x:f>
        <x:v>10</x:v>
      </x:c>
      <x:c r="K6" s="271" t="inlineStr">
        <x:is>
          <x:t xml:space="preserve">Yes</x:t>
        </x:is>
      </x:c>
      <x:c r="L6" s="271" t="inlineStr">
        <x:is>
          <x:t xml:space="preserve">Low</x:t>
        </x:is>
      </x:c>
      <x:c r="M6" s="271" t="inlineStr">
        <x:is>
          <x:t xml:space="preserve">Follow-up / quality review</x:t>
        </x:is>
      </x:c>
    </x:row>
    <x:row r="7">
      <x:c r="A7" s="271" t="inlineStr">
        <x:is>
          <x:t xml:space="preserve">SUB-006</x:t>
        </x:is>
      </x:c>
      <x:c r="B7" s="271" t="inlineStr">
        <x:is>
          <x:t xml:space="preserve">Report - item 6</x:t>
        </x:is>
      </x:c>
      <x:c r="C7" s="271" t="inlineStr">
        <x:is>
          <x:t xml:space="preserve">ISA</x:t>
        </x:is>
      </x:c>
      <x:c r="D7" s="271" t="inlineStr">
        <x:is>
          <x:t xml:space="preserve">Ad-hoc Response</x:t>
        </x:is>
      </x:c>
      <x:c r="E7" s="271" t="inlineStr">
        <x:is>
          <x:t xml:space="preserve">Operations</x:t>
        </x:is>
      </x:c>
      <x:c r="F7" s="155" t="n">
        <x:v>46120</x:v>
      </x:c>
      <x:c r="G7" s="155" t="n">
        <x:v>46127</x:v>
      </x:c>
      <x:c r="H7" s="155" t="n">
        <x:v>46127</x:v>
      </x:c>
      <x:c r="I7" s="271" t="inlineStr">
        <x:is>
          <x:t xml:space="preserve">Approved</x:t>
        </x:is>
      </x:c>
      <x:c r="J7" s="271" t="n">
        <x:f>IF(H7="",TODAY()-F7,H7-F7)</x:f>
        <x:v>7</x:v>
      </x:c>
      <x:c r="K7" s="271" t="inlineStr">
        <x:is>
          <x:t xml:space="preserve">Partial</x:t>
        </x:is>
      </x:c>
      <x:c r="L7" s="271" t="inlineStr">
        <x:is>
          <x:t xml:space="preserve">High</x:t>
        </x:is>
      </x:c>
      <x:c r="M7" s="271" t="inlineStr">
        <x:is>
          <x:t xml:space="preserve">Follow-up / quality review</x:t>
        </x:is>
      </x:c>
    </x:row>
    <x:row r="8">
      <x:c r="A8" s="271" t="inlineStr">
        <x:is>
          <x:t xml:space="preserve">SUB-007</x:t>
        </x:is>
      </x:c>
      <x:c r="B8" s="271" t="inlineStr">
        <x:is>
          <x:t xml:space="preserve">Agency Training - item 7</x:t>
        </x:is>
      </x:c>
      <x:c r="C8" s="271" t="inlineStr">
        <x:is>
          <x:t xml:space="preserve">IAV</x:t>
        </x:is>
      </x:c>
      <x:c r="D8" s="271" t="inlineStr">
        <x:is>
          <x:t xml:space="preserve">Agency Training</x:t>
        </x:is>
      </x:c>
      <x:c r="E8" s="271" t="inlineStr">
        <x:is>
          <x:t xml:space="preserve">Legal</x:t>
        </x:is>
      </x:c>
      <x:c r="F8" s="155" t="n">
        <x:v>46134</x:v>
      </x:c>
      <x:c r="G8" s="155" t="n">
        <x:v>46151</x:v>
      </x:c>
      <x:c r="H8" s="155" t="n">
        <x:v>46148</x:v>
      </x:c>
      <x:c r="I8" s="271" t="inlineStr">
        <x:is>
          <x:t xml:space="preserve">Submitted</x:t>
        </x:is>
      </x:c>
      <x:c r="J8" s="271" t="n">
        <x:f>IF(H8="",TODAY()-F8,H8-F8)</x:f>
        <x:v>14</x:v>
      </x:c>
      <x:c r="K8" s="271" t="inlineStr">
        <x:is>
          <x:t xml:space="preserve">Partial</x:t>
        </x:is>
      </x:c>
      <x:c r="L8" s="271" t="inlineStr">
        <x:is>
          <x:t xml:space="preserve">Low</x:t>
        </x:is>
      </x:c>
      <x:c r="M8" s="271" t="inlineStr">
        <x:is>
          <x:t xml:space="preserve">Follow-up / quality review</x:t>
        </x:is>
      </x:c>
    </x:row>
    <x:row r="9">
      <x:c r="A9" s="271" t="inlineStr">
        <x:is>
          <x:t xml:space="preserve">SUB-008</x:t>
        </x:is>
      </x:c>
      <x:c r="B9" s="271" t="inlineStr">
        <x:is>
          <x:t xml:space="preserve">Ad-hoc Response - item 8</x:t>
        </x:is>
      </x:c>
      <x:c r="C9" s="271" t="inlineStr">
        <x:is>
          <x:t xml:space="preserve">IAV</x:t>
        </x:is>
      </x:c>
      <x:c r="D9" s="271" t="inlineStr">
        <x:is>
          <x:t xml:space="preserve">Official Letter</x:t>
        </x:is>
      </x:c>
      <x:c r="E9" s="271" t="inlineStr">
        <x:is>
          <x:t xml:space="preserve">Agency</x:t>
        </x:is>
      </x:c>
      <x:c r="F9" s="155" t="n">
        <x:v>46169</x:v>
      </x:c>
      <x:c r="G9" s="155" t="n">
        <x:v>46195</x:v>
      </x:c>
      <x:c r="H9" s="155" t="n">
        <x:v>46193</x:v>
      </x:c>
      <x:c r="I9" s="271" t="inlineStr">
        <x:is>
          <x:t xml:space="preserve">Approved</x:t>
        </x:is>
      </x:c>
      <x:c r="J9" s="271" t="n">
        <x:f>IF(H9="",TODAY()-F9,H9-F9)</x:f>
        <x:v>24</x:v>
      </x:c>
      <x:c r="K9" s="271" t="inlineStr">
        <x:is>
          <x:t xml:space="preserve">No</x:t>
        </x:is>
      </x:c>
      <x:c r="L9" s="271" t="inlineStr">
        <x:is>
          <x:t xml:space="preserve">High</x:t>
        </x:is>
      </x:c>
      <x:c r="M9" s="271" t="inlineStr">
        <x:is>
          <x:t xml:space="preserve">Follow-up / quality review</x:t>
        </x:is>
      </x:c>
    </x:row>
    <x:row r="10">
      <x:c r="A10" s="271" t="inlineStr">
        <x:is>
          <x:t xml:space="preserve">SUB-009</x:t>
        </x:is>
      </x:c>
      <x:c r="B10" s="271" t="inlineStr">
        <x:is>
          <x:t xml:space="preserve">License/Transaction - item 9</x:t>
        </x:is>
      </x:c>
      <x:c r="C10" s="271" t="inlineStr">
        <x:is>
          <x:t xml:space="preserve">IAV</x:t>
        </x:is>
      </x:c>
      <x:c r="D10" s="271" t="inlineStr">
        <x:is>
          <x:t xml:space="preserve">Agency Training</x:t>
        </x:is>
      </x:c>
      <x:c r="E10" s="271" t="inlineStr">
        <x:is>
          <x:t xml:space="preserve">Finance</x:t>
        </x:is>
      </x:c>
      <x:c r="F10" s="155" t="n">
        <x:v>46125</x:v>
      </x:c>
      <x:c r="G10" s="155" t="n">
        <x:v>46130</x:v>
      </x:c>
      <x:c r="H10" s="155" t="str"/>
      <x:c r="I10" s="271" t="inlineStr">
        <x:is>
          <x:t xml:space="preserve">Overdue</x:t>
        </x:is>
      </x:c>
      <x:c r="J10" s="271" t="n">
        <x:f>IF(H10="",TODAY()-F10,H10-F10)</x:f>
        <x:v>93</x:v>
      </x:c>
      <x:c r="K10" s="271" t="inlineStr">
        <x:is>
          <x:t xml:space="preserve">Partial</x:t>
        </x:is>
      </x:c>
      <x:c r="L10" s="271" t="inlineStr">
        <x:is>
          <x:t xml:space="preserve">High</x:t>
        </x:is>
      </x:c>
      <x:c r="M10" s="271" t="inlineStr">
        <x:is>
          <x:t xml:space="preserve">Follow-up / quality review</x:t>
        </x:is>
      </x:c>
    </x:row>
    <x:row r="11">
      <x:c r="A11" s="271" t="inlineStr">
        <x:is>
          <x:t xml:space="preserve">SUB-010</x:t>
        </x:is>
      </x:c>
      <x:c r="B11" s="271" t="inlineStr">
        <x:is>
          <x:t xml:space="preserve">Report - item 10</x:t>
        </x:is>
      </x:c>
      <x:c r="C11" s="271" t="inlineStr">
        <x:is>
          <x:t xml:space="preserve">IAV</x:t>
        </x:is>
      </x:c>
      <x:c r="D11" s="271" t="inlineStr">
        <x:is>
          <x:t xml:space="preserve">Ad-hoc Response</x:t>
        </x:is>
      </x:c>
      <x:c r="E11" s="271" t="inlineStr">
        <x:is>
          <x:t xml:space="preserve">Finance</x:t>
        </x:is>
      </x:c>
      <x:c r="F11" s="155" t="n">
        <x:v>46103</x:v>
      </x:c>
      <x:c r="G11" s="155" t="n">
        <x:v>46117</x:v>
      </x:c>
      <x:c r="H11" s="155" t="n">
        <x:v>46116</x:v>
      </x:c>
      <x:c r="I11" s="271" t="inlineStr">
        <x:is>
          <x:t xml:space="preserve">Approved</x:t>
        </x:is>
      </x:c>
      <x:c r="J11" s="271" t="n">
        <x:f>IF(H11="",TODAY()-F11,H11-F11)</x:f>
        <x:v>13</x:v>
      </x:c>
      <x:c r="K11" s="271" t="inlineStr">
        <x:is>
          <x:t xml:space="preserve">Partial</x:t>
        </x:is>
      </x:c>
      <x:c r="L11" s="271" t="inlineStr">
        <x:is>
          <x:t xml:space="preserve">Low</x:t>
        </x:is>
      </x:c>
      <x:c r="M11" s="271" t="inlineStr">
        <x:is>
          <x:t xml:space="preserve">Follow-up / quality review</x:t>
        </x:is>
      </x:c>
    </x:row>
    <x:row r="12">
      <x:c r="A12" s="271" t="inlineStr">
        <x:is>
          <x:t xml:space="preserve">SUB-011</x:t>
        </x:is>
      </x:c>
      <x:c r="B12" s="271" t="inlineStr">
        <x:is>
          <x:t xml:space="preserve">Official Letter - item 11</x:t>
        </x:is>
      </x:c>
      <x:c r="C12" s="271" t="inlineStr">
        <x:is>
          <x:t xml:space="preserve">MOF</x:t>
        </x:is>
      </x:c>
      <x:c r="D12" s="271" t="inlineStr">
        <x:is>
          <x:t xml:space="preserve">New Product Approval</x:t>
        </x:is>
      </x:c>
      <x:c r="E12" s="271" t="inlineStr">
        <x:is>
          <x:t xml:space="preserve">Agency</x:t>
        </x:is>
      </x:c>
      <x:c r="F12" s="155" t="n">
        <x:v>46183</x:v>
      </x:c>
      <x:c r="G12" s="155" t="n">
        <x:v>46207</x:v>
      </x:c>
      <x:c r="H12" s="155" t="str"/>
      <x:c r="I12" s="271" t="inlineStr">
        <x:is>
          <x:t xml:space="preserve">In Review</x:t>
        </x:is>
      </x:c>
      <x:c r="J12" s="271" t="n">
        <x:f>IF(H12="",TODAY()-F12,H12-F12)</x:f>
        <x:v>35</x:v>
      </x:c>
      <x:c r="K12" s="271" t="inlineStr">
        <x:is>
          <x:t xml:space="preserve">Yes</x:t>
        </x:is>
      </x:c>
      <x:c r="L12" s="271" t="inlineStr">
        <x:is>
          <x:t xml:space="preserve">High</x:t>
        </x:is>
      </x:c>
      <x:c r="M12" s="271" t="inlineStr">
        <x:is>
          <x:t xml:space="preserve">Follow-up / quality review</x:t>
        </x:is>
      </x:c>
    </x:row>
    <x:row r="13">
      <x:c r="A13" s="271" t="inlineStr">
        <x:is>
          <x:t xml:space="preserve">SUB-012</x:t>
        </x:is>
      </x:c>
      <x:c r="B13" s="271" t="inlineStr">
        <x:is>
          <x:t xml:space="preserve">Official Letter - item 12</x:t>
        </x:is>
      </x:c>
      <x:c r="C13" s="271" t="inlineStr">
        <x:is>
          <x:t xml:space="preserve">MIC</x:t>
        </x:is>
      </x:c>
      <x:c r="D13" s="271" t="inlineStr">
        <x:is>
          <x:t xml:space="preserve">Ad-hoc Response</x:t>
        </x:is>
      </x:c>
      <x:c r="E13" s="271" t="inlineStr">
        <x:is>
          <x:t xml:space="preserve">Compliance</x:t>
        </x:is>
      </x:c>
      <x:c r="F13" s="155" t="n">
        <x:v>46153</x:v>
      </x:c>
      <x:c r="G13" s="155" t="n">
        <x:v>46176</x:v>
      </x:c>
      <x:c r="H13" s="155" t="str"/>
      <x:c r="I13" s="271" t="inlineStr">
        <x:is>
          <x:t xml:space="preserve">Overdue</x:t>
        </x:is>
      </x:c>
      <x:c r="J13" s="271" t="n">
        <x:f>IF(H13="",TODAY()-F13,H13-F13)</x:f>
        <x:v>65</x:v>
      </x:c>
      <x:c r="K13" s="271" t="inlineStr">
        <x:is>
          <x:t xml:space="preserve">Partial</x:t>
        </x:is>
      </x:c>
      <x:c r="L13" s="271" t="inlineStr">
        <x:is>
          <x:t xml:space="preserve">High</x:t>
        </x:is>
      </x:c>
      <x:c r="M13" s="271" t="inlineStr">
        <x:is>
          <x:t xml:space="preserve">Follow-up / quality review</x:t>
        </x:is>
      </x:c>
    </x:row>
    <x:row r="14">
      <x:c r="A14" s="271" t="inlineStr">
        <x:is>
          <x:t xml:space="preserve">SUB-013</x:t>
        </x:is>
      </x:c>
      <x:c r="B14" s="271" t="inlineStr">
        <x:is>
          <x:t xml:space="preserve">New Product Approval - item 13</x:t>
        </x:is>
      </x:c>
      <x:c r="C14" s="271" t="inlineStr">
        <x:is>
          <x:t xml:space="preserve">SBV</x:t>
        </x:is>
      </x:c>
      <x:c r="D14" s="271" t="inlineStr">
        <x:is>
          <x:t xml:space="preserve">Ad-hoc Response</x:t>
        </x:is>
      </x:c>
      <x:c r="E14" s="271" t="inlineStr">
        <x:is>
          <x:t xml:space="preserve">Operations</x:t>
        </x:is>
      </x:c>
      <x:c r="F14" s="155" t="n">
        <x:v>46167</x:v>
      </x:c>
      <x:c r="G14" s="155" t="n">
        <x:v>46193</x:v>
      </x:c>
      <x:c r="H14" s="155" t="n">
        <x:v>46192</x:v>
      </x:c>
      <x:c r="I14" s="271" t="inlineStr">
        <x:is>
          <x:t xml:space="preserve">Submitted</x:t>
        </x:is>
      </x:c>
      <x:c r="J14" s="271" t="n">
        <x:f>IF(H14="",TODAY()-F14,H14-F14)</x:f>
        <x:v>25</x:v>
      </x:c>
      <x:c r="K14" s="271" t="inlineStr">
        <x:is>
          <x:t xml:space="preserve">Yes</x:t>
        </x:is>
      </x:c>
      <x:c r="L14" s="271" t="inlineStr">
        <x:is>
          <x:t xml:space="preserve">Low</x:t>
        </x:is>
      </x:c>
      <x:c r="M14" s="271" t="inlineStr">
        <x:is>
          <x:t xml:space="preserve">Follow-up / quality review</x:t>
        </x:is>
      </x:c>
    </x:row>
    <x:row r="15">
      <x:c r="A15" s="271" t="inlineStr">
        <x:is>
          <x:t xml:space="preserve">SUB-014</x:t>
        </x:is>
      </x:c>
      <x:c r="B15" s="271" t="inlineStr">
        <x:is>
          <x:t xml:space="preserve">Capital Injection - item 14</x:t>
        </x:is>
      </x:c>
      <x:c r="C15" s="271" t="inlineStr">
        <x:is>
          <x:t xml:space="preserve">IAV</x:t>
        </x:is>
      </x:c>
      <x:c r="D15" s="271" t="inlineStr">
        <x:is>
          <x:t xml:space="preserve">Capital Injection</x:t>
        </x:is>
      </x:c>
      <x:c r="E15" s="271" t="inlineStr">
        <x:is>
          <x:t xml:space="preserve">CEO Office</x:t>
        </x:is>
      </x:c>
      <x:c r="F15" s="155" t="n">
        <x:v>46087</x:v>
      </x:c>
      <x:c r="G15" s="155" t="n">
        <x:v>46115</x:v>
      </x:c>
      <x:c r="H15" s="155" t="n">
        <x:v>46113</x:v>
      </x:c>
      <x:c r="I15" s="271" t="inlineStr">
        <x:is>
          <x:t xml:space="preserve">Approved</x:t>
        </x:is>
      </x:c>
      <x:c r="J15" s="271" t="n">
        <x:f>IF(H15="",TODAY()-F15,H15-F15)</x:f>
        <x:v>26</x:v>
      </x:c>
      <x:c r="K15" s="271" t="inlineStr">
        <x:is>
          <x:t xml:space="preserve">Yes</x:t>
        </x:is>
      </x:c>
      <x:c r="L15" s="271" t="inlineStr">
        <x:is>
          <x:t xml:space="preserve">High</x:t>
        </x:is>
      </x:c>
      <x:c r="M15" s="271" t="inlineStr">
        <x:is>
          <x:t xml:space="preserve">Follow-up / quality review</x:t>
        </x:is>
      </x:c>
    </x:row>
    <x:row r="16">
      <x:c r="A16" s="271" t="inlineStr">
        <x:is>
          <x:t xml:space="preserve">SUB-015</x:t>
        </x:is>
      </x:c>
      <x:c r="B16" s="271" t="inlineStr">
        <x:is>
          <x:t xml:space="preserve">Agency Training - item 15</x:t>
        </x:is>
      </x:c>
      <x:c r="C16" s="271" t="inlineStr">
        <x:is>
          <x:t xml:space="preserve">SBV</x:t>
        </x:is>
      </x:c>
      <x:c r="D16" s="271" t="inlineStr">
        <x:is>
          <x:t xml:space="preserve">Report</x:t>
        </x:is>
      </x:c>
      <x:c r="E16" s="271" t="inlineStr">
        <x:is>
          <x:t xml:space="preserve">Product</x:t>
        </x:is>
      </x:c>
      <x:c r="F16" s="155" t="n">
        <x:v>46155</x:v>
      </x:c>
      <x:c r="G16" s="155" t="n">
        <x:v>46162</x:v>
      </x:c>
      <x:c r="H16" s="155" t="str"/>
      <x:c r="I16" s="271" t="inlineStr">
        <x:is>
          <x:t xml:space="preserve">In Review</x:t>
        </x:is>
      </x:c>
      <x:c r="J16" s="271" t="n">
        <x:f>IF(H16="",TODAY()-F16,H16-F16)</x:f>
        <x:v>63</x:v>
      </x:c>
      <x:c r="K16" s="271" t="inlineStr">
        <x:is>
          <x:t xml:space="preserve">Yes</x:t>
        </x:is>
      </x:c>
      <x:c r="L16" s="271" t="inlineStr">
        <x:is>
          <x:t xml:space="preserve">High</x:t>
        </x:is>
      </x:c>
      <x:c r="M16" s="271" t="inlineStr">
        <x:is>
          <x:t xml:space="preserve">Follow-up / quality review</x:t>
        </x:is>
      </x:c>
    </x:row>
    <x:row r="17">
      <x:c r="A17" s="271" t="inlineStr">
        <x:is>
          <x:t xml:space="preserve">SUB-016</x:t>
        </x:is>
      </x:c>
      <x:c r="B17" s="271" t="inlineStr">
        <x:is>
          <x:t xml:space="preserve">Official Letter - item 16</x:t>
        </x:is>
      </x:c>
      <x:c r="C17" s="271" t="inlineStr">
        <x:is>
          <x:t xml:space="preserve">MOF</x:t>
        </x:is>
      </x:c>
      <x:c r="D17" s="271" t="inlineStr">
        <x:is>
          <x:t xml:space="preserve">Ad-hoc Response</x:t>
        </x:is>
      </x:c>
      <x:c r="E17" s="271" t="inlineStr">
        <x:is>
          <x:t xml:space="preserve">Bancassurance</x:t>
        </x:is>
      </x:c>
      <x:c r="F17" s="155" t="n">
        <x:v>46093</x:v>
      </x:c>
      <x:c r="G17" s="155" t="n">
        <x:v>46118</x:v>
      </x:c>
      <x:c r="H17" s="155" t="str"/>
      <x:c r="I17" s="271" t="inlineStr">
        <x:is>
          <x:t xml:space="preserve">Drafting</x:t>
        </x:is>
      </x:c>
      <x:c r="J17" s="271" t="n">
        <x:f>IF(H17="",TODAY()-F17,H17-F17)</x:f>
        <x:v>125</x:v>
      </x:c>
      <x:c r="K17" s="271" t="inlineStr">
        <x:is>
          <x:t xml:space="preserve">Yes</x:t>
        </x:is>
      </x:c>
      <x:c r="L17" s="271" t="inlineStr">
        <x:is>
          <x:t xml:space="preserve">Low</x:t>
        </x:is>
      </x:c>
      <x:c r="M17" s="271" t="inlineStr">
        <x:is>
          <x:t xml:space="preserve">Follow-up / quality review</x:t>
        </x:is>
      </x:c>
    </x:row>
    <x:row r="18">
      <x:c r="A18" s="271" t="inlineStr">
        <x:is>
          <x:t xml:space="preserve">SUB-017</x:t>
        </x:is>
      </x:c>
      <x:c r="B18" s="271" t="inlineStr">
        <x:is>
          <x:t xml:space="preserve">Agency Training - item 17</x:t>
        </x:is>
      </x:c>
      <x:c r="C18" s="271" t="inlineStr">
        <x:is>
          <x:t xml:space="preserve">ISA</x:t>
        </x:is>
      </x:c>
      <x:c r="D18" s="271" t="inlineStr">
        <x:is>
          <x:t xml:space="preserve">License/Transaction</x:t>
        </x:is>
      </x:c>
      <x:c r="E18" s="271" t="inlineStr">
        <x:is>
          <x:t xml:space="preserve">CEO Office</x:t>
        </x:is>
      </x:c>
      <x:c r="F18" s="155" t="n">
        <x:v>46153</x:v>
      </x:c>
      <x:c r="G18" s="155" t="n">
        <x:v>46166</x:v>
      </x:c>
      <x:c r="H18" s="155" t="n">
        <x:v>46165</x:v>
      </x:c>
      <x:c r="I18" s="271" t="inlineStr">
        <x:is>
          <x:t xml:space="preserve">Approved</x:t>
        </x:is>
      </x:c>
      <x:c r="J18" s="271" t="n">
        <x:f>IF(H18="",TODAY()-F18,H18-F18)</x:f>
        <x:v>12</x:v>
      </x:c>
      <x:c r="K18" s="271" t="inlineStr">
        <x:is>
          <x:t xml:space="preserve">Yes</x:t>
        </x:is>
      </x:c>
      <x:c r="L18" s="271" t="inlineStr">
        <x:is>
          <x:t xml:space="preserve">Medium</x:t>
        </x:is>
      </x:c>
      <x:c r="M18" s="271" t="inlineStr">
        <x:is>
          <x:t xml:space="preserve">Follow-up / quality review</x:t>
        </x:is>
      </x:c>
    </x:row>
    <x:row r="19">
      <x:c r="A19" s="271" t="inlineStr">
        <x:is>
          <x:t xml:space="preserve">SUB-018</x:t>
        </x:is>
      </x:c>
      <x:c r="B19" s="271" t="inlineStr">
        <x:is>
          <x:t xml:space="preserve">License/Transaction - item 18</x:t>
        </x:is>
      </x:c>
      <x:c r="C19" s="271" t="inlineStr">
        <x:is>
          <x:t xml:space="preserve">MIC</x:t>
        </x:is>
      </x:c>
      <x:c r="D19" s="271" t="inlineStr">
        <x:is>
          <x:t xml:space="preserve">New Product Approval</x:t>
        </x:is>
      </x:c>
      <x:c r="E19" s="271" t="inlineStr">
        <x:is>
          <x:t xml:space="preserve">Operations</x:t>
        </x:is>
      </x:c>
      <x:c r="F19" s="155" t="n">
        <x:v>46131</x:v>
      </x:c>
      <x:c r="G19" s="155" t="n">
        <x:v>46142</x:v>
      </x:c>
      <x:c r="H19" s="155" t="str"/>
      <x:c r="I19" s="271" t="inlineStr">
        <x:is>
          <x:t xml:space="preserve">Drafting</x:t>
        </x:is>
      </x:c>
      <x:c r="J19" s="271" t="n">
        <x:f>IF(H19="",TODAY()-F19,H19-F19)</x:f>
        <x:v>87</x:v>
      </x:c>
      <x:c r="K19" s="271" t="inlineStr">
        <x:is>
          <x:t xml:space="preserve">No</x:t>
        </x:is>
      </x:c>
      <x:c r="L19" s="271" t="inlineStr">
        <x:is>
          <x:t xml:space="preserve">Medium</x:t>
        </x:is>
      </x:c>
      <x:c r="M19" s="271" t="inlineStr">
        <x:is>
          <x:t xml:space="preserve">Follow-up / quality review</x:t>
        </x:is>
      </x:c>
    </x:row>
    <x:row r="20">
      <x:c r="A20" s="271" t="inlineStr">
        <x:is>
          <x:t xml:space="preserve">SUB-019</x:t>
        </x:is>
      </x:c>
      <x:c r="B20" s="271" t="inlineStr">
        <x:is>
          <x:t xml:space="preserve">Official Letter - item 19</x:t>
        </x:is>
      </x:c>
      <x:c r="C20" s="271" t="inlineStr">
        <x:is>
          <x:t xml:space="preserve">MIC</x:t>
        </x:is>
      </x:c>
      <x:c r="D20" s="271" t="inlineStr">
        <x:is>
          <x:t xml:space="preserve">License/Transaction</x:t>
        </x:is>
      </x:c>
      <x:c r="E20" s="271" t="inlineStr">
        <x:is>
          <x:t xml:space="preserve">Bancassurance</x:t>
        </x:is>
      </x:c>
      <x:c r="F20" s="155" t="n">
        <x:v>46090</x:v>
      </x:c>
      <x:c r="G20" s="155" t="n">
        <x:v>46096</x:v>
      </x:c>
      <x:c r="H20" s="155" t="n">
        <x:v>46096</x:v>
      </x:c>
      <x:c r="I20" s="271" t="inlineStr">
        <x:is>
          <x:t xml:space="preserve">Approved</x:t>
        </x:is>
      </x:c>
      <x:c r="J20" s="271" t="n">
        <x:f>IF(H20="",TODAY()-F20,H20-F20)</x:f>
        <x:v>6</x:v>
      </x:c>
      <x:c r="K20" s="271" t="inlineStr">
        <x:is>
          <x:t xml:space="preserve">Yes</x:t>
        </x:is>
      </x:c>
      <x:c r="L20" s="271" t="inlineStr">
        <x:is>
          <x:t xml:space="preserve">High</x:t>
        </x:is>
      </x:c>
      <x:c r="M20" s="271" t="inlineStr">
        <x:is>
          <x:t xml:space="preserve">Follow-up / quality review</x:t>
        </x:is>
      </x:c>
    </x:row>
    <x:row r="21">
      <x:c r="A21" s="271" t="inlineStr">
        <x:is>
          <x:t xml:space="preserve">SUB-020</x:t>
        </x:is>
      </x:c>
      <x:c r="B21" s="271" t="inlineStr">
        <x:is>
          <x:t xml:space="preserve">Capital Injection - item 20</x:t>
        </x:is>
      </x:c>
      <x:c r="C21" s="271" t="inlineStr">
        <x:is>
          <x:t xml:space="preserve">ISA</x:t>
        </x:is>
      </x:c>
      <x:c r="D21" s="271" t="inlineStr">
        <x:is>
          <x:t xml:space="preserve">New Product Approval</x:t>
        </x:is>
      </x:c>
      <x:c r="E21" s="271" t="inlineStr">
        <x:is>
          <x:t xml:space="preserve">CEO Office</x:t>
        </x:is>
      </x:c>
      <x:c r="F21" s="155" t="n">
        <x:v>46159</x:v>
      </x:c>
      <x:c r="G21" s="155" t="n">
        <x:v>46170</x:v>
      </x:c>
      <x:c r="H21" s="155" t="n">
        <x:v>46169</x:v>
      </x:c>
      <x:c r="I21" s="271" t="inlineStr">
        <x:is>
          <x:t xml:space="preserve">Submitted</x:t>
        </x:is>
      </x:c>
      <x:c r="J21" s="271" t="n">
        <x:f>IF(H21="",TODAY()-F21,H21-F21)</x:f>
        <x:v>10</x:v>
      </x:c>
      <x:c r="K21" s="271" t="inlineStr">
        <x:is>
          <x:t xml:space="preserve">Yes</x:t>
        </x:is>
      </x:c>
      <x:c r="L21" s="271" t="inlineStr">
        <x:is>
          <x:t xml:space="preserve">High</x:t>
        </x:is>
      </x:c>
      <x:c r="M21" s="271" t="inlineStr">
        <x:is>
          <x:t xml:space="preserve">Follow-up / quality review</x:t>
        </x:is>
      </x:c>
    </x:row>
    <x:row r="22">
      <x:c r="A22" s="271" t="inlineStr">
        <x:is>
          <x:t xml:space="preserve">SUB-021</x:t>
        </x:is>
      </x:c>
      <x:c r="B22" s="271" t="inlineStr">
        <x:is>
          <x:t xml:space="preserve">Official Letter - item 21</x:t>
        </x:is>
      </x:c>
      <x:c r="C22" s="271" t="inlineStr">
        <x:is>
          <x:t xml:space="preserve">SBV</x:t>
        </x:is>
      </x:c>
      <x:c r="D22" s="271" t="inlineStr">
        <x:is>
          <x:t xml:space="preserve">Ad-hoc Response</x:t>
        </x:is>
      </x:c>
      <x:c r="E22" s="271" t="inlineStr">
        <x:is>
          <x:t xml:space="preserve">Legal</x:t>
        </x:is>
      </x:c>
      <x:c r="F22" s="155" t="n">
        <x:v>46127</x:v>
      </x:c>
      <x:c r="G22" s="155" t="n">
        <x:v>46157</x:v>
      </x:c>
      <x:c r="H22" s="155" t="n">
        <x:v>46157</x:v>
      </x:c>
      <x:c r="I22" s="271" t="inlineStr">
        <x:is>
          <x:t xml:space="preserve">Approved</x:t>
        </x:is>
      </x:c>
      <x:c r="J22" s="271" t="n">
        <x:f>IF(H22="",TODAY()-F22,H22-F22)</x:f>
        <x:v>30</x:v>
      </x:c>
      <x:c r="K22" s="271" t="inlineStr">
        <x:is>
          <x:t xml:space="preserve">Yes</x:t>
        </x:is>
      </x:c>
      <x:c r="L22" s="271" t="inlineStr">
        <x:is>
          <x:t xml:space="preserve">High</x:t>
        </x:is>
      </x:c>
      <x:c r="M22" s="271" t="inlineStr">
        <x:is>
          <x:t xml:space="preserve">Follow-up / quality review</x:t>
        </x:is>
      </x:c>
    </x:row>
    <x:row r="23">
      <x:c r="A23" s="271" t="inlineStr">
        <x:is>
          <x:t xml:space="preserve">SUB-022</x:t>
        </x:is>
      </x:c>
      <x:c r="B23" s="271" t="inlineStr">
        <x:is>
          <x:t xml:space="preserve">Ad-hoc Response - item 22</x:t>
        </x:is>
      </x:c>
      <x:c r="C23" s="271" t="inlineStr">
        <x:is>
          <x:t xml:space="preserve">MIC</x:t>
        </x:is>
      </x:c>
      <x:c r="D23" s="271" t="inlineStr">
        <x:is>
          <x:t xml:space="preserve">Official Letter</x:t>
        </x:is>
      </x:c>
      <x:c r="E23" s="271" t="inlineStr">
        <x:is>
          <x:t xml:space="preserve">Finance</x:t>
        </x:is>
      </x:c>
      <x:c r="F23" s="155" t="n">
        <x:v>46162</x:v>
      </x:c>
      <x:c r="G23" s="155" t="n">
        <x:v>46180</x:v>
      </x:c>
      <x:c r="H23" s="155" t="n">
        <x:v>46179</x:v>
      </x:c>
      <x:c r="I23" s="271" t="inlineStr">
        <x:is>
          <x:t xml:space="preserve">Submitted</x:t>
        </x:is>
      </x:c>
      <x:c r="J23" s="271" t="n">
        <x:f>IF(H23="",TODAY()-F23,H23-F23)</x:f>
        <x:v>17</x:v>
      </x:c>
      <x:c r="K23" s="271" t="inlineStr">
        <x:is>
          <x:t xml:space="preserve">No</x:t>
        </x:is>
      </x:c>
      <x:c r="L23" s="271" t="inlineStr">
        <x:is>
          <x:t xml:space="preserve">High</x:t>
        </x:is>
      </x:c>
      <x:c r="M23" s="271" t="inlineStr">
        <x:is>
          <x:t xml:space="preserve">Follow-up / quality review</x:t>
        </x:is>
      </x:c>
    </x:row>
    <x:row r="24">
      <x:c r="A24" s="271" t="inlineStr">
        <x:is>
          <x:t xml:space="preserve">SUB-023</x:t>
        </x:is>
      </x:c>
      <x:c r="B24" s="271" t="inlineStr">
        <x:is>
          <x:t xml:space="preserve">Ad-hoc Response - item 23</x:t>
        </x:is>
      </x:c>
      <x:c r="C24" s="271" t="inlineStr">
        <x:is>
          <x:t xml:space="preserve">MIC</x:t>
        </x:is>
      </x:c>
      <x:c r="D24" s="271" t="inlineStr">
        <x:is>
          <x:t xml:space="preserve">New Product Approval</x:t>
        </x:is>
      </x:c>
      <x:c r="E24" s="271" t="inlineStr">
        <x:is>
          <x:t xml:space="preserve">Operations</x:t>
        </x:is>
      </x:c>
      <x:c r="F24" s="155" t="n">
        <x:v>46134</x:v>
      </x:c>
      <x:c r="G24" s="155" t="n">
        <x:v>46147</x:v>
      </x:c>
      <x:c r="H24" s="155" t="str"/>
      <x:c r="I24" s="271" t="inlineStr">
        <x:is>
          <x:t xml:space="preserve">Overdue</x:t>
        </x:is>
      </x:c>
      <x:c r="J24" s="271" t="n">
        <x:f>IF(H24="",TODAY()-F24,H24-F24)</x:f>
        <x:v>84</x:v>
      </x:c>
      <x:c r="K24" s="271" t="inlineStr">
        <x:is>
          <x:t xml:space="preserve">Partial</x:t>
        </x:is>
      </x:c>
      <x:c r="L24" s="271" t="inlineStr">
        <x:is>
          <x:t xml:space="preserve">Low</x:t>
        </x:is>
      </x:c>
      <x:c r="M24" s="271" t="inlineStr">
        <x:is>
          <x:t xml:space="preserve">Follow-up / quality review</x:t>
        </x:is>
      </x:c>
    </x:row>
    <x:row r="25">
      <x:c r="A25" s="271" t="inlineStr">
        <x:is>
          <x:t xml:space="preserve">SUB-024</x:t>
        </x:is>
      </x:c>
      <x:c r="B25" s="271" t="inlineStr">
        <x:is>
          <x:t xml:space="preserve">Report - item 24</x:t>
        </x:is>
      </x:c>
      <x:c r="C25" s="271" t="inlineStr">
        <x:is>
          <x:t xml:space="preserve">IAV</x:t>
        </x:is>
      </x:c>
      <x:c r="D25" s="271" t="inlineStr">
        <x:is>
          <x:t xml:space="preserve">Report</x:t>
        </x:is>
      </x:c>
      <x:c r="E25" s="271" t="inlineStr">
        <x:is>
          <x:t xml:space="preserve">Legal</x:t>
        </x:is>
      </x:c>
      <x:c r="F25" s="155" t="n">
        <x:v>46112</x:v>
      </x:c>
      <x:c r="G25" s="155" t="n">
        <x:v>46138</x:v>
      </x:c>
      <x:c r="H25" s="155" t="n">
        <x:v>46137</x:v>
      </x:c>
      <x:c r="I25" s="271" t="inlineStr">
        <x:is>
          <x:t xml:space="preserve">Approved</x:t>
        </x:is>
      </x:c>
      <x:c r="J25" s="271" t="n">
        <x:f>IF(H25="",TODAY()-F25,H25-F25)</x:f>
        <x:v>25</x:v>
      </x:c>
      <x:c r="K25" s="271" t="inlineStr">
        <x:is>
          <x:t xml:space="preserve">Partial</x:t>
        </x:is>
      </x:c>
      <x:c r="L25" s="271" t="inlineStr">
        <x:is>
          <x:t xml:space="preserve">Low</x:t>
        </x:is>
      </x:c>
      <x:c r="M25" s="271" t="inlineStr">
        <x:is>
          <x:t xml:space="preserve">Follow-up / quality review</x:t>
        </x:is>
      </x:c>
    </x:row>
    <x:row r="26">
      <x:c r="A26" s="271" t="inlineStr">
        <x:is>
          <x:t xml:space="preserve">SUB-025</x:t>
        </x:is>
      </x:c>
      <x:c r="B26" s="271" t="inlineStr">
        <x:is>
          <x:t xml:space="preserve">Official Letter - item 25</x:t>
        </x:is>
      </x:c>
      <x:c r="C26" s="271" t="inlineStr">
        <x:is>
          <x:t xml:space="preserve">SBV</x:t>
        </x:is>
      </x:c>
      <x:c r="D26" s="271" t="inlineStr">
        <x:is>
          <x:t xml:space="preserve">Capital Injection</x:t>
        </x:is>
      </x:c>
      <x:c r="E26" s="271" t="inlineStr">
        <x:is>
          <x:t xml:space="preserve">Finance</x:t>
        </x:is>
      </x:c>
      <x:c r="F26" s="155" t="n">
        <x:v>46114</x:v>
      </x:c>
      <x:c r="G26" s="155" t="n">
        <x:v>46120</x:v>
      </x:c>
      <x:c r="H26" s="155" t="n">
        <x:v>46120</x:v>
      </x:c>
      <x:c r="I26" s="271" t="inlineStr">
        <x:is>
          <x:t xml:space="preserve">Approved</x:t>
        </x:is>
      </x:c>
      <x:c r="J26" s="271" t="n">
        <x:f>IF(H26="",TODAY()-F26,H26-F26)</x:f>
        <x:v>6</x:v>
      </x:c>
      <x:c r="K26" s="271" t="inlineStr">
        <x:is>
          <x:t xml:space="preserve">Yes</x:t>
        </x:is>
      </x:c>
      <x:c r="L26" s="271" t="inlineStr">
        <x:is>
          <x:t xml:space="preserve">Low</x:t>
        </x:is>
      </x:c>
      <x:c r="M26" s="271" t="inlineStr">
        <x:is>
          <x:t xml:space="preserve">Follow-up / quality review</x:t>
        </x:is>
      </x:c>
    </x:row>
    <x:row r="27">
      <x:c r="A27" s="271" t="inlineStr">
        <x:is>
          <x:t xml:space="preserve">SUB-026</x:t>
        </x:is>
      </x:c>
      <x:c r="B27" s="271" t="inlineStr">
        <x:is>
          <x:t xml:space="preserve">Official Letter - item 26</x:t>
        </x:is>
      </x:c>
      <x:c r="C27" s="271" t="inlineStr">
        <x:is>
          <x:t xml:space="preserve">ISA</x:t>
        </x:is>
      </x:c>
      <x:c r="D27" s="271" t="inlineStr">
        <x:is>
          <x:t xml:space="preserve">Capital Injection</x:t>
        </x:is>
      </x:c>
      <x:c r="E27" s="271" t="inlineStr">
        <x:is>
          <x:t xml:space="preserve">Compliance</x:t>
        </x:is>
      </x:c>
      <x:c r="F27" s="155" t="n">
        <x:v>46173</x:v>
      </x:c>
      <x:c r="G27" s="155" t="n">
        <x:v>46183</x:v>
      </x:c>
      <x:c r="H27" s="155" t="str"/>
      <x:c r="I27" s="271" t="inlineStr">
        <x:is>
          <x:t xml:space="preserve">Drafting</x:t>
        </x:is>
      </x:c>
      <x:c r="J27" s="271" t="n">
        <x:f>IF(H27="",TODAY()-F27,H27-F27)</x:f>
        <x:v>45</x:v>
      </x:c>
      <x:c r="K27" s="271" t="inlineStr">
        <x:is>
          <x:t xml:space="preserve">Partial</x:t>
        </x:is>
      </x:c>
      <x:c r="L27" s="271" t="inlineStr">
        <x:is>
          <x:t xml:space="preserve">High</x:t>
        </x:is>
      </x:c>
      <x:c r="M27" s="271" t="inlineStr">
        <x:is>
          <x:t xml:space="preserve">Follow-up / quality review</x:t>
        </x:is>
      </x:c>
    </x:row>
    <x:row r="28">
      <x:c r="A28" s="271" t="inlineStr">
        <x:is>
          <x:t xml:space="preserve">SUB-027</x:t>
        </x:is>
      </x:c>
      <x:c r="B28" s="271" t="inlineStr">
        <x:is>
          <x:t xml:space="preserve">Official Letter - item 27</x:t>
        </x:is>
      </x:c>
      <x:c r="C28" s="271" t="inlineStr">
        <x:is>
          <x:t xml:space="preserve">MIC</x:t>
        </x:is>
      </x:c>
      <x:c r="D28" s="271" t="inlineStr">
        <x:is>
          <x:t xml:space="preserve">License/Transaction</x:t>
        </x:is>
      </x:c>
      <x:c r="E28" s="271" t="inlineStr">
        <x:is>
          <x:t xml:space="preserve">Bancassurance</x:t>
        </x:is>
      </x:c>
      <x:c r="F28" s="155" t="n">
        <x:v>46109</x:v>
      </x:c>
      <x:c r="G28" s="155" t="n">
        <x:v>46133</x:v>
      </x:c>
      <x:c r="H28" s="155" t="str"/>
      <x:c r="I28" s="271" t="inlineStr">
        <x:is>
          <x:t xml:space="preserve">Drafting</x:t>
        </x:is>
      </x:c>
      <x:c r="J28" s="271" t="n">
        <x:f>IF(H28="",TODAY()-F28,H28-F28)</x:f>
        <x:v>109</x:v>
      </x:c>
      <x:c r="K28" s="271" t="inlineStr">
        <x:is>
          <x:t xml:space="preserve">No</x:t>
        </x:is>
      </x:c>
      <x:c r="L28" s="271" t="inlineStr">
        <x:is>
          <x:t xml:space="preserve">High</x:t>
        </x:is>
      </x:c>
      <x:c r="M28" s="271" t="inlineStr">
        <x:is>
          <x:t xml:space="preserve">Follow-up / quality review</x:t>
        </x:is>
      </x:c>
    </x:row>
    <x:row r="29">
      <x:c r="A29" s="271" t="inlineStr">
        <x:is>
          <x:t xml:space="preserve">SUB-028</x:t>
        </x:is>
      </x:c>
      <x:c r="B29" s="271" t="inlineStr">
        <x:is>
          <x:t xml:space="preserve">New Product Approval - item 28</x:t>
        </x:is>
      </x:c>
      <x:c r="C29" s="271" t="inlineStr">
        <x:is>
          <x:t xml:space="preserve">MIC</x:t>
        </x:is>
      </x:c>
      <x:c r="D29" s="271" t="inlineStr">
        <x:is>
          <x:t xml:space="preserve">Report</x:t>
        </x:is>
      </x:c>
      <x:c r="E29" s="271" t="inlineStr">
        <x:is>
          <x:t xml:space="preserve">Agency</x:t>
        </x:is>
      </x:c>
      <x:c r="F29" s="155" t="n">
        <x:v>46098</x:v>
      </x:c>
      <x:c r="G29" s="155" t="n">
        <x:v>46125</x:v>
      </x:c>
      <x:c r="H29" s="155" t="str"/>
      <x:c r="I29" s="271" t="inlineStr">
        <x:is>
          <x:t xml:space="preserve">In Review</x:t>
        </x:is>
      </x:c>
      <x:c r="J29" s="271" t="n">
        <x:f>IF(H29="",TODAY()-F29,H29-F29)</x:f>
        <x:v>120</x:v>
      </x:c>
      <x:c r="K29" s="271" t="inlineStr">
        <x:is>
          <x:t xml:space="preserve">No</x:t>
        </x:is>
      </x:c>
      <x:c r="L29" s="271" t="inlineStr">
        <x:is>
          <x:t xml:space="preserve">Medium</x:t>
        </x:is>
      </x:c>
      <x:c r="M29" s="271" t="inlineStr">
        <x:is>
          <x:t xml:space="preserve">Follow-up / quality review</x:t>
        </x:is>
      </x:c>
    </x:row>
    <x:row r="30">
      <x:c r="A30" s="271" t="inlineStr">
        <x:is>
          <x:t xml:space="preserve">SUB-029</x:t>
        </x:is>
      </x:c>
      <x:c r="B30" s="271" t="inlineStr">
        <x:is>
          <x:t xml:space="preserve">Agency Training - item 29</x:t>
        </x:is>
      </x:c>
      <x:c r="C30" s="271" t="inlineStr">
        <x:is>
          <x:t xml:space="preserve">SBV</x:t>
        </x:is>
      </x:c>
      <x:c r="D30" s="271" t="inlineStr">
        <x:is>
          <x:t xml:space="preserve">Official Letter</x:t>
        </x:is>
      </x:c>
      <x:c r="E30" s="271" t="inlineStr">
        <x:is>
          <x:t xml:space="preserve">Compliance</x:t>
        </x:is>
      </x:c>
      <x:c r="F30" s="155" t="n">
        <x:v>46087</x:v>
      </x:c>
      <x:c r="G30" s="155" t="n">
        <x:v>46094</x:v>
      </x:c>
      <x:c r="H30" s="155" t="str"/>
      <x:c r="I30" s="271" t="inlineStr">
        <x:is>
          <x:t xml:space="preserve">Drafting</x:t>
        </x:is>
      </x:c>
      <x:c r="J30" s="271" t="n">
        <x:f>IF(H30="",TODAY()-F30,H30-F30)</x:f>
        <x:v>131</x:v>
      </x:c>
      <x:c r="K30" s="271" t="inlineStr">
        <x:is>
          <x:t xml:space="preserve">Partial</x:t>
        </x:is>
      </x:c>
      <x:c r="L30" s="271" t="inlineStr">
        <x:is>
          <x:t xml:space="preserve">High</x:t>
        </x:is>
      </x:c>
      <x:c r="M30" s="271" t="inlineStr">
        <x:is>
          <x:t xml:space="preserve">Follow-up / quality review</x:t>
        </x:is>
      </x:c>
    </x:row>
    <x:row r="31">
      <x:c r="A31" s="271" t="inlineStr">
        <x:is>
          <x:t xml:space="preserve">SUB-030</x:t>
        </x:is>
      </x:c>
      <x:c r="B31" s="271" t="inlineStr">
        <x:is>
          <x:t xml:space="preserve">New Product Approval - item 30</x:t>
        </x:is>
      </x:c>
      <x:c r="C31" s="271" t="inlineStr">
        <x:is>
          <x:t xml:space="preserve">MOF</x:t>
        </x:is>
      </x:c>
      <x:c r="D31" s="271" t="inlineStr">
        <x:is>
          <x:t xml:space="preserve">Report</x:t>
        </x:is>
      </x:c>
      <x:c r="E31" s="271" t="inlineStr">
        <x:is>
          <x:t xml:space="preserve">Bancassurance</x:t>
        </x:is>
      </x:c>
      <x:c r="F31" s="155" t="n">
        <x:v>46119</x:v>
      </x:c>
      <x:c r="G31" s="155" t="n">
        <x:v>46132</x:v>
      </x:c>
      <x:c r="H31" s="155" t="str"/>
      <x:c r="I31" s="271" t="inlineStr">
        <x:is>
          <x:t xml:space="preserve">Waiting Internal Input</x:t>
        </x:is>
      </x:c>
      <x:c r="J31" s="271" t="n">
        <x:f>IF(H31="",TODAY()-F31,H31-F31)</x:f>
        <x:v>99</x:v>
      </x:c>
      <x:c r="K31" s="271" t="inlineStr">
        <x:is>
          <x:t xml:space="preserve">No</x:t>
        </x:is>
      </x:c>
      <x:c r="L31" s="271" t="inlineStr">
        <x:is>
          <x:t xml:space="preserve">High</x:t>
        </x:is>
      </x:c>
      <x:c r="M31" s="271" t="inlineStr">
        <x:is>
          <x:t xml:space="preserve">Follow-up / quality review</x:t>
        </x:is>
      </x:c>
    </x:row>
    <x:row r="32">
      <x:c r="A32" s="271" t="inlineStr">
        <x:is>
          <x:t xml:space="preserve">SUB-031</x:t>
        </x:is>
      </x:c>
      <x:c r="B32" s="271" t="inlineStr">
        <x:is>
          <x:t xml:space="preserve">License/Transaction - item 31</x:t>
        </x:is>
      </x:c>
      <x:c r="C32" s="271" t="inlineStr">
        <x:is>
          <x:t xml:space="preserve">SBV</x:t>
        </x:is>
      </x:c>
      <x:c r="D32" s="271" t="inlineStr">
        <x:is>
          <x:t xml:space="preserve">New Product Approval</x:t>
        </x:is>
      </x:c>
      <x:c r="E32" s="271" t="inlineStr">
        <x:is>
          <x:t xml:space="preserve">Compliance</x:t>
        </x:is>
      </x:c>
      <x:c r="F32" s="155" t="n">
        <x:v>46127</x:v>
      </x:c>
      <x:c r="G32" s="155" t="n">
        <x:v>46149</x:v>
      </x:c>
      <x:c r="H32" s="155" t="n">
        <x:v>46149</x:v>
      </x:c>
      <x:c r="I32" s="271" t="inlineStr">
        <x:is>
          <x:t xml:space="preserve">Approved</x:t>
        </x:is>
      </x:c>
      <x:c r="J32" s="271" t="n">
        <x:f>IF(H32="",TODAY()-F32,H32-F32)</x:f>
        <x:v>22</x:v>
      </x:c>
      <x:c r="K32" s="271" t="inlineStr">
        <x:is>
          <x:t xml:space="preserve">Yes</x:t>
        </x:is>
      </x:c>
      <x:c r="L32" s="271" t="inlineStr">
        <x:is>
          <x:t xml:space="preserve">Medium</x:t>
        </x:is>
      </x:c>
      <x:c r="M32" s="271" t="inlineStr">
        <x:is>
          <x:t xml:space="preserve">Follow-up / quality review</x:t>
        </x:is>
      </x:c>
    </x:row>
    <x:row r="33">
      <x:c r="A33" s="271" t="inlineStr">
        <x:is>
          <x:t xml:space="preserve">SUB-032</x:t>
        </x:is>
      </x:c>
      <x:c r="B33" s="271" t="inlineStr">
        <x:is>
          <x:t xml:space="preserve">New Product Approval - item 32</x:t>
        </x:is>
      </x:c>
      <x:c r="C33" s="271" t="inlineStr">
        <x:is>
          <x:t xml:space="preserve">IAV</x:t>
        </x:is>
      </x:c>
      <x:c r="D33" s="271" t="inlineStr">
        <x:is>
          <x:t xml:space="preserve">Agency Training</x:t>
        </x:is>
      </x:c>
      <x:c r="E33" s="271" t="inlineStr">
        <x:is>
          <x:t xml:space="preserve">Product</x:t>
        </x:is>
      </x:c>
      <x:c r="F33" s="155" t="n">
        <x:v>46169</x:v>
      </x:c>
      <x:c r="G33" s="155" t="n">
        <x:v>46177</x:v>
      </x:c>
      <x:c r="H33" s="155" t="n">
        <x:v>46176</x:v>
      </x:c>
      <x:c r="I33" s="271" t="inlineStr">
        <x:is>
          <x:t xml:space="preserve">Approved</x:t>
        </x:is>
      </x:c>
      <x:c r="J33" s="271" t="n">
        <x:f>IF(H33="",TODAY()-F33,H33-F33)</x:f>
        <x:v>7</x:v>
      </x:c>
      <x:c r="K33" s="271" t="inlineStr">
        <x:is>
          <x:t xml:space="preserve">Partial</x:t>
        </x:is>
      </x:c>
      <x:c r="L33" s="271" t="inlineStr">
        <x:is>
          <x:t xml:space="preserve">Medium</x:t>
        </x:is>
      </x:c>
      <x:c r="M33" s="271" t="inlineStr">
        <x:is>
          <x:t xml:space="preserve">Follow-up / quality review</x:t>
        </x:is>
      </x:c>
    </x:row>
    <x:row r="34">
      <x:c r="A34" s="271" t="inlineStr">
        <x:is>
          <x:t xml:space="preserve">SUB-033</x:t>
        </x:is>
      </x:c>
      <x:c r="B34" s="271" t="inlineStr">
        <x:is>
          <x:t xml:space="preserve">Agency Training - item 33</x:t>
        </x:is>
      </x:c>
      <x:c r="C34" s="271" t="inlineStr">
        <x:is>
          <x:t xml:space="preserve">MIC</x:t>
        </x:is>
      </x:c>
      <x:c r="D34" s="271" t="inlineStr">
        <x:is>
          <x:t xml:space="preserve">New Product Approval</x:t>
        </x:is>
      </x:c>
      <x:c r="E34" s="271" t="inlineStr">
        <x:is>
          <x:t xml:space="preserve">Legal</x:t>
        </x:is>
      </x:c>
      <x:c r="F34" s="155" t="n">
        <x:v>46157</x:v>
      </x:c>
      <x:c r="G34" s="155" t="n">
        <x:v>46183</x:v>
      </x:c>
      <x:c r="H34" s="155" t="n">
        <x:v>46181</x:v>
      </x:c>
      <x:c r="I34" s="271" t="inlineStr">
        <x:is>
          <x:t xml:space="preserve">Submitted</x:t>
        </x:is>
      </x:c>
      <x:c r="J34" s="271" t="n">
        <x:f>IF(H34="",TODAY()-F34,H34-F34)</x:f>
        <x:v>24</x:v>
      </x:c>
      <x:c r="K34" s="271" t="inlineStr">
        <x:is>
          <x:t xml:space="preserve">Yes</x:t>
        </x:is>
      </x:c>
      <x:c r="L34" s="271" t="inlineStr">
        <x:is>
          <x:t xml:space="preserve">Low</x:t>
        </x:is>
      </x:c>
      <x:c r="M34" s="271" t="inlineStr">
        <x:is>
          <x:t xml:space="preserve">Follow-up / quality review</x:t>
        </x:is>
      </x:c>
    </x:row>
    <x:row r="35">
      <x:c r="A35" s="271" t="inlineStr">
        <x:is>
          <x:t xml:space="preserve">SUB-034</x:t>
        </x:is>
      </x:c>
      <x:c r="B35" s="271" t="inlineStr">
        <x:is>
          <x:t xml:space="preserve">New Product Approval - item 34</x:t>
        </x:is>
      </x:c>
      <x:c r="C35" s="271" t="inlineStr">
        <x:is>
          <x:t xml:space="preserve">ISA</x:t>
        </x:is>
      </x:c>
      <x:c r="D35" s="271" t="inlineStr">
        <x:is>
          <x:t xml:space="preserve">License/Transaction</x:t>
        </x:is>
      </x:c>
      <x:c r="E35" s="271" t="inlineStr">
        <x:is>
          <x:t xml:space="preserve">Agency</x:t>
        </x:is>
      </x:c>
      <x:c r="F35" s="155" t="n">
        <x:v>46129</x:v>
      </x:c>
      <x:c r="G35" s="155" t="n">
        <x:v>46142</x:v>
      </x:c>
      <x:c r="H35" s="155" t="str"/>
      <x:c r="I35" s="271" t="inlineStr">
        <x:is>
          <x:t xml:space="preserve">Drafting</x:t>
        </x:is>
      </x:c>
      <x:c r="J35" s="271" t="n">
        <x:f>IF(H35="",TODAY()-F35,H35-F35)</x:f>
        <x:v>89</x:v>
      </x:c>
      <x:c r="K35" s="271" t="inlineStr">
        <x:is>
          <x:t xml:space="preserve">Yes</x:t>
        </x:is>
      </x:c>
      <x:c r="L35" s="271" t="inlineStr">
        <x:is>
          <x:t xml:space="preserve">Low</x:t>
        </x:is>
      </x:c>
      <x:c r="M35" s="271" t="inlineStr">
        <x:is>
          <x:t xml:space="preserve">Follow-up / quality review</x:t>
        </x:is>
      </x:c>
    </x:row>
    <x:row r="36">
      <x:c r="A36" s="271" t="inlineStr">
        <x:is>
          <x:t xml:space="preserve">SUB-035</x:t>
        </x:is>
      </x:c>
      <x:c r="B36" s="271" t="inlineStr">
        <x:is>
          <x:t xml:space="preserve">Official Letter - item 35</x:t>
        </x:is>
      </x:c>
      <x:c r="C36" s="271" t="inlineStr">
        <x:is>
          <x:t xml:space="preserve">MOF</x:t>
        </x:is>
      </x:c>
      <x:c r="D36" s="271" t="inlineStr">
        <x:is>
          <x:t xml:space="preserve">License/Transaction</x:t>
        </x:is>
      </x:c>
      <x:c r="E36" s="271" t="inlineStr">
        <x:is>
          <x:t xml:space="preserve">Finance</x:t>
        </x:is>
      </x:c>
      <x:c r="F36" s="155" t="n">
        <x:v>46127</x:v>
      </x:c>
      <x:c r="G36" s="155" t="n">
        <x:v>46149</x:v>
      </x:c>
      <x:c r="H36" s="155" t="n">
        <x:v>46149</x:v>
      </x:c>
      <x:c r="I36" s="271" t="inlineStr">
        <x:is>
          <x:t xml:space="preserve">Approved</x:t>
        </x:is>
      </x:c>
      <x:c r="J36" s="271" t="n">
        <x:f>IF(H36="",TODAY()-F36,H36-F36)</x:f>
        <x:v>22</x:v>
      </x:c>
      <x:c r="K36" s="271" t="inlineStr">
        <x:is>
          <x:t xml:space="preserve">Partial</x:t>
        </x:is>
      </x:c>
      <x:c r="L36" s="271" t="inlineStr">
        <x:is>
          <x:t xml:space="preserve">High</x:t>
        </x:is>
      </x:c>
      <x:c r="M36" s="271" t="inlineStr">
        <x:is>
          <x:t xml:space="preserve">Follow-up / quality review</x:t>
        </x:is>
      </x:c>
    </x:row>
    <x:row r="37">
      <x:c r="A37" s="271" t="inlineStr">
        <x:is>
          <x:t xml:space="preserve">SUB-036</x:t>
        </x:is>
      </x:c>
      <x:c r="B37" s="271" t="inlineStr">
        <x:is>
          <x:t xml:space="preserve">Report - item 36</x:t>
        </x:is>
      </x:c>
      <x:c r="C37" s="271" t="inlineStr">
        <x:is>
          <x:t xml:space="preserve">MOF</x:t>
        </x:is>
      </x:c>
      <x:c r="D37" s="271" t="inlineStr">
        <x:is>
          <x:t xml:space="preserve">New Product Approval</x:t>
        </x:is>
      </x:c>
      <x:c r="E37" s="271" t="inlineStr">
        <x:is>
          <x:t xml:space="preserve">Bancassurance</x:t>
        </x:is>
      </x:c>
      <x:c r="F37" s="155" t="n">
        <x:v>46136</x:v>
      </x:c>
      <x:c r="G37" s="155" t="n">
        <x:v>46159</x:v>
      </x:c>
      <x:c r="H37" s="155" t="n">
        <x:v>46156</x:v>
      </x:c>
      <x:c r="I37" s="271" t="inlineStr">
        <x:is>
          <x:t xml:space="preserve">Submitted</x:t>
        </x:is>
      </x:c>
      <x:c r="J37" s="271" t="n">
        <x:f>IF(H37="",TODAY()-F37,H37-F37)</x:f>
        <x:v>20</x:v>
      </x:c>
      <x:c r="K37" s="271" t="inlineStr">
        <x:is>
          <x:t xml:space="preserve">Yes</x:t>
        </x:is>
      </x:c>
      <x:c r="L37" s="271" t="inlineStr">
        <x:is>
          <x:t xml:space="preserve">Medium</x:t>
        </x:is>
      </x:c>
      <x:c r="M37" s="271" t="inlineStr">
        <x:is>
          <x:t xml:space="preserve">Follow-up / quality review</x:t>
        </x:is>
      </x:c>
    </x:row>
    <x:row r="38">
      <x:c r="A38" s="271" t="inlineStr">
        <x:is>
          <x:t xml:space="preserve">SUB-037</x:t>
        </x:is>
      </x:c>
      <x:c r="B38" s="271" t="inlineStr">
        <x:is>
          <x:t xml:space="preserve">Official Letter - item 37</x:t>
        </x:is>
      </x:c>
      <x:c r="C38" s="271" t="inlineStr">
        <x:is>
          <x:t xml:space="preserve">IAV</x:t>
        </x:is>
      </x:c>
      <x:c r="D38" s="271" t="inlineStr">
        <x:is>
          <x:t xml:space="preserve">Ad-hoc Response</x:t>
        </x:is>
      </x:c>
      <x:c r="E38" s="271" t="inlineStr">
        <x:is>
          <x:t xml:space="preserve">Operations</x:t>
        </x:is>
      </x:c>
      <x:c r="F38" s="155" t="n">
        <x:v>46157</x:v>
      </x:c>
      <x:c r="G38" s="155" t="n">
        <x:v>46183</x:v>
      </x:c>
      <x:c r="H38" s="155" t="str"/>
      <x:c r="I38" s="271" t="inlineStr">
        <x:is>
          <x:t xml:space="preserve">In Review</x:t>
        </x:is>
      </x:c>
      <x:c r="J38" s="271" t="n">
        <x:f>IF(H38="",TODAY()-F38,H38-F38)</x:f>
        <x:v>61</x:v>
      </x:c>
      <x:c r="K38" s="271" t="inlineStr">
        <x:is>
          <x:t xml:space="preserve">Partial</x:t>
        </x:is>
      </x:c>
      <x:c r="L38" s="271" t="inlineStr">
        <x:is>
          <x:t xml:space="preserve">Low</x:t>
        </x:is>
      </x:c>
      <x:c r="M38" s="271" t="inlineStr">
        <x:is>
          <x:t xml:space="preserve">Follow-up / quality review</x:t>
        </x:is>
      </x:c>
    </x:row>
    <x:row r="39">
      <x:c r="A39" s="271" t="inlineStr">
        <x:is>
          <x:t xml:space="preserve">SUB-038</x:t>
        </x:is>
      </x:c>
      <x:c r="B39" s="271" t="inlineStr">
        <x:is>
          <x:t xml:space="preserve">Capital Injection - item 38</x:t>
        </x:is>
      </x:c>
      <x:c r="C39" s="271" t="inlineStr">
        <x:is>
          <x:t xml:space="preserve">MOF</x:t>
        </x:is>
      </x:c>
      <x:c r="D39" s="271" t="inlineStr">
        <x:is>
          <x:t xml:space="preserve">Report</x:t>
        </x:is>
      </x:c>
      <x:c r="E39" s="271" t="inlineStr">
        <x:is>
          <x:t xml:space="preserve">Bancassurance</x:t>
        </x:is>
      </x:c>
      <x:c r="F39" s="155" t="n">
        <x:v>46164</x:v>
      </x:c>
      <x:c r="G39" s="155" t="n">
        <x:v>46176</x:v>
      </x:c>
      <x:c r="H39" s="155" t="n">
        <x:v>46175</x:v>
      </x:c>
      <x:c r="I39" s="271" t="inlineStr">
        <x:is>
          <x:t xml:space="preserve">Approved</x:t>
        </x:is>
      </x:c>
      <x:c r="J39" s="271" t="n">
        <x:f>IF(H39="",TODAY()-F39,H39-F39)</x:f>
        <x:v>11</x:v>
      </x:c>
      <x:c r="K39" s="271" t="inlineStr">
        <x:is>
          <x:t xml:space="preserve">No</x:t>
        </x:is>
      </x:c>
      <x:c r="L39" s="271" t="inlineStr">
        <x:is>
          <x:t xml:space="preserve">Low</x:t>
        </x:is>
      </x:c>
      <x:c r="M39" s="271" t="inlineStr">
        <x:is>
          <x:t xml:space="preserve">Follow-up / quality review</x:t>
        </x:is>
      </x:c>
    </x:row>
    <x:row r="40">
      <x:c r="A40" s="271" t="inlineStr">
        <x:is>
          <x:t xml:space="preserve">SUB-039</x:t>
        </x:is>
      </x:c>
      <x:c r="B40" s="271" t="inlineStr">
        <x:is>
          <x:t xml:space="preserve">Report - item 39</x:t>
        </x:is>
      </x:c>
      <x:c r="C40" s="271" t="inlineStr">
        <x:is>
          <x:t xml:space="preserve">MOF</x:t>
        </x:is>
      </x:c>
      <x:c r="D40" s="271" t="inlineStr">
        <x:is>
          <x:t xml:space="preserve">Capital Injection</x:t>
        </x:is>
      </x:c>
      <x:c r="E40" s="271" t="inlineStr">
        <x:is>
          <x:t xml:space="preserve">Legal</x:t>
        </x:is>
      </x:c>
      <x:c r="F40" s="155" t="n">
        <x:v>46089</x:v>
      </x:c>
      <x:c r="G40" s="155" t="n">
        <x:v>46119</x:v>
      </x:c>
      <x:c r="H40" s="155" t="str"/>
      <x:c r="I40" s="271" t="inlineStr">
        <x:is>
          <x:t xml:space="preserve">In Review</x:t>
        </x:is>
      </x:c>
      <x:c r="J40" s="271" t="n">
        <x:f>IF(H40="",TODAY()-F40,H40-F40)</x:f>
        <x:v>129</x:v>
      </x:c>
      <x:c r="K40" s="271" t="inlineStr">
        <x:is>
          <x:t xml:space="preserve">No</x:t>
        </x:is>
      </x:c>
      <x:c r="L40" s="271" t="inlineStr">
        <x:is>
          <x:t xml:space="preserve">High</x:t>
        </x:is>
      </x:c>
      <x:c r="M40" s="271" t="inlineStr">
        <x:is>
          <x:t xml:space="preserve">Follow-up / quality review</x:t>
        </x:is>
      </x:c>
    </x:row>
    <x:row r="41">
      <x:c r="A41" s="271" t="inlineStr">
        <x:is>
          <x:t xml:space="preserve">SUB-040</x:t>
        </x:is>
      </x:c>
      <x:c r="B41" s="271" t="inlineStr">
        <x:is>
          <x:t xml:space="preserve">Ad-hoc Response - item 40</x:t>
        </x:is>
      </x:c>
      <x:c r="C41" s="271" t="inlineStr">
        <x:is>
          <x:t xml:space="preserve">ISA</x:t>
        </x:is>
      </x:c>
      <x:c r="D41" s="271" t="inlineStr">
        <x:is>
          <x:t xml:space="preserve">Report</x:t>
        </x:is>
      </x:c>
      <x:c r="E41" s="271" t="inlineStr">
        <x:is>
          <x:t xml:space="preserve">Legal</x:t>
        </x:is>
      </x:c>
      <x:c r="F41" s="155" t="n">
        <x:v>46158</x:v>
      </x:c>
      <x:c r="G41" s="155" t="n">
        <x:v>46177</x:v>
      </x:c>
      <x:c r="H41" s="155" t="str"/>
      <x:c r="I41" s="271" t="inlineStr">
        <x:is>
          <x:t xml:space="preserve">In Review</x:t>
        </x:is>
      </x:c>
      <x:c r="J41" s="271" t="n">
        <x:f>IF(H41="",TODAY()-F41,H41-F41)</x:f>
        <x:v>60</x:v>
      </x:c>
      <x:c r="K41" s="271" t="inlineStr">
        <x:is>
          <x:t xml:space="preserve">Partial</x:t>
        </x:is>
      </x:c>
      <x:c r="L41" s="271" t="inlineStr">
        <x:is>
          <x:t xml:space="preserve">High</x:t>
        </x:is>
      </x:c>
      <x:c r="M41" s="271" t="inlineStr">
        <x:is>
          <x:t xml:space="preserve">Follow-up / quality review</x:t>
        </x:is>
      </x:c>
    </x:row>
    <x:row r="42">
      <x:c r="A42" s="271" t="inlineStr">
        <x:is>
          <x:t xml:space="preserve">SUB-041</x:t>
        </x:is>
      </x:c>
      <x:c r="B42" s="271" t="inlineStr">
        <x:is>
          <x:t xml:space="preserve">Official Letter - item 41</x:t>
        </x:is>
      </x:c>
      <x:c r="C42" s="271" t="inlineStr">
        <x:is>
          <x:t xml:space="preserve">IAV</x:t>
        </x:is>
      </x:c>
      <x:c r="D42" s="271" t="inlineStr">
        <x:is>
          <x:t xml:space="preserve">New Product Approval</x:t>
        </x:is>
      </x:c>
      <x:c r="E42" s="271" t="inlineStr">
        <x:is>
          <x:t xml:space="preserve">Operations</x:t>
        </x:is>
      </x:c>
      <x:c r="F42" s="155" t="n">
        <x:v>46132</x:v>
      </x:c>
      <x:c r="G42" s="155" t="n">
        <x:v>46147</x:v>
      </x:c>
      <x:c r="H42" s="155" t="str"/>
      <x:c r="I42" s="271" t="inlineStr">
        <x:is>
          <x:t xml:space="preserve">In Review</x:t>
        </x:is>
      </x:c>
      <x:c r="J42" s="271" t="n">
        <x:f>IF(H42="",TODAY()-F42,H42-F42)</x:f>
        <x:v>86</x:v>
      </x:c>
      <x:c r="K42" s="271" t="inlineStr">
        <x:is>
          <x:t xml:space="preserve">Partial</x:t>
        </x:is>
      </x:c>
      <x:c r="L42" s="271" t="inlineStr">
        <x:is>
          <x:t xml:space="preserve">Low</x:t>
        </x:is>
      </x:c>
      <x:c r="M42" s="271" t="inlineStr">
        <x:is>
          <x:t xml:space="preserve">Follow-up / quality review</x:t>
        </x:is>
      </x:c>
    </x:row>
    <x:row r="43">
      <x:c r="A43" s="271" t="inlineStr">
        <x:is>
          <x:t xml:space="preserve">SUB-042</x:t>
        </x:is>
      </x:c>
      <x:c r="B43" s="271" t="inlineStr">
        <x:is>
          <x:t xml:space="preserve">New Product Approval - item 42</x:t>
        </x:is>
      </x:c>
      <x:c r="C43" s="271" t="inlineStr">
        <x:is>
          <x:t xml:space="preserve">ISA</x:t>
        </x:is>
      </x:c>
      <x:c r="D43" s="271" t="inlineStr">
        <x:is>
          <x:t xml:space="preserve">Agency Training</x:t>
        </x:is>
      </x:c>
      <x:c r="E43" s="271" t="inlineStr">
        <x:is>
          <x:t xml:space="preserve">Agency</x:t>
        </x:is>
      </x:c>
      <x:c r="F43" s="155" t="n">
        <x:v>46141</x:v>
      </x:c>
      <x:c r="G43" s="155" t="n">
        <x:v>46146</x:v>
      </x:c>
      <x:c r="H43" s="155" t="str"/>
      <x:c r="I43" s="271" t="inlineStr">
        <x:is>
          <x:t xml:space="preserve">Drafting</x:t>
        </x:is>
      </x:c>
      <x:c r="J43" s="271" t="n">
        <x:f>IF(H43="",TODAY()-F43,H43-F43)</x:f>
        <x:v>77</x:v>
      </x:c>
      <x:c r="K43" s="271" t="inlineStr">
        <x:is>
          <x:t xml:space="preserve">Yes</x:t>
        </x:is>
      </x:c>
      <x:c r="L43" s="271" t="inlineStr">
        <x:is>
          <x:t xml:space="preserve">High</x:t>
        </x:is>
      </x:c>
      <x:c r="M43" s="271" t="inlineStr">
        <x:is>
          <x:t xml:space="preserve">Follow-up / quality review</x:t>
        </x:is>
      </x:c>
    </x:row>
    <x:row r="44">
      <x:c r="A44" s="271" t="inlineStr">
        <x:is>
          <x:t xml:space="preserve">SUB-043</x:t>
        </x:is>
      </x:c>
      <x:c r="B44" s="271" t="inlineStr">
        <x:is>
          <x:t xml:space="preserve">Ad-hoc Response - item 43</x:t>
        </x:is>
      </x:c>
      <x:c r="C44" s="271" t="inlineStr">
        <x:is>
          <x:t xml:space="preserve">IAV</x:t>
        </x:is>
      </x:c>
      <x:c r="D44" s="271" t="inlineStr">
        <x:is>
          <x:t xml:space="preserve">Capital Injection</x:t>
        </x:is>
      </x:c>
      <x:c r="E44" s="271" t="inlineStr">
        <x:is>
          <x:t xml:space="preserve">Compliance</x:t>
        </x:is>
      </x:c>
      <x:c r="F44" s="155" t="n">
        <x:v>46107</x:v>
      </x:c>
      <x:c r="G44" s="155" t="n">
        <x:v>46125</x:v>
      </x:c>
      <x:c r="H44" s="155" t="str"/>
      <x:c r="I44" s="271" t="inlineStr">
        <x:is>
          <x:t xml:space="preserve">In Review</x:t>
        </x:is>
      </x:c>
      <x:c r="J44" s="271" t="n">
        <x:f>IF(H44="",TODAY()-F44,H44-F44)</x:f>
        <x:v>111</x:v>
      </x:c>
      <x:c r="K44" s="271" t="inlineStr">
        <x:is>
          <x:t xml:space="preserve">No</x:t>
        </x:is>
      </x:c>
      <x:c r="L44" s="271" t="inlineStr">
        <x:is>
          <x:t xml:space="preserve">Low</x:t>
        </x:is>
      </x:c>
      <x:c r="M44" s="271" t="inlineStr">
        <x:is>
          <x:t xml:space="preserve">Follow-up / quality review</x:t>
        </x:is>
      </x:c>
    </x:row>
    <x:row r="45">
      <x:c r="A45" s="271" t="inlineStr">
        <x:is>
          <x:t xml:space="preserve">SUB-044</x:t>
        </x:is>
      </x:c>
      <x:c r="B45" s="271" t="inlineStr">
        <x:is>
          <x:t xml:space="preserve">Capital Injection - item 44</x:t>
        </x:is>
      </x:c>
      <x:c r="C45" s="271" t="inlineStr">
        <x:is>
          <x:t xml:space="preserve">MOF</x:t>
        </x:is>
      </x:c>
      <x:c r="D45" s="271" t="inlineStr">
        <x:is>
          <x:t xml:space="preserve">Agency Training</x:t>
        </x:is>
      </x:c>
      <x:c r="E45" s="271" t="inlineStr">
        <x:is>
          <x:t xml:space="preserve">Product</x:t>
        </x:is>
      </x:c>
      <x:c r="F45" s="155" t="n">
        <x:v>46159</x:v>
      </x:c>
      <x:c r="G45" s="155" t="n">
        <x:v>46172</x:v>
      </x:c>
      <x:c r="H45" s="155" t="str"/>
      <x:c r="I45" s="271" t="inlineStr">
        <x:is>
          <x:t xml:space="preserve">Drafting</x:t>
        </x:is>
      </x:c>
      <x:c r="J45" s="271" t="n">
        <x:f>IF(H45="",TODAY()-F45,H45-F45)</x:f>
        <x:v>59</x:v>
      </x:c>
      <x:c r="K45" s="271" t="inlineStr">
        <x:is>
          <x:t xml:space="preserve">No</x:t>
        </x:is>
      </x:c>
      <x:c r="L45" s="271" t="inlineStr">
        <x:is>
          <x:t xml:space="preserve">Medium</x:t>
        </x:is>
      </x:c>
      <x:c r="M45" s="271" t="inlineStr">
        <x:is>
          <x:t xml:space="preserve">Follow-up / quality review</x:t>
        </x:is>
      </x:c>
    </x:row>
    <x:row r="46">
      <x:c r="A46" s="271" t="inlineStr">
        <x:is>
          <x:t xml:space="preserve">SUB-045</x:t>
        </x:is>
      </x:c>
      <x:c r="B46" s="271" t="inlineStr">
        <x:is>
          <x:t xml:space="preserve">Agency Training - item 45</x:t>
        </x:is>
      </x:c>
      <x:c r="C46" s="271" t="inlineStr">
        <x:is>
          <x:t xml:space="preserve">IAV</x:t>
        </x:is>
      </x:c>
      <x:c r="D46" s="271" t="inlineStr">
        <x:is>
          <x:t xml:space="preserve">License/Transaction</x:t>
        </x:is>
      </x:c>
      <x:c r="E46" s="271" t="inlineStr">
        <x:is>
          <x:t xml:space="preserve">Compliance</x:t>
        </x:is>
      </x:c>
      <x:c r="F46" s="155" t="n">
        <x:v>46175</x:v>
      </x:c>
      <x:c r="G46" s="155" t="n">
        <x:v>46201</x:v>
      </x:c>
      <x:c r="H46" s="155" t="str"/>
      <x:c r="I46" s="271" t="inlineStr">
        <x:is>
          <x:t xml:space="preserve">Overdue</x:t>
        </x:is>
      </x:c>
      <x:c r="J46" s="271" t="n">
        <x:f>IF(H46="",TODAY()-F46,H46-F46)</x:f>
        <x:v>43</x:v>
      </x:c>
      <x:c r="K46" s="271" t="inlineStr">
        <x:is>
          <x:t xml:space="preserve">Partial</x:t>
        </x:is>
      </x:c>
      <x:c r="L46" s="271" t="inlineStr">
        <x:is>
          <x:t xml:space="preserve">Medium</x:t>
        </x:is>
      </x:c>
      <x:c r="M46" s="271" t="inlineStr">
        <x:is>
          <x:t xml:space="preserve">Follow-up / quality review</x:t>
        </x:is>
      </x:c>
    </x:row>
    <x:row r="47">
      <x:c r="A47" s="271" t="inlineStr">
        <x:is>
          <x:t xml:space="preserve">SUB-046</x:t>
        </x:is>
      </x:c>
      <x:c r="B47" s="271" t="inlineStr">
        <x:is>
          <x:t xml:space="preserve">Capital Injection - item 46</x:t>
        </x:is>
      </x:c>
      <x:c r="C47" s="271" t="inlineStr">
        <x:is>
          <x:t xml:space="preserve">IAV</x:t>
        </x:is>
      </x:c>
      <x:c r="D47" s="271" t="inlineStr">
        <x:is>
          <x:t xml:space="preserve">Agency Training</x:t>
        </x:is>
      </x:c>
      <x:c r="E47" s="271" t="inlineStr">
        <x:is>
          <x:t xml:space="preserve">Finance</x:t>
        </x:is>
      </x:c>
      <x:c r="F47" s="155" t="n">
        <x:v>46119</x:v>
      </x:c>
      <x:c r="G47" s="155" t="n">
        <x:v>46133</x:v>
      </x:c>
      <x:c r="H47" s="155" t="n">
        <x:v>46131</x:v>
      </x:c>
      <x:c r="I47" s="271" t="inlineStr">
        <x:is>
          <x:t xml:space="preserve">Approved</x:t>
        </x:is>
      </x:c>
      <x:c r="J47" s="271" t="n">
        <x:f>IF(H47="",TODAY()-F47,H47-F47)</x:f>
        <x:v>12</x:v>
      </x:c>
      <x:c r="K47" s="271" t="inlineStr">
        <x:is>
          <x:t xml:space="preserve">Yes</x:t>
        </x:is>
      </x:c>
      <x:c r="L47" s="271" t="inlineStr">
        <x:is>
          <x:t xml:space="preserve">Medium</x:t>
        </x:is>
      </x:c>
      <x:c r="M47" s="271" t="inlineStr">
        <x:is>
          <x:t xml:space="preserve">Follow-up / quality review</x:t>
        </x:is>
      </x:c>
    </x:row>
    <x:row r="48">
      <x:c r="A48" s="271" t="inlineStr">
        <x:is>
          <x:t xml:space="preserve">SUB-047</x:t>
        </x:is>
      </x:c>
      <x:c r="B48" s="271" t="inlineStr">
        <x:is>
          <x:t xml:space="preserve">Agency Training - item 47</x:t>
        </x:is>
      </x:c>
      <x:c r="C48" s="271" t="inlineStr">
        <x:is>
          <x:t xml:space="preserve">SBV</x:t>
        </x:is>
      </x:c>
      <x:c r="D48" s="271" t="inlineStr">
        <x:is>
          <x:t xml:space="preserve">New Product Approval</x:t>
        </x:is>
      </x:c>
      <x:c r="E48" s="271" t="inlineStr">
        <x:is>
          <x:t xml:space="preserve">Operations</x:t>
        </x:is>
      </x:c>
      <x:c r="F48" s="155" t="n">
        <x:v>46098</x:v>
      </x:c>
      <x:c r="G48" s="155" t="n">
        <x:v>46115</x:v>
      </x:c>
      <x:c r="H48" s="155" t="n">
        <x:v>46114</x:v>
      </x:c>
      <x:c r="I48" s="271" t="inlineStr">
        <x:is>
          <x:t xml:space="preserve">Approved</x:t>
        </x:is>
      </x:c>
      <x:c r="J48" s="271" t="n">
        <x:f>IF(H48="",TODAY()-F48,H48-F48)</x:f>
        <x:v>16</x:v>
      </x:c>
      <x:c r="K48" s="271" t="inlineStr">
        <x:is>
          <x:t xml:space="preserve">Partial</x:t>
        </x:is>
      </x:c>
      <x:c r="L48" s="271" t="inlineStr">
        <x:is>
          <x:t xml:space="preserve">High</x:t>
        </x:is>
      </x:c>
      <x:c r="M48" s="271" t="inlineStr">
        <x:is>
          <x:t xml:space="preserve">Follow-up / quality review</x:t>
        </x:is>
      </x:c>
    </x:row>
    <x:row r="49">
      <x:c r="A49" s="271" t="inlineStr">
        <x:is>
          <x:t xml:space="preserve">SUB-048</x:t>
        </x:is>
      </x:c>
      <x:c r="B49" s="271" t="inlineStr">
        <x:is>
          <x:t xml:space="preserve">Ad-hoc Response - item 48</x:t>
        </x:is>
      </x:c>
      <x:c r="C49" s="271" t="inlineStr">
        <x:is>
          <x:t xml:space="preserve">SBV</x:t>
        </x:is>
      </x:c>
      <x:c r="D49" s="271" t="inlineStr">
        <x:is>
          <x:t xml:space="preserve">Agency Training</x:t>
        </x:is>
      </x:c>
      <x:c r="E49" s="271" t="inlineStr">
        <x:is>
          <x:t xml:space="preserve">Bancassurance</x:t>
        </x:is>
      </x:c>
      <x:c r="F49" s="155" t="n">
        <x:v>46145</x:v>
      </x:c>
      <x:c r="G49" s="155" t="n">
        <x:v>46159</x:v>
      </x:c>
      <x:c r="H49" s="155" t="str"/>
      <x:c r="I49" s="271" t="inlineStr">
        <x:is>
          <x:t xml:space="preserve">Waiting Internal Input</x:t>
        </x:is>
      </x:c>
      <x:c r="J49" s="271" t="n">
        <x:f>IF(H49="",TODAY()-F49,H49-F49)</x:f>
        <x:v>73</x:v>
      </x:c>
      <x:c r="K49" s="271" t="inlineStr">
        <x:is>
          <x:t xml:space="preserve">No</x:t>
        </x:is>
      </x:c>
      <x:c r="L49" s="271" t="inlineStr">
        <x:is>
          <x:t xml:space="preserve">Medium</x:t>
        </x:is>
      </x:c>
      <x:c r="M49" s="271" t="inlineStr">
        <x:is>
          <x:t xml:space="preserve">Follow-up / quality review</x:t>
        </x:is>
      </x:c>
    </x:row>
    <x:row r="50">
      <x:c r="A50" s="271" t="inlineStr">
        <x:is>
          <x:t xml:space="preserve">SUB-049</x:t>
        </x:is>
      </x:c>
      <x:c r="B50" s="271" t="inlineStr">
        <x:is>
          <x:t xml:space="preserve">Capital Injection - item 49</x:t>
        </x:is>
      </x:c>
      <x:c r="C50" s="271" t="inlineStr">
        <x:is>
          <x:t xml:space="preserve">ISA</x:t>
        </x:is>
      </x:c>
      <x:c r="D50" s="271" t="inlineStr">
        <x:is>
          <x:t xml:space="preserve">License/Transaction</x:t>
        </x:is>
      </x:c>
      <x:c r="E50" s="271" t="inlineStr">
        <x:is>
          <x:t xml:space="preserve">Compliance</x:t>
        </x:is>
      </x:c>
      <x:c r="F50" s="155" t="n">
        <x:v>46127</x:v>
      </x:c>
      <x:c r="G50" s="155" t="n">
        <x:v>46153</x:v>
      </x:c>
      <x:c r="H50" s="155" t="str"/>
      <x:c r="I50" s="271" t="inlineStr">
        <x:is>
          <x:t xml:space="preserve">Waiting Internal Input</x:t>
        </x:is>
      </x:c>
      <x:c r="J50" s="271" t="n">
        <x:f>IF(H50="",TODAY()-F50,H50-F50)</x:f>
        <x:v>91</x:v>
      </x:c>
      <x:c r="K50" s="271" t="inlineStr">
        <x:is>
          <x:t xml:space="preserve">No</x:t>
        </x:is>
      </x:c>
      <x:c r="L50" s="271" t="inlineStr">
        <x:is>
          <x:t xml:space="preserve">Low</x:t>
        </x:is>
      </x:c>
      <x:c r="M50" s="271" t="inlineStr">
        <x:is>
          <x:t xml:space="preserve">Follow-up / quality review</x:t>
        </x:is>
      </x:c>
    </x:row>
    <x:row r="51">
      <x:c r="A51" s="271" t="inlineStr">
        <x:is>
          <x:t xml:space="preserve">SUB-050</x:t>
        </x:is>
      </x:c>
      <x:c r="B51" s="271" t="inlineStr">
        <x:is>
          <x:t xml:space="preserve">Ad-hoc Response - item 50</x:t>
        </x:is>
      </x:c>
      <x:c r="C51" s="271" t="inlineStr">
        <x:is>
          <x:t xml:space="preserve">ISA</x:t>
        </x:is>
      </x:c>
      <x:c r="D51" s="271" t="inlineStr">
        <x:is>
          <x:t xml:space="preserve">License/Transaction</x:t>
        </x:is>
      </x:c>
      <x:c r="E51" s="271" t="inlineStr">
        <x:is>
          <x:t xml:space="preserve">Agency</x:t>
        </x:is>
      </x:c>
      <x:c r="F51" s="155" t="n">
        <x:v>46099</x:v>
      </x:c>
      <x:c r="G51" s="155" t="n">
        <x:v>46124</x:v>
      </x:c>
      <x:c r="H51" s="155" t="n">
        <x:v>46124</x:v>
      </x:c>
      <x:c r="I51" s="271" t="inlineStr">
        <x:is>
          <x:t xml:space="preserve">Submitted</x:t>
        </x:is>
      </x:c>
      <x:c r="J51" s="271" t="n">
        <x:f>IF(H51="",TODAY()-F51,H51-F51)</x:f>
        <x:v>25</x:v>
      </x:c>
      <x:c r="K51" s="271" t="inlineStr">
        <x:is>
          <x:t xml:space="preserve">Yes</x:t>
        </x:is>
      </x:c>
      <x:c r="L51" s="271" t="inlineStr">
        <x:is>
          <x:t xml:space="preserve">High</x:t>
        </x:is>
      </x:c>
      <x:c r="M51" s="271" t="inlineStr">
        <x:is>
          <x:t xml:space="preserve">Follow-up / quality review</x:t>
        </x:is>
      </x:c>
    </x:row>
    <x:row r="52">
      <x:c r="A52" s="271" t="inlineStr">
        <x:is>
          <x:t xml:space="preserve">SUB-051</x:t>
        </x:is>
      </x:c>
      <x:c r="B52" s="271" t="inlineStr">
        <x:is>
          <x:t xml:space="preserve">Capital Injection - item 51</x:t>
        </x:is>
      </x:c>
      <x:c r="C52" s="271" t="inlineStr">
        <x:is>
          <x:t xml:space="preserve">SBV</x:t>
        </x:is>
      </x:c>
      <x:c r="D52" s="271" t="inlineStr">
        <x:is>
          <x:t xml:space="preserve">Ad-hoc Response</x:t>
        </x:is>
      </x:c>
      <x:c r="E52" s="271" t="inlineStr">
        <x:is>
          <x:t xml:space="preserve">Compliance</x:t>
        </x:is>
      </x:c>
      <x:c r="F52" s="155" t="n">
        <x:v>46165</x:v>
      </x:c>
      <x:c r="G52" s="155" t="n">
        <x:v>46170</x:v>
      </x:c>
      <x:c r="H52" s="155" t="str"/>
      <x:c r="I52" s="271" t="inlineStr">
        <x:is>
          <x:t xml:space="preserve">Drafting</x:t>
        </x:is>
      </x:c>
      <x:c r="J52" s="271" t="n">
        <x:f>IF(H52="",TODAY()-F52,H52-F52)</x:f>
        <x:v>53</x:v>
      </x:c>
      <x:c r="K52" s="271" t="inlineStr">
        <x:is>
          <x:t xml:space="preserve">No</x:t>
        </x:is>
      </x:c>
      <x:c r="L52" s="271" t="inlineStr">
        <x:is>
          <x:t xml:space="preserve">Medium</x:t>
        </x:is>
      </x:c>
      <x:c r="M52" s="271" t="inlineStr">
        <x:is>
          <x:t xml:space="preserve">Follow-up / quality review</x:t>
        </x:is>
      </x:c>
    </x:row>
    <x:row r="53">
      <x:c r="A53" s="271" t="inlineStr">
        <x:is>
          <x:t xml:space="preserve">SUB-052</x:t>
        </x:is>
      </x:c>
      <x:c r="B53" s="271" t="inlineStr">
        <x:is>
          <x:t xml:space="preserve">License/Transaction - item 52</x:t>
        </x:is>
      </x:c>
      <x:c r="C53" s="271" t="inlineStr">
        <x:is>
          <x:t xml:space="preserve">MIC</x:t>
        </x:is>
      </x:c>
      <x:c r="D53" s="271" t="inlineStr">
        <x:is>
          <x:t xml:space="preserve">Capital Injection</x:t>
        </x:is>
      </x:c>
      <x:c r="E53" s="271" t="inlineStr">
        <x:is>
          <x:t xml:space="preserve">Operations</x:t>
        </x:is>
      </x:c>
      <x:c r="F53" s="155" t="n">
        <x:v>46103</x:v>
      </x:c>
      <x:c r="G53" s="155" t="n">
        <x:v>46126</x:v>
      </x:c>
      <x:c r="H53" s="155" t="str"/>
      <x:c r="I53" s="271" t="inlineStr">
        <x:is>
          <x:t xml:space="preserve">Waiting Internal Input</x:t>
        </x:is>
      </x:c>
      <x:c r="J53" s="271" t="n">
        <x:f>IF(H53="",TODAY()-F53,H53-F53)</x:f>
        <x:v>115</x:v>
      </x:c>
      <x:c r="K53" s="271" t="inlineStr">
        <x:is>
          <x:t xml:space="preserve">Yes</x:t>
        </x:is>
      </x:c>
      <x:c r="L53" s="271" t="inlineStr">
        <x:is>
          <x:t xml:space="preserve">High</x:t>
        </x:is>
      </x:c>
      <x:c r="M53" s="271" t="inlineStr">
        <x:is>
          <x:t xml:space="preserve">Follow-up / quality review</x:t>
        </x:is>
      </x:c>
    </x:row>
    <x:row r="54">
      <x:c r="A54" s="271" t="inlineStr">
        <x:is>
          <x:t xml:space="preserve">SUB-053</x:t>
        </x:is>
      </x:c>
      <x:c r="B54" s="271" t="inlineStr">
        <x:is>
          <x:t xml:space="preserve">Ad-hoc Response - item 53</x:t>
        </x:is>
      </x:c>
      <x:c r="C54" s="271" t="inlineStr">
        <x:is>
          <x:t xml:space="preserve">MOF</x:t>
        </x:is>
      </x:c>
      <x:c r="D54" s="271" t="inlineStr">
        <x:is>
          <x:t xml:space="preserve">Ad-hoc Response</x:t>
        </x:is>
      </x:c>
      <x:c r="E54" s="271" t="inlineStr">
        <x:is>
          <x:t xml:space="preserve">Operations</x:t>
        </x:is>
      </x:c>
      <x:c r="F54" s="155" t="n">
        <x:v>46100</x:v>
      </x:c>
      <x:c r="G54" s="155" t="n">
        <x:v>46127</x:v>
      </x:c>
      <x:c r="H54" s="155" t="str"/>
      <x:c r="I54" s="271" t="inlineStr">
        <x:is>
          <x:t xml:space="preserve">Drafting</x:t>
        </x:is>
      </x:c>
      <x:c r="J54" s="271" t="n">
        <x:f>IF(H54="",TODAY()-F54,H54-F54)</x:f>
        <x:v>118</x:v>
      </x:c>
      <x:c r="K54" s="271" t="inlineStr">
        <x:is>
          <x:t xml:space="preserve">Yes</x:t>
        </x:is>
      </x:c>
      <x:c r="L54" s="271" t="inlineStr">
        <x:is>
          <x:t xml:space="preserve">High</x:t>
        </x:is>
      </x:c>
      <x:c r="M54" s="271" t="inlineStr">
        <x:is>
          <x:t xml:space="preserve">Follow-up / quality review</x:t>
        </x:is>
      </x:c>
    </x:row>
    <x:row r="55">
      <x:c r="A55" s="271" t="inlineStr">
        <x:is>
          <x:t xml:space="preserve">SUB-054</x:t>
        </x:is>
      </x:c>
      <x:c r="B55" s="271" t="inlineStr">
        <x:is>
          <x:t xml:space="preserve">Ad-hoc Response - item 54</x:t>
        </x:is>
      </x:c>
      <x:c r="C55" s="271" t="inlineStr">
        <x:is>
          <x:t xml:space="preserve">MOF</x:t>
        </x:is>
      </x:c>
      <x:c r="D55" s="271" t="inlineStr">
        <x:is>
          <x:t xml:space="preserve">Capital Injection</x:t>
        </x:is>
      </x:c>
      <x:c r="E55" s="271" t="inlineStr">
        <x:is>
          <x:t xml:space="preserve">Finance</x:t>
        </x:is>
      </x:c>
      <x:c r="F55" s="155" t="n">
        <x:v>46094</x:v>
      </x:c>
      <x:c r="G55" s="155" t="n">
        <x:v>46115</x:v>
      </x:c>
      <x:c r="H55" s="155" t="n">
        <x:v>46114</x:v>
      </x:c>
      <x:c r="I55" s="271" t="inlineStr">
        <x:is>
          <x:t xml:space="preserve">Submitted</x:t>
        </x:is>
      </x:c>
      <x:c r="J55" s="271" t="n">
        <x:f>IF(H55="",TODAY()-F55,H55-F55)</x:f>
        <x:v>20</x:v>
      </x:c>
      <x:c r="K55" s="271" t="inlineStr">
        <x:is>
          <x:t xml:space="preserve">No</x:t>
        </x:is>
      </x:c>
      <x:c r="L55" s="271" t="inlineStr">
        <x:is>
          <x:t xml:space="preserve">Low</x:t>
        </x:is>
      </x:c>
      <x:c r="M55" s="271" t="inlineStr">
        <x:is>
          <x:t xml:space="preserve">Follow-up / quality review</x:t>
        </x:is>
      </x:c>
    </x:row>
    <x:row r="56">
      <x:c r="A56" s="271" t="inlineStr">
        <x:is>
          <x:t xml:space="preserve">SUB-055</x:t>
        </x:is>
      </x:c>
      <x:c r="B56" s="271" t="inlineStr">
        <x:is>
          <x:t xml:space="preserve">Agency Training - item 55</x:t>
        </x:is>
      </x:c>
      <x:c r="C56" s="271" t="inlineStr">
        <x:is>
          <x:t xml:space="preserve">SBV</x:t>
        </x:is>
      </x:c>
      <x:c r="D56" s="271" t="inlineStr">
        <x:is>
          <x:t xml:space="preserve">Capital Injection</x:t>
        </x:is>
      </x:c>
      <x:c r="E56" s="271" t="inlineStr">
        <x:is>
          <x:t xml:space="preserve">CEO Office</x:t>
        </x:is>
      </x:c>
      <x:c r="F56" s="155" t="n">
        <x:v>46116</x:v>
      </x:c>
      <x:c r="G56" s="155" t="n">
        <x:v>46138</x:v>
      </x:c>
      <x:c r="H56" s="155" t="n">
        <x:v>46135</x:v>
      </x:c>
      <x:c r="I56" s="271" t="inlineStr">
        <x:is>
          <x:t xml:space="preserve">Submitted</x:t>
        </x:is>
      </x:c>
      <x:c r="J56" s="271" t="n">
        <x:f>IF(H56="",TODAY()-F56,H56-F56)</x:f>
        <x:v>19</x:v>
      </x:c>
      <x:c r="K56" s="271" t="inlineStr">
        <x:is>
          <x:t xml:space="preserve">Yes</x:t>
        </x:is>
      </x:c>
      <x:c r="L56" s="271" t="inlineStr">
        <x:is>
          <x:t xml:space="preserve">Low</x:t>
        </x:is>
      </x:c>
      <x:c r="M56" s="271" t="inlineStr">
        <x:is>
          <x:t xml:space="preserve">Follow-up / quality review</x:t>
        </x:is>
      </x:c>
    </x:row>
    <x:row r="57">
      <x:c r="A57" s="271" t="inlineStr">
        <x:is>
          <x:t xml:space="preserve">SUB-056</x:t>
        </x:is>
      </x:c>
      <x:c r="B57" s="271" t="inlineStr">
        <x:is>
          <x:t xml:space="preserve">Report - item 56</x:t>
        </x:is>
      </x:c>
      <x:c r="C57" s="271" t="inlineStr">
        <x:is>
          <x:t xml:space="preserve">IAV</x:t>
        </x:is>
      </x:c>
      <x:c r="D57" s="271" t="inlineStr">
        <x:is>
          <x:t xml:space="preserve">Ad-hoc Response</x:t>
        </x:is>
      </x:c>
      <x:c r="E57" s="271" t="inlineStr">
        <x:is>
          <x:t xml:space="preserve">CEO Office</x:t>
        </x:is>
      </x:c>
      <x:c r="F57" s="155" t="n">
        <x:v>46123</x:v>
      </x:c>
      <x:c r="G57" s="155" t="n">
        <x:v>46142</x:v>
      </x:c>
      <x:c r="H57" s="155" t="str"/>
      <x:c r="I57" s="271" t="inlineStr">
        <x:is>
          <x:t xml:space="preserve">In Review</x:t>
        </x:is>
      </x:c>
      <x:c r="J57" s="271" t="n">
        <x:f>IF(H57="",TODAY()-F57,H57-F57)</x:f>
        <x:v>95</x:v>
      </x:c>
      <x:c r="K57" s="271" t="inlineStr">
        <x:is>
          <x:t xml:space="preserve">Partial</x:t>
        </x:is>
      </x:c>
      <x:c r="L57" s="271" t="inlineStr">
        <x:is>
          <x:t xml:space="preserve">High</x:t>
        </x:is>
      </x:c>
      <x:c r="M57" s="271" t="inlineStr">
        <x:is>
          <x:t xml:space="preserve">Follow-up / quality review</x:t>
        </x:is>
      </x:c>
    </x:row>
    <x:row r="58">
      <x:c r="A58" s="271" t="inlineStr">
        <x:is>
          <x:t xml:space="preserve">SUB-057</x:t>
        </x:is>
      </x:c>
      <x:c r="B58" s="271" t="inlineStr">
        <x:is>
          <x:t xml:space="preserve">New Product Approval - item 57</x:t>
        </x:is>
      </x:c>
      <x:c r="C58" s="271" t="inlineStr">
        <x:is>
          <x:t xml:space="preserve">ISA</x:t>
        </x:is>
      </x:c>
      <x:c r="D58" s="271" t="inlineStr">
        <x:is>
          <x:t xml:space="preserve">New Product Approval</x:t>
        </x:is>
      </x:c>
      <x:c r="E58" s="271" t="inlineStr">
        <x:is>
          <x:t xml:space="preserve">Bancassurance</x:t>
        </x:is>
      </x:c>
      <x:c r="F58" s="155" t="n">
        <x:v>46148</x:v>
      </x:c>
      <x:c r="G58" s="155" t="n">
        <x:v>46167</x:v>
      </x:c>
      <x:c r="H58" s="155" t="str"/>
      <x:c r="I58" s="271" t="inlineStr">
        <x:is>
          <x:t xml:space="preserve">Drafting</x:t>
        </x:is>
      </x:c>
      <x:c r="J58" s="271" t="n">
        <x:f>IF(H58="",TODAY()-F58,H58-F58)</x:f>
        <x:v>70</x:v>
      </x:c>
      <x:c r="K58" s="271" t="inlineStr">
        <x:is>
          <x:t xml:space="preserve">No</x:t>
        </x:is>
      </x:c>
      <x:c r="L58" s="271" t="inlineStr">
        <x:is>
          <x:t xml:space="preserve">Low</x:t>
        </x:is>
      </x:c>
      <x:c r="M58" s="271" t="inlineStr">
        <x:is>
          <x:t xml:space="preserve">Follow-up / quality review</x:t>
        </x:is>
      </x:c>
    </x:row>
    <x:row r="59">
      <x:c r="A59" s="271" t="inlineStr">
        <x:is>
          <x:t xml:space="preserve">SUB-058</x:t>
        </x:is>
      </x:c>
      <x:c r="B59" s="271" t="inlineStr">
        <x:is>
          <x:t xml:space="preserve">Capital Injection - item 58</x:t>
        </x:is>
      </x:c>
      <x:c r="C59" s="271" t="inlineStr">
        <x:is>
          <x:t xml:space="preserve">ISA</x:t>
        </x:is>
      </x:c>
      <x:c r="D59" s="271" t="inlineStr">
        <x:is>
          <x:t xml:space="preserve">License/Transaction</x:t>
        </x:is>
      </x:c>
      <x:c r="E59" s="271" t="inlineStr">
        <x:is>
          <x:t xml:space="preserve">Product</x:t>
        </x:is>
      </x:c>
      <x:c r="F59" s="155" t="n">
        <x:v>46173</x:v>
      </x:c>
      <x:c r="G59" s="155" t="n">
        <x:v>46182</x:v>
      </x:c>
      <x:c r="H59" s="155" t="str"/>
      <x:c r="I59" s="271" t="inlineStr">
        <x:is>
          <x:t xml:space="preserve">Waiting Internal Input</x:t>
        </x:is>
      </x:c>
      <x:c r="J59" s="271" t="n">
        <x:f>IF(H59="",TODAY()-F59,H59-F59)</x:f>
        <x:v>45</x:v>
      </x:c>
      <x:c r="K59" s="271" t="inlineStr">
        <x:is>
          <x:t xml:space="preserve">Yes</x:t>
        </x:is>
      </x:c>
      <x:c r="L59" s="271" t="inlineStr">
        <x:is>
          <x:t xml:space="preserve">Medium</x:t>
        </x:is>
      </x:c>
      <x:c r="M59" s="271" t="inlineStr">
        <x:is>
          <x:t xml:space="preserve">Follow-up / quality review</x:t>
        </x:is>
      </x:c>
    </x:row>
    <x:row r="60">
      <x:c r="A60" s="271" t="inlineStr">
        <x:is>
          <x:t xml:space="preserve">SUB-059</x:t>
        </x:is>
      </x:c>
      <x:c r="B60" s="271" t="inlineStr">
        <x:is>
          <x:t xml:space="preserve">Official Letter - item 59</x:t>
        </x:is>
      </x:c>
      <x:c r="C60" s="271" t="inlineStr">
        <x:is>
          <x:t xml:space="preserve">ISA</x:t>
        </x:is>
      </x:c>
      <x:c r="D60" s="271" t="inlineStr">
        <x:is>
          <x:t xml:space="preserve">Ad-hoc Response</x:t>
        </x:is>
      </x:c>
      <x:c r="E60" s="271" t="inlineStr">
        <x:is>
          <x:t xml:space="preserve">Operations</x:t>
        </x:is>
      </x:c>
      <x:c r="F60" s="155" t="n">
        <x:v>46131</x:v>
      </x:c>
      <x:c r="G60" s="155" t="n">
        <x:v>46146</x:v>
      </x:c>
      <x:c r="H60" s="155" t="n">
        <x:v>46143</x:v>
      </x:c>
      <x:c r="I60" s="271" t="inlineStr">
        <x:is>
          <x:t xml:space="preserve">Submitted</x:t>
        </x:is>
      </x:c>
      <x:c r="J60" s="271" t="n">
        <x:f>IF(H60="",TODAY()-F60,H60-F60)</x:f>
        <x:v>12</x:v>
      </x:c>
      <x:c r="K60" s="271" t="inlineStr">
        <x:is>
          <x:t xml:space="preserve">No</x:t>
        </x:is>
      </x:c>
      <x:c r="L60" s="271" t="inlineStr">
        <x:is>
          <x:t xml:space="preserve">Low</x:t>
        </x:is>
      </x:c>
      <x:c r="M60" s="271" t="inlineStr">
        <x:is>
          <x:t xml:space="preserve">Follow-up / quality review</x:t>
        </x:is>
      </x:c>
    </x:row>
    <x:row r="61">
      <x:c r="A61" s="271" t="inlineStr">
        <x:is>
          <x:t xml:space="preserve">SUB-060</x:t>
        </x:is>
      </x:c>
      <x:c r="B61" s="271" t="inlineStr">
        <x:is>
          <x:t xml:space="preserve">Capital Injection - item 60</x:t>
        </x:is>
      </x:c>
      <x:c r="C61" s="271" t="inlineStr">
        <x:is>
          <x:t xml:space="preserve">MOF</x:t>
        </x:is>
      </x:c>
      <x:c r="D61" s="271" t="inlineStr">
        <x:is>
          <x:t xml:space="preserve">New Product Approval</x:t>
        </x:is>
      </x:c>
      <x:c r="E61" s="271" t="inlineStr">
        <x:is>
          <x:t xml:space="preserve">Agency</x:t>
        </x:is>
      </x:c>
      <x:c r="F61" s="155" t="n">
        <x:v>46094</x:v>
      </x:c>
      <x:c r="G61" s="155" t="n">
        <x:v>46099</x:v>
      </x:c>
      <x:c r="H61" s="155" t="n">
        <x:v>46096</x:v>
      </x:c>
      <x:c r="I61" s="271" t="inlineStr">
        <x:is>
          <x:t xml:space="preserve">Approved</x:t>
        </x:is>
      </x:c>
      <x:c r="J61" s="271" t="n">
        <x:f>IF(H61="",TODAY()-F61,H61-F61)</x:f>
        <x:v>2</x:v>
      </x:c>
      <x:c r="K61" s="271" t="inlineStr">
        <x:is>
          <x:t xml:space="preserve">No</x:t>
        </x:is>
      </x:c>
      <x:c r="L61" s="271" t="inlineStr">
        <x:is>
          <x:t xml:space="preserve">Medium</x:t>
        </x:is>
      </x:c>
      <x:c r="M61" s="271" t="inlineStr">
        <x:is>
          <x:t xml:space="preserve">Follow-up / quality review</x:t>
        </x:is>
      </x:c>
    </x:row>
  </x:sheetData>
  <x:conditionalFormatting sqref="I2:I61">
    <x:cfRule type="expression" dxfId="0" priority="1">
      <x:formula>I2="Overdue"</x:formula>
    </x:cfRule>
  </x:conditionalFormatting>
  <x:conditionalFormatting sqref="L2:L200">
    <x:cfRule type="expression" dxfId="3" priority="2">
      <x:formula>L2="High"</x:formula>
    </x:cfRule>
  </x:conditionalFormatting>
  <x:dataValidations count="5">
    <x:dataValidation type="list" allowBlank="0" showDropDown="0" showInputMessage="0" showErrorMessage="0" sqref="I2:I61">
      <x:formula1>"On Track,Due Soon,Overdue,Submitted,Approved,In Review,Drafting,Waiting Internal Input"</x:formula1>
    </x:dataValidation>
    <x:dataValidation type="list" allowBlank="0" showDropDown="0" showInputMessage="0" showErrorMessage="0" sqref="C2:C200">
      <x:formula1>"MOF,ISA,IAV,SBV,MIC,VCA,Regional Office"</x:formula1>
    </x:dataValidation>
    <x:dataValidation type="list" allowBlank="0" showDropDown="0" showInputMessage="0" showErrorMessage="0" sqref="E2:E200">
      <x:formula1>"Legal,Compliance,Finance,Product,Agency,Bancassurance,Operations,CEO Office,Public Affairs,Risk"</x:formula1>
    </x:dataValidation>
    <x:dataValidation type="list" allowBlank="0" showDropDown="0" showInputMessage="0" showErrorMessage="0" sqref="I2:I200">
      <x:formula1>"On Track,Due Soon,Overdue,Submitted,Approved,In Review,Drafting,Waiting Internal Input,Open,Closed,In Progress,Blocked,Pending,Done,Not Started"</x:formula1>
    </x:dataValidation>
    <x:dataValidation type="list" allowBlank="0" showDropDown="0" showInputMessage="0" showErrorMessage="0" sqref="L2:L200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7a0721ca6a4331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3.729999542236328" style="265" customWidth="1"/>
    <x:col min="2" max="2" width="6.460000038146973" style="265" customWidth="1"/>
    <x:col min="3" max="3" width="10.5" style="265" customWidth="1"/>
    <x:col min="4" max="4" width="22.209999084472656" style="265" customWidth="1"/>
    <x:col min="5" max="5" width="17.360000610351562" style="265" customWidth="1"/>
    <x:col min="6" max="6" width="15.880000114440918" style="265" customWidth="1"/>
    <x:col min="7" max="7" width="8.609999656677246" style="265" customWidth="1"/>
    <x:col min="8" max="8" width="40.5099983215332" style="265" customWidth="1"/>
    <x:col min="9" max="9" width="16.690000534057617" style="265" customWidth="1"/>
    <x:col min="10" max="10" width="14.539999961853027" style="265" customWidth="1"/>
    <x:col min="11" max="11" width="8.75" style="265" customWidth="1"/>
  </x:cols>
  <x:sheetData>
    <x:row r="1">
      <x:c r="A1" s="153" t="inlineStr">
        <x:is>
          <x:t xml:space="preserve">Interaction ID</x:t>
        </x:is>
      </x:c>
      <x:c r="B1" s="153" t="inlineStr">
        <x:is>
          <x:t xml:space="preserve">Date</x:t>
        </x:is>
      </x:c>
      <x:c r="C1" s="153" t="inlineStr">
        <x:is>
          <x:t xml:space="preserve">Regulator</x:t>
        </x:is>
      </x:c>
      <x:c r="D1" s="153" t="inlineStr">
        <x:is>
          <x:t xml:space="preserve">Person / Unit</x:t>
        </x:is>
      </x:c>
      <x:c r="E1" s="153" t="inlineStr">
        <x:is>
          <x:t xml:space="preserve">Topic</x:t>
        </x:is>
      </x:c>
      <x:c r="F1" s="153" t="inlineStr">
        <x:is>
          <x:t xml:space="preserve">Interaction Type</x:t>
        </x:is>
      </x:c>
      <x:c r="G1" s="153" t="inlineStr">
        <x:is>
          <x:t xml:space="preserve">Tone</x:t>
        </x:is>
      </x:c>
      <x:c r="H1" s="153" t="inlineStr">
        <x:is>
          <x:t xml:space="preserve">Key Message</x:t>
        </x:is>
      </x:c>
      <x:c r="I1" s="153" t="inlineStr">
        <x:is>
          <x:t xml:space="preserve">Follow-up Owner</x:t>
        </x:is>
      </x:c>
      <x:c r="J1" s="153" t="inlineStr">
        <x:is>
          <x:t xml:space="preserve">Follow-up Due</x:t>
        </x:is>
      </x:c>
      <x:c r="K1" s="153" t="inlineStr">
        <x:is>
          <x:t xml:space="preserve">Status</x:t>
        </x:is>
      </x:c>
      <x:c r="L1" s="271" t="n"/>
      <x:c r="M1" s="271" t="n"/>
      <x:c r="N1" s="271" t="n"/>
      <x:c r="O1" s="271" t="n"/>
      <x:c r="P1" s="271" t="n"/>
      <x:c r="Q1" s="271" t="n"/>
      <x:c r="R1" s="271" t="n"/>
      <x:c r="S1" s="271" t="n"/>
      <x:c r="T1" s="271" t="n"/>
      <x:c r="U1" s="271" t="n"/>
      <x:c r="V1" s="271" t="n"/>
      <x:c r="W1" s="271" t="n"/>
      <x:c r="X1" s="271" t="n"/>
      <x:c r="Y1" s="271" t="n"/>
      <x:c r="Z1" s="271" t="n"/>
    </x:row>
    <x:row r="2">
      <x:c r="A2" s="271" t="inlineStr">
        <x:is>
          <x:t xml:space="preserve">INT-001</x:t>
        </x:is>
      </x:c>
      <x:c r="B2" s="155" t="n">
        <x:v>45601</x:v>
      </x:c>
      <x:c r="C2" s="271" t="inlineStr">
        <x:is>
          <x:t xml:space="preserve">MIC</x:t>
        </x:is>
      </x:c>
      <x:c r="D2" s="271" t="inlineStr">
        <x:is>
          <x:t xml:space="preserve">Policy Dept</x:t>
        </x:is>
      </x:c>
      <x:c r="E2" s="271" t="inlineStr">
        <x:is>
          <x:t xml:space="preserve">Capital requirement</x:t>
        </x:is>
      </x:c>
      <x:c r="F2" s="271" t="inlineStr">
        <x:is>
          <x:t xml:space="preserve">Call</x:t>
        </x:is>
      </x:c>
      <x:c r="G2" s="271" t="inlineStr">
        <x:is>
          <x:t xml:space="preserve">Neutral</x:t>
        </x:is>
      </x:c>
      <x:c r="H2" s="271" t="inlineStr">
        <x:is>
          <x:t xml:space="preserve">Provide transparent update and confirm next steps</x:t>
        </x:is>
      </x:c>
      <x:c r="I2" s="271" t="inlineStr">
        <x:is>
          <x:t xml:space="preserve">Agency</x:t>
        </x:is>
      </x:c>
      <x:c r="J2" s="155" t="n">
        <x:v>45606</x:v>
      </x:c>
      <x:c r="K2" s="271" t="inlineStr">
        <x:is>
          <x:t xml:space="preserve">Open</x:t>
        </x:is>
      </x:c>
    </x:row>
    <x:row r="3">
      <x:c r="A3" s="271" t="inlineStr">
        <x:is>
          <x:t xml:space="preserve">INT-002</x:t>
        </x:is>
      </x:c>
      <x:c r="B3" s="155" t="n">
        <x:v>45938</x:v>
      </x:c>
      <x:c r="C3" s="271" t="inlineStr">
        <x:is>
          <x:t xml:space="preserve">ISA</x:t>
        </x:is>
      </x:c>
      <x:c r="D3" s="271" t="inlineStr">
        <x:is>
          <x:t xml:space="preserve">Association Secretariat</x:t>
        </x:is>
      </x:c>
      <x:c r="E3" s="271" t="inlineStr">
        <x:is>
          <x:t xml:space="preserve">Capital requirement</x:t>
        </x:is>
      </x:c>
      <x:c r="F3" s="271" t="inlineStr">
        <x:is>
          <x:t xml:space="preserve">Call</x:t>
        </x:is>
      </x:c>
      <x:c r="G3" s="271" t="inlineStr">
        <x:is>
          <x:t xml:space="preserve">Positive</x:t>
        </x:is>
      </x:c>
      <x:c r="H3" s="271" t="inlineStr">
        <x:is>
          <x:t xml:space="preserve">Provide transparent update and confirm next steps</x:t>
        </x:is>
      </x:c>
      <x:c r="I3" s="271" t="inlineStr">
        <x:is>
          <x:t xml:space="preserve">Operations</x:t>
        </x:is>
      </x:c>
      <x:c r="J3" s="155" t="n">
        <x:v>45955</x:v>
      </x:c>
      <x:c r="K3" s="271" t="inlineStr">
        <x:is>
          <x:t xml:space="preserve">In Progress</x:t>
        </x:is>
      </x:c>
    </x:row>
    <x:row r="4">
      <x:c r="A4" s="271" t="inlineStr">
        <x:is>
          <x:t xml:space="preserve">INT-003</x:t>
        </x:is>
      </x:c>
      <x:c r="B4" s="155" t="n">
        <x:v>45575</x:v>
      </x:c>
      <x:c r="C4" s="271" t="inlineStr">
        <x:is>
          <x:t xml:space="preserve">SBV</x:t>
        </x:is>
      </x:c>
      <x:c r="D4" s="271" t="inlineStr">
        <x:is>
          <x:t xml:space="preserve">Insurance Supervision Team</x:t>
        </x:is>
      </x:c>
      <x:c r="E4" s="271" t="inlineStr">
        <x:is>
          <x:t xml:space="preserve">Product approval</x:t>
        </x:is>
      </x:c>
      <x:c r="F4" s="271" t="inlineStr">
        <x:is>
          <x:t xml:space="preserve">Call</x:t>
        </x:is>
      </x:c>
      <x:c r="G4" s="271" t="inlineStr">
        <x:is>
          <x:t xml:space="preserve">Cautious</x:t>
        </x:is>
      </x:c>
      <x:c r="H4" s="271" t="inlineStr">
        <x:is>
          <x:t xml:space="preserve">Provide transparent update and confirm next steps</x:t>
        </x:is>
      </x:c>
      <x:c r="I4" s="271" t="inlineStr">
        <x:is>
          <x:t xml:space="preserve">Agency</x:t>
        </x:is>
      </x:c>
      <x:c r="J4" s="155" t="n">
        <x:v>45592</x:v>
      </x:c>
      <x:c r="K4" s="271" t="inlineStr">
        <x:is>
          <x:t xml:space="preserve">Open</x:t>
        </x:is>
      </x:c>
    </x:row>
    <x:row r="5">
      <x:c r="A5" s="271" t="inlineStr">
        <x:is>
          <x:t xml:space="preserve">INT-004</x:t>
        </x:is>
      </x:c>
      <x:c r="B5" s="155" t="n">
        <x:v>45480</x:v>
      </x:c>
      <x:c r="C5" s="271" t="inlineStr">
        <x:is>
          <x:t xml:space="preserve">ISA</x:t>
        </x:is>
      </x:c>
      <x:c r="D5" s="271" t="inlineStr">
        <x:is>
          <x:t xml:space="preserve">Insurance Supervision Team</x:t>
        </x:is>
      </x:c>
      <x:c r="E5" s="271" t="inlineStr">
        <x:is>
          <x:t xml:space="preserve">Consumer complaints</x:t>
        </x:is>
      </x:c>
      <x:c r="F5" s="271" t="inlineStr">
        <x:is>
          <x:t xml:space="preserve">Submission counter</x:t>
        </x:is>
      </x:c>
      <x:c r="G5" s="271" t="inlineStr">
        <x:is>
          <x:t xml:space="preserve">Positive</x:t>
        </x:is>
      </x:c>
      <x:c r="H5" s="271" t="inlineStr">
        <x:is>
          <x:t xml:space="preserve">Provide transparent update and confirm next steps</x:t>
        </x:is>
      </x:c>
      <x:c r="I5" s="271" t="inlineStr">
        <x:is>
          <x:t xml:space="preserve">Product</x:t>
        </x:is>
      </x:c>
      <x:c r="J5" s="155" t="n">
        <x:v>45487</x:v>
      </x:c>
      <x:c r="K5" s="271" t="inlineStr">
        <x:is>
          <x:t xml:space="preserve">Closed</x:t>
        </x:is>
      </x:c>
    </x:row>
    <x:row r="6">
      <x:c r="A6" s="271" t="inlineStr">
        <x:is>
          <x:t xml:space="preserve">INT-005</x:t>
        </x:is>
      </x:c>
      <x:c r="B6" s="155" t="n">
        <x:v>46038</x:v>
      </x:c>
      <x:c r="C6" s="271" t="inlineStr">
        <x:is>
          <x:t xml:space="preserve">MOF</x:t>
        </x:is>
      </x:c>
      <x:c r="D6" s="271" t="inlineStr">
        <x:is>
          <x:t xml:space="preserve">Policy Dept</x:t>
        </x:is>
      </x:c>
      <x:c r="E6" s="271" t="inlineStr">
        <x:is>
          <x:t xml:space="preserve">Market conduct</x:t>
        </x:is>
      </x:c>
      <x:c r="F6" s="271" t="inlineStr">
        <x:is>
          <x:t xml:space="preserve">Email</x:t>
        </x:is>
      </x:c>
      <x:c r="G6" s="271" t="inlineStr">
        <x:is>
          <x:t xml:space="preserve">Cautious</x:t>
        </x:is>
      </x:c>
      <x:c r="H6" s="271" t="inlineStr">
        <x:is>
          <x:t xml:space="preserve">Provide transparent update and confirm next steps</x:t>
        </x:is>
      </x:c>
      <x:c r="I6" s="271" t="inlineStr">
        <x:is>
          <x:t xml:space="preserve">CEO Office</x:t>
        </x:is>
      </x:c>
      <x:c r="J6" s="155" t="n">
        <x:v>46044</x:v>
      </x:c>
      <x:c r="K6" s="271" t="inlineStr">
        <x:is>
          <x:t xml:space="preserve">Closed</x:t>
        </x:is>
      </x:c>
    </x:row>
    <x:row r="7">
      <x:c r="A7" s="271" t="inlineStr">
        <x:is>
          <x:t xml:space="preserve">INT-006</x:t>
        </x:is>
      </x:c>
      <x:c r="B7" s="155" t="n">
        <x:v>45478</x:v>
      </x:c>
      <x:c r="C7" s="271" t="inlineStr">
        <x:is>
          <x:t xml:space="preserve">IAV</x:t>
        </x:is>
      </x:c>
      <x:c r="D7" s="271" t="inlineStr">
        <x:is>
          <x:t xml:space="preserve">Legal Unit</x:t>
        </x:is>
      </x:c>
      <x:c r="E7" s="271" t="inlineStr">
        <x:is>
          <x:t xml:space="preserve">Data privacy</x:t>
        </x:is>
      </x:c>
      <x:c r="F7" s="271" t="inlineStr">
        <x:is>
          <x:t xml:space="preserve">Workshop</x:t>
        </x:is>
      </x:c>
      <x:c r="G7" s="271" t="inlineStr">
        <x:is>
          <x:t xml:space="preserve">Concerned</x:t>
        </x:is>
      </x:c>
      <x:c r="H7" s="271" t="inlineStr">
        <x:is>
          <x:t xml:space="preserve">Provide transparent update and confirm next steps</x:t>
        </x:is>
      </x:c>
      <x:c r="I7" s="271" t="inlineStr">
        <x:is>
          <x:t xml:space="preserve">CEO Office</x:t>
        </x:is>
      </x:c>
      <x:c r="J7" s="155" t="n">
        <x:v>45483</x:v>
      </x:c>
      <x:c r="K7" s="271" t="inlineStr">
        <x:is>
          <x:t xml:space="preserve">In Progress</x:t>
        </x:is>
      </x:c>
    </x:row>
    <x:row r="8">
      <x:c r="A8" s="271" t="inlineStr">
        <x:is>
          <x:t xml:space="preserve">INT-007</x:t>
        </x:is>
      </x:c>
      <x:c r="B8" s="155" t="n">
        <x:v>46143</x:v>
      </x:c>
      <x:c r="C8" s="271" t="inlineStr">
        <x:is>
          <x:t xml:space="preserve">SBV</x:t>
        </x:is>
      </x:c>
      <x:c r="D8" s="271" t="inlineStr">
        <x:is>
          <x:t xml:space="preserve">Insurance Supervision Team</x:t>
        </x:is>
      </x:c>
      <x:c r="E8" s="271" t="inlineStr">
        <x:is>
          <x:t xml:space="preserve">Data privacy</x:t>
        </x:is>
      </x:c>
      <x:c r="F8" s="271" t="inlineStr">
        <x:is>
          <x:t xml:space="preserve">Meeting</x:t>
        </x:is>
      </x:c>
      <x:c r="G8" s="271" t="inlineStr">
        <x:is>
          <x:t xml:space="preserve">Positive</x:t>
        </x:is>
      </x:c>
      <x:c r="H8" s="271" t="inlineStr">
        <x:is>
          <x:t xml:space="preserve">Provide transparent update and confirm next steps</x:t>
        </x:is>
      </x:c>
      <x:c r="I8" s="271" t="inlineStr">
        <x:is>
          <x:t xml:space="preserve">Product</x:t>
        </x:is>
      </x:c>
      <x:c r="J8" s="155" t="n">
        <x:v>46146</x:v>
      </x:c>
      <x:c r="K8" s="271" t="inlineStr">
        <x:is>
          <x:t xml:space="preserve">In Progress</x:t>
        </x:is>
      </x:c>
    </x:row>
    <x:row r="9">
      <x:c r="A9" s="271" t="inlineStr">
        <x:is>
          <x:t xml:space="preserve">INT-008</x:t>
        </x:is>
      </x:c>
      <x:c r="B9" s="155" t="n">
        <x:v>45908</x:v>
      </x:c>
      <x:c r="C9" s="271" t="inlineStr">
        <x:is>
          <x:t xml:space="preserve">MIC</x:t>
        </x:is>
      </x:c>
      <x:c r="D9" s="271" t="inlineStr">
        <x:is>
          <x:t xml:space="preserve">Policy Dept</x:t>
        </x:is>
      </x:c>
      <x:c r="E9" s="271" t="inlineStr">
        <x:is>
          <x:t xml:space="preserve">Market conduct</x:t>
        </x:is>
      </x:c>
      <x:c r="F9" s="271" t="inlineStr">
        <x:is>
          <x:t xml:space="preserve">Submission counter</x:t>
        </x:is>
      </x:c>
      <x:c r="G9" s="271" t="inlineStr">
        <x:is>
          <x:t xml:space="preserve">Concerned</x:t>
        </x:is>
      </x:c>
      <x:c r="H9" s="271" t="inlineStr">
        <x:is>
          <x:t xml:space="preserve">Provide transparent update and confirm next steps</x:t>
        </x:is>
      </x:c>
      <x:c r="I9" s="271" t="inlineStr">
        <x:is>
          <x:t xml:space="preserve">Agency</x:t>
        </x:is>
      </x:c>
      <x:c r="J9" s="155" t="n">
        <x:v>45916</x:v>
      </x:c>
      <x:c r="K9" s="271" t="inlineStr">
        <x:is>
          <x:t xml:space="preserve">In Progress</x:t>
        </x:is>
      </x:c>
    </x:row>
    <x:row r="10">
      <x:c r="A10" s="271" t="inlineStr">
        <x:is>
          <x:t xml:space="preserve">INT-009</x:t>
        </x:is>
      </x:c>
      <x:c r="B10" s="155" t="n">
        <x:v>45737</x:v>
      </x:c>
      <x:c r="C10" s="271" t="inlineStr">
        <x:is>
          <x:t xml:space="preserve">VCA</x:t>
        </x:is>
      </x:c>
      <x:c r="D10" s="271" t="inlineStr">
        <x:is>
          <x:t xml:space="preserve">Legal Unit</x:t>
        </x:is>
      </x:c>
      <x:c r="E10" s="271" t="inlineStr">
        <x:is>
          <x:t xml:space="preserve">Capital requirement</x:t>
        </x:is>
      </x:c>
      <x:c r="F10" s="271" t="inlineStr">
        <x:is>
          <x:t xml:space="preserve">Submission counter</x:t>
        </x:is>
      </x:c>
      <x:c r="G10" s="271" t="inlineStr">
        <x:is>
          <x:t xml:space="preserve">Cautious</x:t>
        </x:is>
      </x:c>
      <x:c r="H10" s="271" t="inlineStr">
        <x:is>
          <x:t xml:space="preserve">Provide transparent update and confirm next steps</x:t>
        </x:is>
      </x:c>
      <x:c r="I10" s="271" t="inlineStr">
        <x:is>
          <x:t xml:space="preserve">Operations</x:t>
        </x:is>
      </x:c>
      <x:c r="J10" s="155" t="n">
        <x:v>45750</x:v>
      </x:c>
      <x:c r="K10" s="271" t="inlineStr">
        <x:is>
          <x:t xml:space="preserve">Closed</x:t>
        </x:is>
      </x:c>
    </x:row>
    <x:row r="11">
      <x:c r="A11" s="271" t="inlineStr">
        <x:is>
          <x:t xml:space="preserve">INT-010</x:t>
        </x:is>
      </x:c>
      <x:c r="B11" s="155" t="n">
        <x:v>45497</x:v>
      </x:c>
      <x:c r="C11" s="271" t="inlineStr">
        <x:is>
          <x:t xml:space="preserve">MOF</x:t>
        </x:is>
      </x:c>
      <x:c r="D11" s="271" t="inlineStr">
        <x:is>
          <x:t xml:space="preserve">Administrative Office</x:t>
        </x:is>
      </x:c>
      <x:c r="E11" s="271" t="inlineStr">
        <x:is>
          <x:t xml:space="preserve">Bancassurance</x:t>
        </x:is>
      </x:c>
      <x:c r="F11" s="271" t="inlineStr">
        <x:is>
          <x:t xml:space="preserve">Submission counter</x:t>
        </x:is>
      </x:c>
      <x:c r="G11" s="271" t="inlineStr">
        <x:is>
          <x:t xml:space="preserve">Concerned</x:t>
        </x:is>
      </x:c>
      <x:c r="H11" s="271" t="inlineStr">
        <x:is>
          <x:t xml:space="preserve">Provide transparent update and confirm next steps</x:t>
        </x:is>
      </x:c>
      <x:c r="I11" s="271" t="inlineStr">
        <x:is>
          <x:t xml:space="preserve">Agency</x:t>
        </x:is>
      </x:c>
      <x:c r="J11" s="155" t="n">
        <x:v>45512</x:v>
      </x:c>
      <x:c r="K11" s="271" t="inlineStr">
        <x:is>
          <x:t xml:space="preserve">In Progress</x:t>
        </x:is>
      </x:c>
    </x:row>
    <x:row r="12">
      <x:c r="A12" s="271" t="inlineStr">
        <x:is>
          <x:t xml:space="preserve">INT-011</x:t>
        </x:is>
      </x:c>
      <x:c r="B12" s="155" t="n">
        <x:v>46146</x:v>
      </x:c>
      <x:c r="C12" s="271" t="inlineStr">
        <x:is>
          <x:t xml:space="preserve">SBV</x:t>
        </x:is>
      </x:c>
      <x:c r="D12" s="271" t="inlineStr">
        <x:is>
          <x:t xml:space="preserve">Policy Dept</x:t>
        </x:is>
      </x:c>
      <x:c r="E12" s="271" t="inlineStr">
        <x:is>
          <x:t xml:space="preserve">Bancassurance</x:t>
        </x:is>
      </x:c>
      <x:c r="F12" s="271" t="inlineStr">
        <x:is>
          <x:t xml:space="preserve">Email</x:t>
        </x:is>
      </x:c>
      <x:c r="G12" s="271" t="inlineStr">
        <x:is>
          <x:t xml:space="preserve">Cautious</x:t>
        </x:is>
      </x:c>
      <x:c r="H12" s="271" t="inlineStr">
        <x:is>
          <x:t xml:space="preserve">Provide transparent update and confirm next steps</x:t>
        </x:is>
      </x:c>
      <x:c r="I12" s="271" t="inlineStr">
        <x:is>
          <x:t xml:space="preserve">Compliance</x:t>
        </x:is>
      </x:c>
      <x:c r="J12" s="155" t="n">
        <x:v>46161</x:v>
      </x:c>
      <x:c r="K12" s="271" t="inlineStr">
        <x:is>
          <x:t xml:space="preserve">In Progress</x:t>
        </x:is>
      </x:c>
    </x:row>
    <x:row r="13">
      <x:c r="A13" s="271" t="inlineStr">
        <x:is>
          <x:t xml:space="preserve">INT-012</x:t>
        </x:is>
      </x:c>
      <x:c r="B13" s="155" t="n">
        <x:v>46182</x:v>
      </x:c>
      <x:c r="C13" s="271" t="inlineStr">
        <x:is>
          <x:t xml:space="preserve">VCA</x:t>
        </x:is>
      </x:c>
      <x:c r="D13" s="271" t="inlineStr">
        <x:is>
          <x:t xml:space="preserve">Association Secretariat</x:t>
        </x:is>
      </x:c>
      <x:c r="E13" s="271" t="inlineStr">
        <x:is>
          <x:t xml:space="preserve">ESG reporting</x:t>
        </x:is>
      </x:c>
      <x:c r="F13" s="271" t="inlineStr">
        <x:is>
          <x:t xml:space="preserve">Submission counter</x:t>
        </x:is>
      </x:c>
      <x:c r="G13" s="271" t="inlineStr">
        <x:is>
          <x:t xml:space="preserve">Positive</x:t>
        </x:is>
      </x:c>
      <x:c r="H13" s="271" t="inlineStr">
        <x:is>
          <x:t xml:space="preserve">Provide transparent update and confirm next steps</x:t>
        </x:is>
      </x:c>
      <x:c r="I13" s="271" t="inlineStr">
        <x:is>
          <x:t xml:space="preserve">Product</x:t>
        </x:is>
      </x:c>
      <x:c r="J13" s="155" t="n">
        <x:v>46201</x:v>
      </x:c>
      <x:c r="K13" s="271" t="inlineStr">
        <x:is>
          <x:t xml:space="preserve">Closed</x:t>
        </x:is>
      </x:c>
    </x:row>
    <x:row r="14">
      <x:c r="A14" s="271" t="inlineStr">
        <x:is>
          <x:t xml:space="preserve">INT-013</x:t>
        </x:is>
      </x:c>
      <x:c r="B14" s="155" t="n">
        <x:v>45546</x:v>
      </x:c>
      <x:c r="C14" s="271" t="inlineStr">
        <x:is>
          <x:t xml:space="preserve">SBV</x:t>
        </x:is>
      </x:c>
      <x:c r="D14" s="271" t="inlineStr">
        <x:is>
          <x:t xml:space="preserve">Legal Unit</x:t>
        </x:is>
      </x:c>
      <x:c r="E14" s="271" t="inlineStr">
        <x:is>
          <x:t xml:space="preserve">Product approval</x:t>
        </x:is>
      </x:c>
      <x:c r="F14" s="271" t="inlineStr">
        <x:is>
          <x:t xml:space="preserve">Call</x:t>
        </x:is>
      </x:c>
      <x:c r="G14" s="271" t="inlineStr">
        <x:is>
          <x:t xml:space="preserve">Cautious</x:t>
        </x:is>
      </x:c>
      <x:c r="H14" s="271" t="inlineStr">
        <x:is>
          <x:t xml:space="preserve">Provide transparent update and confirm next steps</x:t>
        </x:is>
      </x:c>
      <x:c r="I14" s="271" t="inlineStr">
        <x:is>
          <x:t xml:space="preserve">Finance</x:t>
        </x:is>
      </x:c>
      <x:c r="J14" s="155" t="n">
        <x:v>45558</x:v>
      </x:c>
      <x:c r="K14" s="271" t="inlineStr">
        <x:is>
          <x:t xml:space="preserve">Closed</x:t>
        </x:is>
      </x:c>
    </x:row>
    <x:row r="15">
      <x:c r="A15" s="271" t="inlineStr">
        <x:is>
          <x:t xml:space="preserve">INT-014</x:t>
        </x:is>
      </x:c>
      <x:c r="B15" s="155" t="n">
        <x:v>45468</x:v>
      </x:c>
      <x:c r="C15" s="271" t="inlineStr">
        <x:is>
          <x:t xml:space="preserve">SBV</x:t>
        </x:is>
      </x:c>
      <x:c r="D15" s="271" t="inlineStr">
        <x:is>
          <x:t xml:space="preserve">Policy Dept</x:t>
        </x:is>
      </x:c>
      <x:c r="E15" s="271" t="inlineStr">
        <x:is>
          <x:t xml:space="preserve">Product approval</x:t>
        </x:is>
      </x:c>
      <x:c r="F15" s="271" t="inlineStr">
        <x:is>
          <x:t xml:space="preserve">Workshop</x:t>
        </x:is>
      </x:c>
      <x:c r="G15" s="271" t="inlineStr">
        <x:is>
          <x:t xml:space="preserve">Neutral</x:t>
        </x:is>
      </x:c>
      <x:c r="H15" s="271" t="inlineStr">
        <x:is>
          <x:t xml:space="preserve">Provide transparent update and confirm next steps</x:t>
        </x:is>
      </x:c>
      <x:c r="I15" s="271" t="inlineStr">
        <x:is>
          <x:t xml:space="preserve">Finance</x:t>
        </x:is>
      </x:c>
      <x:c r="J15" s="155" t="n">
        <x:v>45480</x:v>
      </x:c>
      <x:c r="K15" s="271" t="inlineStr">
        <x:is>
          <x:t xml:space="preserve">In Progress</x:t>
        </x:is>
      </x:c>
    </x:row>
    <x:row r="16">
      <x:c r="A16" s="271" t="inlineStr">
        <x:is>
          <x:t xml:space="preserve">INT-015</x:t>
        </x:is>
      </x:c>
      <x:c r="B16" s="155" t="n">
        <x:v>46169</x:v>
      </x:c>
      <x:c r="C16" s="271" t="inlineStr">
        <x:is>
          <x:t xml:space="preserve">MIC</x:t>
        </x:is>
      </x:c>
      <x:c r="D16" s="271" t="inlineStr">
        <x:is>
          <x:t xml:space="preserve">Legal Unit</x:t>
        </x:is>
      </x:c>
      <x:c r="E16" s="271" t="inlineStr">
        <x:is>
          <x:t xml:space="preserve">Capital requirement</x:t>
        </x:is>
      </x:c>
      <x:c r="F16" s="271" t="inlineStr">
        <x:is>
          <x:t xml:space="preserve">Call</x:t>
        </x:is>
      </x:c>
      <x:c r="G16" s="271" t="inlineStr">
        <x:is>
          <x:t xml:space="preserve">Positive</x:t>
        </x:is>
      </x:c>
      <x:c r="H16" s="271" t="inlineStr">
        <x:is>
          <x:t xml:space="preserve">Provide transparent update and confirm next steps</x:t>
        </x:is>
      </x:c>
      <x:c r="I16" s="271" t="inlineStr">
        <x:is>
          <x:t xml:space="preserve">CEO Office</x:t>
        </x:is>
      </x:c>
      <x:c r="J16" s="155" t="n">
        <x:v>46175</x:v>
      </x:c>
      <x:c r="K16" s="271" t="inlineStr">
        <x:is>
          <x:t xml:space="preserve">In Progress</x:t>
        </x:is>
      </x:c>
    </x:row>
    <x:row r="17">
      <x:c r="A17" s="271" t="inlineStr">
        <x:is>
          <x:t xml:space="preserve">INT-016</x:t>
        </x:is>
      </x:c>
      <x:c r="B17" s="155" t="n">
        <x:v>46026</x:v>
      </x:c>
      <x:c r="C17" s="271" t="inlineStr">
        <x:is>
          <x:t xml:space="preserve">SBV</x:t>
        </x:is>
      </x:c>
      <x:c r="D17" s="271" t="inlineStr">
        <x:is>
          <x:t xml:space="preserve">Insurance Supervision Team</x:t>
        </x:is>
      </x:c>
      <x:c r="E17" s="271" t="inlineStr">
        <x:is>
          <x:t xml:space="preserve">Quarterly update</x:t>
        </x:is>
      </x:c>
      <x:c r="F17" s="271" t="inlineStr">
        <x:is>
          <x:t xml:space="preserve">Email</x:t>
        </x:is>
      </x:c>
      <x:c r="G17" s="271" t="inlineStr">
        <x:is>
          <x:t xml:space="preserve">Concerned</x:t>
        </x:is>
      </x:c>
      <x:c r="H17" s="271" t="inlineStr">
        <x:is>
          <x:t xml:space="preserve">Provide transparent update and confirm next steps</x:t>
        </x:is>
      </x:c>
      <x:c r="I17" s="271" t="inlineStr">
        <x:is>
          <x:t xml:space="preserve">CEO Office</x:t>
        </x:is>
      </x:c>
      <x:c r="J17" s="155" t="n">
        <x:v>46044</x:v>
      </x:c>
      <x:c r="K17" s="271" t="inlineStr">
        <x:is>
          <x:t xml:space="preserve">Open</x:t>
        </x:is>
      </x:c>
    </x:row>
    <x:row r="18">
      <x:c r="A18" s="271" t="inlineStr">
        <x:is>
          <x:t xml:space="preserve">INT-017</x:t>
        </x:is>
      </x:c>
      <x:c r="B18" s="155" t="n">
        <x:v>45716</x:v>
      </x:c>
      <x:c r="C18" s="271" t="inlineStr">
        <x:is>
          <x:t xml:space="preserve">MIC</x:t>
        </x:is>
      </x:c>
      <x:c r="D18" s="271" t="inlineStr">
        <x:is>
          <x:t xml:space="preserve">Administrative Office</x:t>
        </x:is>
      </x:c>
      <x:c r="E18" s="271" t="inlineStr">
        <x:is>
          <x:t xml:space="preserve">Agency training</x:t>
        </x:is>
      </x:c>
      <x:c r="F18" s="271" t="inlineStr">
        <x:is>
          <x:t xml:space="preserve">Call</x:t>
        </x:is>
      </x:c>
      <x:c r="G18" s="271" t="inlineStr">
        <x:is>
          <x:t xml:space="preserve">Neutral</x:t>
        </x:is>
      </x:c>
      <x:c r="H18" s="271" t="inlineStr">
        <x:is>
          <x:t xml:space="preserve">Provide transparent update and confirm next steps</x:t>
        </x:is>
      </x:c>
      <x:c r="I18" s="271" t="inlineStr">
        <x:is>
          <x:t xml:space="preserve">Compliance</x:t>
        </x:is>
      </x:c>
      <x:c r="J18" s="155" t="n">
        <x:v>45727</x:v>
      </x:c>
      <x:c r="K18" s="271" t="inlineStr">
        <x:is>
          <x:t xml:space="preserve">Closed</x:t>
        </x:is>
      </x:c>
    </x:row>
    <x:row r="19">
      <x:c r="A19" s="271" t="inlineStr">
        <x:is>
          <x:t xml:space="preserve">INT-018</x:t>
        </x:is>
      </x:c>
      <x:c r="B19" s="155" t="n">
        <x:v>45835</x:v>
      </x:c>
      <x:c r="C19" s="271" t="inlineStr">
        <x:is>
          <x:t xml:space="preserve">MIC</x:t>
        </x:is>
      </x:c>
      <x:c r="D19" s="271" t="inlineStr">
        <x:is>
          <x:t xml:space="preserve">Insurance Supervision Team</x:t>
        </x:is>
      </x:c>
      <x:c r="E19" s="271" t="inlineStr">
        <x:is>
          <x:t xml:space="preserve">Product approval</x:t>
        </x:is>
      </x:c>
      <x:c r="F19" s="271" t="inlineStr">
        <x:is>
          <x:t xml:space="preserve">Email</x:t>
        </x:is>
      </x:c>
      <x:c r="G19" s="271" t="inlineStr">
        <x:is>
          <x:t xml:space="preserve">Cautious</x:t>
        </x:is>
      </x:c>
      <x:c r="H19" s="271" t="inlineStr">
        <x:is>
          <x:t xml:space="preserve">Provide transparent update and confirm next steps</x:t>
        </x:is>
      </x:c>
      <x:c r="I19" s="271" t="inlineStr">
        <x:is>
          <x:t xml:space="preserve">CEO Office</x:t>
        </x:is>
      </x:c>
      <x:c r="J19" s="155" t="n">
        <x:v>45842</x:v>
      </x:c>
      <x:c r="K19" s="271" t="inlineStr">
        <x:is>
          <x:t xml:space="preserve">Closed</x:t>
        </x:is>
      </x:c>
    </x:row>
    <x:row r="20">
      <x:c r="A20" s="271" t="inlineStr">
        <x:is>
          <x:t xml:space="preserve">INT-019</x:t>
        </x:is>
      </x:c>
      <x:c r="B20" s="155" t="n">
        <x:v>45632</x:v>
      </x:c>
      <x:c r="C20" s="271" t="inlineStr">
        <x:is>
          <x:t xml:space="preserve">SBV</x:t>
        </x:is>
      </x:c>
      <x:c r="D20" s="271" t="inlineStr">
        <x:is>
          <x:t xml:space="preserve">Insurance Supervision Team</x:t>
        </x:is>
      </x:c>
      <x:c r="E20" s="271" t="inlineStr">
        <x:is>
          <x:t xml:space="preserve">Bancassurance</x:t>
        </x:is>
      </x:c>
      <x:c r="F20" s="271" t="inlineStr">
        <x:is>
          <x:t xml:space="preserve">Workshop</x:t>
        </x:is>
      </x:c>
      <x:c r="G20" s="271" t="inlineStr">
        <x:is>
          <x:t xml:space="preserve">Concerned</x:t>
        </x:is>
      </x:c>
      <x:c r="H20" s="271" t="inlineStr">
        <x:is>
          <x:t xml:space="preserve">Provide transparent update and confirm next steps</x:t>
        </x:is>
      </x:c>
      <x:c r="I20" s="271" t="inlineStr">
        <x:is>
          <x:t xml:space="preserve">CEO Office</x:t>
        </x:is>
      </x:c>
      <x:c r="J20" s="155" t="n">
        <x:v>45645</x:v>
      </x:c>
      <x:c r="K20" s="271" t="inlineStr">
        <x:is>
          <x:t xml:space="preserve">Open</x:t>
        </x:is>
      </x:c>
    </x:row>
    <x:row r="21">
      <x:c r="A21" s="271" t="inlineStr">
        <x:is>
          <x:t xml:space="preserve">INT-020</x:t>
        </x:is>
      </x:c>
      <x:c r="B21" s="155" t="n">
        <x:v>45469</x:v>
      </x:c>
      <x:c r="C21" s="271" t="inlineStr">
        <x:is>
          <x:t xml:space="preserve">ISA</x:t>
        </x:is>
      </x:c>
      <x:c r="D21" s="271" t="inlineStr">
        <x:is>
          <x:t xml:space="preserve">Association Secretariat</x:t>
        </x:is>
      </x:c>
      <x:c r="E21" s="271" t="inlineStr">
        <x:is>
          <x:t xml:space="preserve">Agency training</x:t>
        </x:is>
      </x:c>
      <x:c r="F21" s="271" t="inlineStr">
        <x:is>
          <x:t xml:space="preserve">Call</x:t>
        </x:is>
      </x:c>
      <x:c r="G21" s="271" t="inlineStr">
        <x:is>
          <x:t xml:space="preserve">Concerned</x:t>
        </x:is>
      </x:c>
      <x:c r="H21" s="271" t="inlineStr">
        <x:is>
          <x:t xml:space="preserve">Provide transparent update and confirm next steps</x:t>
        </x:is>
      </x:c>
      <x:c r="I21" s="271" t="inlineStr">
        <x:is>
          <x:t xml:space="preserve">Legal</x:t>
        </x:is>
      </x:c>
      <x:c r="J21" s="155" t="n">
        <x:v>45482</x:v>
      </x:c>
      <x:c r="K21" s="271" t="inlineStr">
        <x:is>
          <x:t xml:space="preserve">In Progress</x:t>
        </x:is>
      </x:c>
    </x:row>
    <x:row r="22">
      <x:c r="A22" s="271" t="inlineStr">
        <x:is>
          <x:t xml:space="preserve">INT-021</x:t>
        </x:is>
      </x:c>
      <x:c r="B22" s="155" t="n">
        <x:v>45699</x:v>
      </x:c>
      <x:c r="C22" s="271" t="inlineStr">
        <x:is>
          <x:t xml:space="preserve">VCA</x:t>
        </x:is>
      </x:c>
      <x:c r="D22" s="271" t="inlineStr">
        <x:is>
          <x:t xml:space="preserve">Legal Unit</x:t>
        </x:is>
      </x:c>
      <x:c r="E22" s="271" t="inlineStr">
        <x:is>
          <x:t xml:space="preserve">Agency training</x:t>
        </x:is>
      </x:c>
      <x:c r="F22" s="271" t="inlineStr">
        <x:is>
          <x:t xml:space="preserve">Call</x:t>
        </x:is>
      </x:c>
      <x:c r="G22" s="271" t="inlineStr">
        <x:is>
          <x:t xml:space="preserve">Concerned</x:t>
        </x:is>
      </x:c>
      <x:c r="H22" s="271" t="inlineStr">
        <x:is>
          <x:t xml:space="preserve">Provide transparent update and confirm next steps</x:t>
        </x:is>
      </x:c>
      <x:c r="I22" s="271" t="inlineStr">
        <x:is>
          <x:t xml:space="preserve">Legal</x:t>
        </x:is>
      </x:c>
      <x:c r="J22" s="155" t="n">
        <x:v>45706</x:v>
      </x:c>
      <x:c r="K22" s="271" t="inlineStr">
        <x:is>
          <x:t xml:space="preserve">In Progress</x:t>
        </x:is>
      </x:c>
    </x:row>
    <x:row r="23">
      <x:c r="A23" s="271" t="inlineStr">
        <x:is>
          <x:t xml:space="preserve">INT-022</x:t>
        </x:is>
      </x:c>
      <x:c r="B23" s="155" t="n">
        <x:v>45579</x:v>
      </x:c>
      <x:c r="C23" s="271" t="inlineStr">
        <x:is>
          <x:t xml:space="preserve">IAV</x:t>
        </x:is>
      </x:c>
      <x:c r="D23" s="271" t="inlineStr">
        <x:is>
          <x:t xml:space="preserve">Policy Dept</x:t>
        </x:is>
      </x:c>
      <x:c r="E23" s="271" t="inlineStr">
        <x:is>
          <x:t xml:space="preserve">ESG reporting</x:t>
        </x:is>
      </x:c>
      <x:c r="F23" s="271" t="inlineStr">
        <x:is>
          <x:t xml:space="preserve">Meeting</x:t>
        </x:is>
      </x:c>
      <x:c r="G23" s="271" t="inlineStr">
        <x:is>
          <x:t xml:space="preserve">Concerned</x:t>
        </x:is>
      </x:c>
      <x:c r="H23" s="271" t="inlineStr">
        <x:is>
          <x:t xml:space="preserve">Provide transparent update and confirm next steps</x:t>
        </x:is>
      </x:c>
      <x:c r="I23" s="271" t="inlineStr">
        <x:is>
          <x:t xml:space="preserve">Legal</x:t>
        </x:is>
      </x:c>
      <x:c r="J23" s="155" t="n">
        <x:v>45586</x:v>
      </x:c>
      <x:c r="K23" s="271" t="inlineStr">
        <x:is>
          <x:t xml:space="preserve">Closed</x:t>
        </x:is>
      </x:c>
    </x:row>
    <x:row r="24">
      <x:c r="A24" s="271" t="inlineStr">
        <x:is>
          <x:t xml:space="preserve">INT-023</x:t>
        </x:is>
      </x:c>
      <x:c r="B24" s="155" t="n">
        <x:v>45513</x:v>
      </x:c>
      <x:c r="C24" s="271" t="inlineStr">
        <x:is>
          <x:t xml:space="preserve">ISA</x:t>
        </x:is>
      </x:c>
      <x:c r="D24" s="271" t="inlineStr">
        <x:is>
          <x:t xml:space="preserve">Policy Dept</x:t>
        </x:is>
      </x:c>
      <x:c r="E24" s="271" t="inlineStr">
        <x:is>
          <x:t xml:space="preserve">ESG reporting</x:t>
        </x:is>
      </x:c>
      <x:c r="F24" s="271" t="inlineStr">
        <x:is>
          <x:t xml:space="preserve">Email</x:t>
        </x:is>
      </x:c>
      <x:c r="G24" s="271" t="inlineStr">
        <x:is>
          <x:t xml:space="preserve">Cautious</x:t>
        </x:is>
      </x:c>
      <x:c r="H24" s="271" t="inlineStr">
        <x:is>
          <x:t xml:space="preserve">Provide transparent update and confirm next steps</x:t>
        </x:is>
      </x:c>
      <x:c r="I24" s="271" t="inlineStr">
        <x:is>
          <x:t xml:space="preserve">Operations</x:t>
        </x:is>
      </x:c>
      <x:c r="J24" s="155" t="n">
        <x:v>45518</x:v>
      </x:c>
      <x:c r="K24" s="271" t="inlineStr">
        <x:is>
          <x:t xml:space="preserve">Closed</x:t>
        </x:is>
      </x:c>
    </x:row>
    <x:row r="25">
      <x:c r="A25" s="271" t="inlineStr">
        <x:is>
          <x:t xml:space="preserve">INT-024</x:t>
        </x:is>
      </x:c>
      <x:c r="B25" s="155" t="n">
        <x:v>45493</x:v>
      </x:c>
      <x:c r="C25" s="271" t="inlineStr">
        <x:is>
          <x:t xml:space="preserve">MIC</x:t>
        </x:is>
      </x:c>
      <x:c r="D25" s="271" t="inlineStr">
        <x:is>
          <x:t xml:space="preserve">Legal Unit</x:t>
        </x:is>
      </x:c>
      <x:c r="E25" s="271" t="inlineStr">
        <x:is>
          <x:t xml:space="preserve">Bancassurance</x:t>
        </x:is>
      </x:c>
      <x:c r="F25" s="271" t="inlineStr">
        <x:is>
          <x:t xml:space="preserve">Submission counter</x:t>
        </x:is>
      </x:c>
      <x:c r="G25" s="271" t="inlineStr">
        <x:is>
          <x:t xml:space="preserve">Positive</x:t>
        </x:is>
      </x:c>
      <x:c r="H25" s="271" t="inlineStr">
        <x:is>
          <x:t xml:space="preserve">Provide transparent update and confirm next steps</x:t>
        </x:is>
      </x:c>
      <x:c r="I25" s="271" t="inlineStr">
        <x:is>
          <x:t xml:space="preserve">Compliance</x:t>
        </x:is>
      </x:c>
      <x:c r="J25" s="155" t="n">
        <x:v>45503</x:v>
      </x:c>
      <x:c r="K25" s="271" t="inlineStr">
        <x:is>
          <x:t xml:space="preserve">In Progress</x:t>
        </x:is>
      </x:c>
    </x:row>
    <x:row r="26">
      <x:c r="A26" s="271" t="inlineStr">
        <x:is>
          <x:t xml:space="preserve">INT-025</x:t>
        </x:is>
      </x:c>
      <x:c r="B26" s="155" t="n">
        <x:v>45483</x:v>
      </x:c>
      <x:c r="C26" s="271" t="inlineStr">
        <x:is>
          <x:t xml:space="preserve">IAV</x:t>
        </x:is>
      </x:c>
      <x:c r="D26" s="271" t="inlineStr">
        <x:is>
          <x:t xml:space="preserve">Administrative Office</x:t>
        </x:is>
      </x:c>
      <x:c r="E26" s="271" t="inlineStr">
        <x:is>
          <x:t xml:space="preserve">Capital requirement</x:t>
        </x:is>
      </x:c>
      <x:c r="F26" s="271" t="inlineStr">
        <x:is>
          <x:t xml:space="preserve">Submission counter</x:t>
        </x:is>
      </x:c>
      <x:c r="G26" s="271" t="inlineStr">
        <x:is>
          <x:t xml:space="preserve">Positive</x:t>
        </x:is>
      </x:c>
      <x:c r="H26" s="271" t="inlineStr">
        <x:is>
          <x:t xml:space="preserve">Provide transparent update and confirm next steps</x:t>
        </x:is>
      </x:c>
      <x:c r="I26" s="271" t="inlineStr">
        <x:is>
          <x:t xml:space="preserve">Compliance</x:t>
        </x:is>
      </x:c>
      <x:c r="J26" s="155" t="n">
        <x:v>45500</x:v>
      </x:c>
      <x:c r="K26" s="271" t="inlineStr">
        <x:is>
          <x:t xml:space="preserve">Open</x:t>
        </x:is>
      </x:c>
    </x:row>
    <x:row r="27">
      <x:c r="A27" s="271" t="inlineStr">
        <x:is>
          <x:t xml:space="preserve">INT-026</x:t>
        </x:is>
      </x:c>
      <x:c r="B27" s="155" t="n">
        <x:v>45473</x:v>
      </x:c>
      <x:c r="C27" s="271" t="inlineStr">
        <x:is>
          <x:t xml:space="preserve">IAV</x:t>
        </x:is>
      </x:c>
      <x:c r="D27" s="271" t="inlineStr">
        <x:is>
          <x:t xml:space="preserve">Policy Dept</x:t>
        </x:is>
      </x:c>
      <x:c r="E27" s="271" t="inlineStr">
        <x:is>
          <x:t xml:space="preserve">Product approval</x:t>
        </x:is>
      </x:c>
      <x:c r="F27" s="271" t="inlineStr">
        <x:is>
          <x:t xml:space="preserve">Email</x:t>
        </x:is>
      </x:c>
      <x:c r="G27" s="271" t="inlineStr">
        <x:is>
          <x:t xml:space="preserve">Positive</x:t>
        </x:is>
      </x:c>
      <x:c r="H27" s="271" t="inlineStr">
        <x:is>
          <x:t xml:space="preserve">Provide transparent update and confirm next steps</x:t>
        </x:is>
      </x:c>
      <x:c r="I27" s="271" t="inlineStr">
        <x:is>
          <x:t xml:space="preserve">Agency</x:t>
        </x:is>
      </x:c>
      <x:c r="J27" s="155" t="n">
        <x:v>45487</x:v>
      </x:c>
      <x:c r="K27" s="271" t="inlineStr">
        <x:is>
          <x:t xml:space="preserve">Closed</x:t>
        </x:is>
      </x:c>
    </x:row>
    <x:row r="28">
      <x:c r="A28" s="271" t="inlineStr">
        <x:is>
          <x:t xml:space="preserve">INT-027</x:t>
        </x:is>
      </x:c>
      <x:c r="B28" s="155" t="n">
        <x:v>45742</x:v>
      </x:c>
      <x:c r="C28" s="271" t="inlineStr">
        <x:is>
          <x:t xml:space="preserve">ISA</x:t>
        </x:is>
      </x:c>
      <x:c r="D28" s="271" t="inlineStr">
        <x:is>
          <x:t xml:space="preserve">Administrative Office</x:t>
        </x:is>
      </x:c>
      <x:c r="E28" s="271" t="inlineStr">
        <x:is>
          <x:t xml:space="preserve">Quarterly update</x:t>
        </x:is>
      </x:c>
      <x:c r="F28" s="271" t="inlineStr">
        <x:is>
          <x:t xml:space="preserve">Submission counter</x:t>
        </x:is>
      </x:c>
      <x:c r="G28" s="271" t="inlineStr">
        <x:is>
          <x:t xml:space="preserve">Neutral</x:t>
        </x:is>
      </x:c>
      <x:c r="H28" s="271" t="inlineStr">
        <x:is>
          <x:t xml:space="preserve">Provide transparent update and confirm next steps</x:t>
        </x:is>
      </x:c>
      <x:c r="I28" s="271" t="inlineStr">
        <x:is>
          <x:t xml:space="preserve">Finance</x:t>
        </x:is>
      </x:c>
      <x:c r="J28" s="155" t="n">
        <x:v>45750</x:v>
      </x:c>
      <x:c r="K28" s="271" t="inlineStr">
        <x:is>
          <x:t xml:space="preserve">Open</x:t>
        </x:is>
      </x:c>
    </x:row>
    <x:row r="29">
      <x:c r="A29" s="271" t="inlineStr">
        <x:is>
          <x:t xml:space="preserve">INT-028</x:t>
        </x:is>
      </x:c>
      <x:c r="B29" s="155" t="n">
        <x:v>45559</x:v>
      </x:c>
      <x:c r="C29" s="271" t="inlineStr">
        <x:is>
          <x:t xml:space="preserve">SBV</x:t>
        </x:is>
      </x:c>
      <x:c r="D29" s="271" t="inlineStr">
        <x:is>
          <x:t xml:space="preserve">Association Secretariat</x:t>
        </x:is>
      </x:c>
      <x:c r="E29" s="271" t="inlineStr">
        <x:is>
          <x:t xml:space="preserve">Consumer complaints</x:t>
        </x:is>
      </x:c>
      <x:c r="F29" s="271" t="inlineStr">
        <x:is>
          <x:t xml:space="preserve">Submission counter</x:t>
        </x:is>
      </x:c>
      <x:c r="G29" s="271" t="inlineStr">
        <x:is>
          <x:t xml:space="preserve">Neutral</x:t>
        </x:is>
      </x:c>
      <x:c r="H29" s="271" t="inlineStr">
        <x:is>
          <x:t xml:space="preserve">Provide transparent update and confirm next steps</x:t>
        </x:is>
      </x:c>
      <x:c r="I29" s="271" t="inlineStr">
        <x:is>
          <x:t xml:space="preserve">Product</x:t>
        </x:is>
      </x:c>
      <x:c r="J29" s="155" t="n">
        <x:v>45576</x:v>
      </x:c>
      <x:c r="K29" s="271" t="inlineStr">
        <x:is>
          <x:t xml:space="preserve">In Progress</x:t>
        </x:is>
      </x:c>
    </x:row>
    <x:row r="30">
      <x:c r="A30" s="271" t="inlineStr">
        <x:is>
          <x:t xml:space="preserve">INT-029</x:t>
        </x:is>
      </x:c>
      <x:c r="B30" s="155" t="n">
        <x:v>45923</x:v>
      </x:c>
      <x:c r="C30" s="271" t="inlineStr">
        <x:is>
          <x:t xml:space="preserve">SBV</x:t>
        </x:is>
      </x:c>
      <x:c r="D30" s="271" t="inlineStr">
        <x:is>
          <x:t xml:space="preserve">Insurance Supervision Team</x:t>
        </x:is>
      </x:c>
      <x:c r="E30" s="271" t="inlineStr">
        <x:is>
          <x:t xml:space="preserve">Product approval</x:t>
        </x:is>
      </x:c>
      <x:c r="F30" s="271" t="inlineStr">
        <x:is>
          <x:t xml:space="preserve">Submission counter</x:t>
        </x:is>
      </x:c>
      <x:c r="G30" s="271" t="inlineStr">
        <x:is>
          <x:t xml:space="preserve">Cautious</x:t>
        </x:is>
      </x:c>
      <x:c r="H30" s="271" t="inlineStr">
        <x:is>
          <x:t xml:space="preserve">Provide transparent update and confirm next steps</x:t>
        </x:is>
      </x:c>
      <x:c r="I30" s="271" t="inlineStr">
        <x:is>
          <x:t xml:space="preserve">Finance</x:t>
        </x:is>
      </x:c>
      <x:c r="J30" s="155" t="n">
        <x:v>45928</x:v>
      </x:c>
      <x:c r="K30" s="271" t="inlineStr">
        <x:is>
          <x:t xml:space="preserve">Closed</x:t>
        </x:is>
      </x:c>
    </x:row>
    <x:row r="31">
      <x:c r="A31" s="271" t="inlineStr">
        <x:is>
          <x:t xml:space="preserve">INT-030</x:t>
        </x:is>
      </x:c>
      <x:c r="B31" s="155" t="n">
        <x:v>45830</x:v>
      </x:c>
      <x:c r="C31" s="271" t="inlineStr">
        <x:is>
          <x:t xml:space="preserve">MIC</x:t>
        </x:is>
      </x:c>
      <x:c r="D31" s="271" t="inlineStr">
        <x:is>
          <x:t xml:space="preserve">Insurance Supervision Team</x:t>
        </x:is>
      </x:c>
      <x:c r="E31" s="271" t="inlineStr">
        <x:is>
          <x:t xml:space="preserve">Agency training</x:t>
        </x:is>
      </x:c>
      <x:c r="F31" s="271" t="inlineStr">
        <x:is>
          <x:t xml:space="preserve">Email</x:t>
        </x:is>
      </x:c>
      <x:c r="G31" s="271" t="inlineStr">
        <x:is>
          <x:t xml:space="preserve">Concerned</x:t>
        </x:is>
      </x:c>
      <x:c r="H31" s="271" t="inlineStr">
        <x:is>
          <x:t xml:space="preserve">Provide transparent update and confirm next steps</x:t>
        </x:is>
      </x:c>
      <x:c r="I31" s="271" t="inlineStr">
        <x:is>
          <x:t xml:space="preserve">Agency</x:t>
        </x:is>
      </x:c>
      <x:c r="J31" s="155" t="n">
        <x:v>45839</x:v>
      </x:c>
      <x:c r="K31" s="271" t="inlineStr">
        <x:is>
          <x:t xml:space="preserve">Closed</x:t>
        </x:is>
      </x:c>
    </x:row>
    <x:row r="32">
      <x:c r="A32" s="271" t="inlineStr">
        <x:is>
          <x:t xml:space="preserve">INT-031</x:t>
        </x:is>
      </x:c>
      <x:c r="B32" s="155" t="n">
        <x:v>45689</x:v>
      </x:c>
      <x:c r="C32" s="271" t="inlineStr">
        <x:is>
          <x:t xml:space="preserve">MOF</x:t>
        </x:is>
      </x:c>
      <x:c r="D32" s="271" t="inlineStr">
        <x:is>
          <x:t xml:space="preserve">Administrative Office</x:t>
        </x:is>
      </x:c>
      <x:c r="E32" s="271" t="inlineStr">
        <x:is>
          <x:t xml:space="preserve">Agency training</x:t>
        </x:is>
      </x:c>
      <x:c r="F32" s="271" t="inlineStr">
        <x:is>
          <x:t xml:space="preserve">Workshop</x:t>
        </x:is>
      </x:c>
      <x:c r="G32" s="271" t="inlineStr">
        <x:is>
          <x:t xml:space="preserve">Cautious</x:t>
        </x:is>
      </x:c>
      <x:c r="H32" s="271" t="inlineStr">
        <x:is>
          <x:t xml:space="preserve">Provide transparent update and confirm next steps</x:t>
        </x:is>
      </x:c>
      <x:c r="I32" s="271" t="inlineStr">
        <x:is>
          <x:t xml:space="preserve">Agency</x:t>
        </x:is>
      </x:c>
      <x:c r="J32" s="155" t="n">
        <x:v>45701</x:v>
      </x:c>
      <x:c r="K32" s="271" t="inlineStr">
        <x:is>
          <x:t xml:space="preserve">Open</x:t>
        </x:is>
      </x:c>
    </x:row>
    <x:row r="33">
      <x:c r="A33" s="271" t="inlineStr">
        <x:is>
          <x:t xml:space="preserve">INT-032</x:t>
        </x:is>
      </x:c>
      <x:c r="B33" s="155" t="n">
        <x:v>45509</x:v>
      </x:c>
      <x:c r="C33" s="271" t="inlineStr">
        <x:is>
          <x:t xml:space="preserve">SBV</x:t>
        </x:is>
      </x:c>
      <x:c r="D33" s="271" t="inlineStr">
        <x:is>
          <x:t xml:space="preserve">Insurance Supervision Team</x:t>
        </x:is>
      </x:c>
      <x:c r="E33" s="271" t="inlineStr">
        <x:is>
          <x:t xml:space="preserve">Product approval</x:t>
        </x:is>
      </x:c>
      <x:c r="F33" s="271" t="inlineStr">
        <x:is>
          <x:t xml:space="preserve">Workshop</x:t>
        </x:is>
      </x:c>
      <x:c r="G33" s="271" t="inlineStr">
        <x:is>
          <x:t xml:space="preserve">Positive</x:t>
        </x:is>
      </x:c>
      <x:c r="H33" s="271" t="inlineStr">
        <x:is>
          <x:t xml:space="preserve">Provide transparent update and confirm next steps</x:t>
        </x:is>
      </x:c>
      <x:c r="I33" s="271" t="inlineStr">
        <x:is>
          <x:t xml:space="preserve">CEO Office</x:t>
        </x:is>
      </x:c>
      <x:c r="J33" s="155" t="n">
        <x:v>45521</x:v>
      </x:c>
      <x:c r="K33" s="271" t="inlineStr">
        <x:is>
          <x:t xml:space="preserve">Open</x:t>
        </x:is>
      </x:c>
    </x:row>
    <x:row r="34">
      <x:c r="A34" s="271" t="inlineStr">
        <x:is>
          <x:t xml:space="preserve">INT-033</x:t>
        </x:is>
      </x:c>
      <x:c r="B34" s="155" t="n">
        <x:v>45562</x:v>
      </x:c>
      <x:c r="C34" s="271" t="inlineStr">
        <x:is>
          <x:t xml:space="preserve">IAV</x:t>
        </x:is>
      </x:c>
      <x:c r="D34" s="271" t="inlineStr">
        <x:is>
          <x:t xml:space="preserve">Administrative Office</x:t>
        </x:is>
      </x:c>
      <x:c r="E34" s="271" t="inlineStr">
        <x:is>
          <x:t xml:space="preserve">Consumer complaints</x:t>
        </x:is>
      </x:c>
      <x:c r="F34" s="271" t="inlineStr">
        <x:is>
          <x:t xml:space="preserve">Workshop</x:t>
        </x:is>
      </x:c>
      <x:c r="G34" s="271" t="inlineStr">
        <x:is>
          <x:t xml:space="preserve">Cautious</x:t>
        </x:is>
      </x:c>
      <x:c r="H34" s="271" t="inlineStr">
        <x:is>
          <x:t xml:space="preserve">Provide transparent update and confirm next steps</x:t>
        </x:is>
      </x:c>
      <x:c r="I34" s="271" t="inlineStr">
        <x:is>
          <x:t xml:space="preserve">Finance</x:t>
        </x:is>
      </x:c>
      <x:c r="J34" s="155" t="n">
        <x:v>45568</x:v>
      </x:c>
      <x:c r="K34" s="271" t="inlineStr">
        <x:is>
          <x:t xml:space="preserve">In Progress</x:t>
        </x:is>
      </x:c>
    </x:row>
    <x:row r="35">
      <x:c r="A35" s="271" t="inlineStr">
        <x:is>
          <x:t xml:space="preserve">INT-034</x:t>
        </x:is>
      </x:c>
      <x:c r="B35" s="155" t="n">
        <x:v>45522</x:v>
      </x:c>
      <x:c r="C35" s="271" t="inlineStr">
        <x:is>
          <x:t xml:space="preserve">MOF</x:t>
        </x:is>
      </x:c>
      <x:c r="D35" s="271" t="inlineStr">
        <x:is>
          <x:t xml:space="preserve">Insurance Supervision Team</x:t>
        </x:is>
      </x:c>
      <x:c r="E35" s="271" t="inlineStr">
        <x:is>
          <x:t xml:space="preserve">ESG reporting</x:t>
        </x:is>
      </x:c>
      <x:c r="F35" s="271" t="inlineStr">
        <x:is>
          <x:t xml:space="preserve">Meeting</x:t>
        </x:is>
      </x:c>
      <x:c r="G35" s="271" t="inlineStr">
        <x:is>
          <x:t xml:space="preserve">Cautious</x:t>
        </x:is>
      </x:c>
      <x:c r="H35" s="271" t="inlineStr">
        <x:is>
          <x:t xml:space="preserve">Provide transparent update and confirm next steps</x:t>
        </x:is>
      </x:c>
      <x:c r="I35" s="271" t="inlineStr">
        <x:is>
          <x:t xml:space="preserve">Finance</x:t>
        </x:is>
      </x:c>
      <x:c r="J35" s="155" t="n">
        <x:v>45527</x:v>
      </x:c>
      <x:c r="K35" s="271" t="inlineStr">
        <x:is>
          <x:t xml:space="preserve">Closed</x:t>
        </x:is>
      </x:c>
    </x:row>
    <x:row r="36">
      <x:c r="A36" s="271" t="inlineStr">
        <x:is>
          <x:t xml:space="preserve">INT-035</x:t>
        </x:is>
      </x:c>
      <x:c r="B36" s="155" t="n">
        <x:v>45849</x:v>
      </x:c>
      <x:c r="C36" s="271" t="inlineStr">
        <x:is>
          <x:t xml:space="preserve">VCA</x:t>
        </x:is>
      </x:c>
      <x:c r="D36" s="271" t="inlineStr">
        <x:is>
          <x:t xml:space="preserve">Legal Unit</x:t>
        </x:is>
      </x:c>
      <x:c r="E36" s="271" t="inlineStr">
        <x:is>
          <x:t xml:space="preserve">Market conduct</x:t>
        </x:is>
      </x:c>
      <x:c r="F36" s="271" t="inlineStr">
        <x:is>
          <x:t xml:space="preserve">Call</x:t>
        </x:is>
      </x:c>
      <x:c r="G36" s="271" t="inlineStr">
        <x:is>
          <x:t xml:space="preserve">Neutral</x:t>
        </x:is>
      </x:c>
      <x:c r="H36" s="271" t="inlineStr">
        <x:is>
          <x:t xml:space="preserve">Provide transparent update and confirm next steps</x:t>
        </x:is>
      </x:c>
      <x:c r="I36" s="271" t="inlineStr">
        <x:is>
          <x:t xml:space="preserve">Bancassurance</x:t>
        </x:is>
      </x:c>
      <x:c r="J36" s="155" t="n">
        <x:v>45868</x:v>
      </x:c>
      <x:c r="K36" s="271" t="inlineStr">
        <x:is>
          <x:t xml:space="preserve">In Progress</x:t>
        </x:is>
      </x:c>
    </x:row>
    <x:row r="37">
      <x:c r="A37" s="271" t="inlineStr">
        <x:is>
          <x:t xml:space="preserve">INT-036</x:t>
        </x:is>
      </x:c>
      <x:c r="B37" s="155" t="n">
        <x:v>45904</x:v>
      </x:c>
      <x:c r="C37" s="271" t="inlineStr">
        <x:is>
          <x:t xml:space="preserve">ISA</x:t>
        </x:is>
      </x:c>
      <x:c r="D37" s="271" t="inlineStr">
        <x:is>
          <x:t xml:space="preserve">Insurance Supervision Team</x:t>
        </x:is>
      </x:c>
      <x:c r="E37" s="271" t="inlineStr">
        <x:is>
          <x:t xml:space="preserve">ESG reporting</x:t>
        </x:is>
      </x:c>
      <x:c r="F37" s="271" t="inlineStr">
        <x:is>
          <x:t xml:space="preserve">Email</x:t>
        </x:is>
      </x:c>
      <x:c r="G37" s="271" t="inlineStr">
        <x:is>
          <x:t xml:space="preserve">Cautious</x:t>
        </x:is>
      </x:c>
      <x:c r="H37" s="271" t="inlineStr">
        <x:is>
          <x:t xml:space="preserve">Provide transparent update and confirm next steps</x:t>
        </x:is>
      </x:c>
      <x:c r="I37" s="271" t="inlineStr">
        <x:is>
          <x:t xml:space="preserve">Compliance</x:t>
        </x:is>
      </x:c>
      <x:c r="J37" s="155" t="n">
        <x:v>45921</x:v>
      </x:c>
      <x:c r="K37" s="271" t="inlineStr">
        <x:is>
          <x:t xml:space="preserve">Open</x:t>
        </x:is>
      </x:c>
    </x:row>
    <x:row r="38">
      <x:c r="A38" s="271" t="inlineStr">
        <x:is>
          <x:t xml:space="preserve">INT-037</x:t>
        </x:is>
      </x:c>
      <x:c r="B38" s="155" t="n">
        <x:v>46039</x:v>
      </x:c>
      <x:c r="C38" s="271" t="inlineStr">
        <x:is>
          <x:t xml:space="preserve">ISA</x:t>
        </x:is>
      </x:c>
      <x:c r="D38" s="271" t="inlineStr">
        <x:is>
          <x:t xml:space="preserve">Legal Unit</x:t>
        </x:is>
      </x:c>
      <x:c r="E38" s="271" t="inlineStr">
        <x:is>
          <x:t xml:space="preserve">Quarterly update</x:t>
        </x:is>
      </x:c>
      <x:c r="F38" s="271" t="inlineStr">
        <x:is>
          <x:t xml:space="preserve">Email</x:t>
        </x:is>
      </x:c>
      <x:c r="G38" s="271" t="inlineStr">
        <x:is>
          <x:t xml:space="preserve">Positive</x:t>
        </x:is>
      </x:c>
      <x:c r="H38" s="271" t="inlineStr">
        <x:is>
          <x:t xml:space="preserve">Provide transparent update and confirm next steps</x:t>
        </x:is>
      </x:c>
      <x:c r="I38" s="271" t="inlineStr">
        <x:is>
          <x:t xml:space="preserve">Operations</x:t>
        </x:is>
      </x:c>
      <x:c r="J38" s="155" t="n">
        <x:v>46042</x:v>
      </x:c>
      <x:c r="K38" s="271" t="inlineStr">
        <x:is>
          <x:t xml:space="preserve">Closed</x:t>
        </x:is>
      </x:c>
    </x:row>
    <x:row r="39">
      <x:c r="A39" s="271" t="inlineStr">
        <x:is>
          <x:t xml:space="preserve">INT-038</x:t>
        </x:is>
      </x:c>
      <x:c r="B39" s="155" t="n">
        <x:v>45634</x:v>
      </x:c>
      <x:c r="C39" s="271" t="inlineStr">
        <x:is>
          <x:t xml:space="preserve">MOF</x:t>
        </x:is>
      </x:c>
      <x:c r="D39" s="271" t="inlineStr">
        <x:is>
          <x:t xml:space="preserve">Legal Unit</x:t>
        </x:is>
      </x:c>
      <x:c r="E39" s="271" t="inlineStr">
        <x:is>
          <x:t xml:space="preserve">Bancassurance</x:t>
        </x:is>
      </x:c>
      <x:c r="F39" s="271" t="inlineStr">
        <x:is>
          <x:t xml:space="preserve">Email</x:t>
        </x:is>
      </x:c>
      <x:c r="G39" s="271" t="inlineStr">
        <x:is>
          <x:t xml:space="preserve">Concerned</x:t>
        </x:is>
      </x:c>
      <x:c r="H39" s="271" t="inlineStr">
        <x:is>
          <x:t xml:space="preserve">Provide transparent update and confirm next steps</x:t>
        </x:is>
      </x:c>
      <x:c r="I39" s="271" t="inlineStr">
        <x:is>
          <x:t xml:space="preserve">Bancassurance</x:t>
        </x:is>
      </x:c>
      <x:c r="J39" s="155" t="n">
        <x:v>45640</x:v>
      </x:c>
      <x:c r="K39" s="271" t="inlineStr">
        <x:is>
          <x:t xml:space="preserve">In Progress</x:t>
        </x:is>
      </x:c>
    </x:row>
    <x:row r="40">
      <x:c r="A40" s="271" t="inlineStr">
        <x:is>
          <x:t xml:space="preserve">INT-039</x:t>
        </x:is>
      </x:c>
      <x:c r="B40" s="155" t="n">
        <x:v>45944</x:v>
      </x:c>
      <x:c r="C40" s="271" t="inlineStr">
        <x:is>
          <x:t xml:space="preserve">SBV</x:t>
        </x:is>
      </x:c>
      <x:c r="D40" s="271" t="inlineStr">
        <x:is>
          <x:t xml:space="preserve">Policy Dept</x:t>
        </x:is>
      </x:c>
      <x:c r="E40" s="271" t="inlineStr">
        <x:is>
          <x:t xml:space="preserve">Quarterly update</x:t>
        </x:is>
      </x:c>
      <x:c r="F40" s="271" t="inlineStr">
        <x:is>
          <x:t xml:space="preserve">Email</x:t>
        </x:is>
      </x:c>
      <x:c r="G40" s="271" t="inlineStr">
        <x:is>
          <x:t xml:space="preserve">Neutral</x:t>
        </x:is>
      </x:c>
      <x:c r="H40" s="271" t="inlineStr">
        <x:is>
          <x:t xml:space="preserve">Provide transparent update and confirm next steps</x:t>
        </x:is>
      </x:c>
      <x:c r="I40" s="271" t="inlineStr">
        <x:is>
          <x:t xml:space="preserve">Compliance</x:t>
        </x:is>
      </x:c>
      <x:c r="J40" s="155" t="n">
        <x:v>45961</x:v>
      </x:c>
      <x:c r="K40" s="271" t="inlineStr">
        <x:is>
          <x:t xml:space="preserve">In Progress</x:t>
        </x:is>
      </x:c>
    </x:row>
    <x:row r="41">
      <x:c r="A41" s="271" t="inlineStr">
        <x:is>
          <x:t xml:space="preserve">INT-040</x:t>
        </x:is>
      </x:c>
      <x:c r="B41" s="155" t="n">
        <x:v>45874</x:v>
      </x:c>
      <x:c r="C41" s="271" t="inlineStr">
        <x:is>
          <x:t xml:space="preserve">VCA</x:t>
        </x:is>
      </x:c>
      <x:c r="D41" s="271" t="inlineStr">
        <x:is>
          <x:t xml:space="preserve">Legal Unit</x:t>
        </x:is>
      </x:c>
      <x:c r="E41" s="271" t="inlineStr">
        <x:is>
          <x:t xml:space="preserve">Capital requirement</x:t>
        </x:is>
      </x:c>
      <x:c r="F41" s="271" t="inlineStr">
        <x:is>
          <x:t xml:space="preserve">Call</x:t>
        </x:is>
      </x:c>
      <x:c r="G41" s="271" t="inlineStr">
        <x:is>
          <x:t xml:space="preserve">Positive</x:t>
        </x:is>
      </x:c>
      <x:c r="H41" s="271" t="inlineStr">
        <x:is>
          <x:t xml:space="preserve">Provide transparent update and confirm next steps</x:t>
        </x:is>
      </x:c>
      <x:c r="I41" s="271" t="inlineStr">
        <x:is>
          <x:t xml:space="preserve">Legal</x:t>
        </x:is>
      </x:c>
      <x:c r="J41" s="155" t="n">
        <x:v>45886</x:v>
      </x:c>
      <x:c r="K41" s="271" t="inlineStr">
        <x:is>
          <x:t xml:space="preserve">Closed</x:t>
        </x:is>
      </x:c>
    </x:row>
    <x:row r="42">
      <x:c r="A42" s="271" t="inlineStr">
        <x:is>
          <x:t xml:space="preserve">INT-041</x:t>
        </x:is>
      </x:c>
      <x:c r="B42" s="155" t="n">
        <x:v>46065</x:v>
      </x:c>
      <x:c r="C42" s="271" t="inlineStr">
        <x:is>
          <x:t xml:space="preserve">MOF</x:t>
        </x:is>
      </x:c>
      <x:c r="D42" s="271" t="inlineStr">
        <x:is>
          <x:t xml:space="preserve">Administrative Office</x:t>
        </x:is>
      </x:c>
      <x:c r="E42" s="271" t="inlineStr">
        <x:is>
          <x:t xml:space="preserve">Quarterly update</x:t>
        </x:is>
      </x:c>
      <x:c r="F42" s="271" t="inlineStr">
        <x:is>
          <x:t xml:space="preserve">Call</x:t>
        </x:is>
      </x:c>
      <x:c r="G42" s="271" t="inlineStr">
        <x:is>
          <x:t xml:space="preserve">Concerned</x:t>
        </x:is>
      </x:c>
      <x:c r="H42" s="271" t="inlineStr">
        <x:is>
          <x:t xml:space="preserve">Provide transparent update and confirm next steps</x:t>
        </x:is>
      </x:c>
      <x:c r="I42" s="271" t="inlineStr">
        <x:is>
          <x:t xml:space="preserve">CEO Office</x:t>
        </x:is>
      </x:c>
      <x:c r="J42" s="155" t="n">
        <x:v>46079</x:v>
      </x:c>
      <x:c r="K42" s="271" t="inlineStr">
        <x:is>
          <x:t xml:space="preserve">In Progress</x:t>
        </x:is>
      </x:c>
    </x:row>
    <x:row r="43">
      <x:c r="A43" s="271" t="inlineStr">
        <x:is>
          <x:t xml:space="preserve">INT-042</x:t>
        </x:is>
      </x:c>
      <x:c r="B43" s="155" t="n">
        <x:v>45470</x:v>
      </x:c>
      <x:c r="C43" s="271" t="inlineStr">
        <x:is>
          <x:t xml:space="preserve">MIC</x:t>
        </x:is>
      </x:c>
      <x:c r="D43" s="271" t="inlineStr">
        <x:is>
          <x:t xml:space="preserve">Legal Unit</x:t>
        </x:is>
      </x:c>
      <x:c r="E43" s="271" t="inlineStr">
        <x:is>
          <x:t xml:space="preserve">Market conduct</x:t>
        </x:is>
      </x:c>
      <x:c r="F43" s="271" t="inlineStr">
        <x:is>
          <x:t xml:space="preserve">Submission counter</x:t>
        </x:is>
      </x:c>
      <x:c r="G43" s="271" t="inlineStr">
        <x:is>
          <x:t xml:space="preserve">Positive</x:t>
        </x:is>
      </x:c>
      <x:c r="H43" s="271" t="inlineStr">
        <x:is>
          <x:t xml:space="preserve">Provide transparent update and confirm next steps</x:t>
        </x:is>
      </x:c>
      <x:c r="I43" s="271" t="inlineStr">
        <x:is>
          <x:t xml:space="preserve">CEO Office</x:t>
        </x:is>
      </x:c>
      <x:c r="J43" s="155" t="n">
        <x:v>45486</x:v>
      </x:c>
      <x:c r="K43" s="271" t="inlineStr">
        <x:is>
          <x:t xml:space="preserve">Closed</x:t>
        </x:is>
      </x:c>
    </x:row>
    <x:row r="44">
      <x:c r="A44" s="271" t="inlineStr">
        <x:is>
          <x:t xml:space="preserve">INT-043</x:t>
        </x:is>
      </x:c>
      <x:c r="B44" s="155" t="n">
        <x:v>46150</x:v>
      </x:c>
      <x:c r="C44" s="271" t="inlineStr">
        <x:is>
          <x:t xml:space="preserve">VCA</x:t>
        </x:is>
      </x:c>
      <x:c r="D44" s="271" t="inlineStr">
        <x:is>
          <x:t xml:space="preserve">Insurance Supervision Team</x:t>
        </x:is>
      </x:c>
      <x:c r="E44" s="271" t="inlineStr">
        <x:is>
          <x:t xml:space="preserve">Consumer complaints</x:t>
        </x:is>
      </x:c>
      <x:c r="F44" s="271" t="inlineStr">
        <x:is>
          <x:t xml:space="preserve">Submission counter</x:t>
        </x:is>
      </x:c>
      <x:c r="G44" s="271" t="inlineStr">
        <x:is>
          <x:t xml:space="preserve">Concerned</x:t>
        </x:is>
      </x:c>
      <x:c r="H44" s="271" t="inlineStr">
        <x:is>
          <x:t xml:space="preserve">Provide transparent update and confirm next steps</x:t>
        </x:is>
      </x:c>
      <x:c r="I44" s="271" t="inlineStr">
        <x:is>
          <x:t xml:space="preserve">Product</x:t>
        </x:is>
      </x:c>
      <x:c r="J44" s="155" t="n">
        <x:v>46164</x:v>
      </x:c>
      <x:c r="K44" s="271" t="inlineStr">
        <x:is>
          <x:t xml:space="preserve">Open</x:t>
        </x:is>
      </x:c>
    </x:row>
    <x:row r="45">
      <x:c r="A45" s="271" t="inlineStr">
        <x:is>
          <x:t xml:space="preserve">INT-044</x:t>
        </x:is>
      </x:c>
      <x:c r="B45" s="155" t="n">
        <x:v>45481</x:v>
      </x:c>
      <x:c r="C45" s="271" t="inlineStr">
        <x:is>
          <x:t xml:space="preserve">IAV</x:t>
        </x:is>
      </x:c>
      <x:c r="D45" s="271" t="inlineStr">
        <x:is>
          <x:t xml:space="preserve">Association Secretariat</x:t>
        </x:is>
      </x:c>
      <x:c r="E45" s="271" t="inlineStr">
        <x:is>
          <x:t xml:space="preserve">Bancassurance</x:t>
        </x:is>
      </x:c>
      <x:c r="F45" s="271" t="inlineStr">
        <x:is>
          <x:t xml:space="preserve">Meeting</x:t>
        </x:is>
      </x:c>
      <x:c r="G45" s="271" t="inlineStr">
        <x:is>
          <x:t xml:space="preserve">Concerned</x:t>
        </x:is>
      </x:c>
      <x:c r="H45" s="271" t="inlineStr">
        <x:is>
          <x:t xml:space="preserve">Provide transparent update and confirm next steps</x:t>
        </x:is>
      </x:c>
      <x:c r="I45" s="271" t="inlineStr">
        <x:is>
          <x:t xml:space="preserve">Agency</x:t>
        </x:is>
      </x:c>
      <x:c r="J45" s="155" t="n">
        <x:v>45490</x:v>
      </x:c>
      <x:c r="K45" s="271" t="inlineStr">
        <x:is>
          <x:t xml:space="preserve">Open</x:t>
        </x:is>
      </x:c>
    </x:row>
    <x:row r="46">
      <x:c r="A46" s="271" t="inlineStr">
        <x:is>
          <x:t xml:space="preserve">INT-045</x:t>
        </x:is>
      </x:c>
      <x:c r="B46" s="155" t="n">
        <x:v>45718</x:v>
      </x:c>
      <x:c r="C46" s="271" t="inlineStr">
        <x:is>
          <x:t xml:space="preserve">MOF</x:t>
        </x:is>
      </x:c>
      <x:c r="D46" s="271" t="inlineStr">
        <x:is>
          <x:t xml:space="preserve">Administrative Office</x:t>
        </x:is>
      </x:c>
      <x:c r="E46" s="271" t="inlineStr">
        <x:is>
          <x:t xml:space="preserve">Product approval</x:t>
        </x:is>
      </x:c>
      <x:c r="F46" s="271" t="inlineStr">
        <x:is>
          <x:t xml:space="preserve">Meeting</x:t>
        </x:is>
      </x:c>
      <x:c r="G46" s="271" t="inlineStr">
        <x:is>
          <x:t xml:space="preserve">Cautious</x:t>
        </x:is>
      </x:c>
      <x:c r="H46" s="271" t="inlineStr">
        <x:is>
          <x:t xml:space="preserve">Provide transparent update and confirm next steps</x:t>
        </x:is>
      </x:c>
      <x:c r="I46" s="271" t="inlineStr">
        <x:is>
          <x:t xml:space="preserve">Product</x:t>
        </x:is>
      </x:c>
      <x:c r="J46" s="155" t="n">
        <x:v>45725</x:v>
      </x:c>
      <x:c r="K46" s="271" t="inlineStr">
        <x:is>
          <x:t xml:space="preserve">In Progress</x:t>
        </x:is>
      </x:c>
    </x:row>
    <x:row r="47">
      <x:c r="A47" s="271" t="inlineStr">
        <x:is>
          <x:t xml:space="preserve">INT-046</x:t>
        </x:is>
      </x:c>
      <x:c r="B47" s="155" t="n">
        <x:v>45973</x:v>
      </x:c>
      <x:c r="C47" s="271" t="inlineStr">
        <x:is>
          <x:t xml:space="preserve">MOF</x:t>
        </x:is>
      </x:c>
      <x:c r="D47" s="271" t="inlineStr">
        <x:is>
          <x:t xml:space="preserve">Association Secretariat</x:t>
        </x:is>
      </x:c>
      <x:c r="E47" s="271" t="inlineStr">
        <x:is>
          <x:t xml:space="preserve">Consumer complaints</x:t>
        </x:is>
      </x:c>
      <x:c r="F47" s="271" t="inlineStr">
        <x:is>
          <x:t xml:space="preserve">Workshop</x:t>
        </x:is>
      </x:c>
      <x:c r="G47" s="271" t="inlineStr">
        <x:is>
          <x:t xml:space="preserve">Neutral</x:t>
        </x:is>
      </x:c>
      <x:c r="H47" s="271" t="inlineStr">
        <x:is>
          <x:t xml:space="preserve">Provide transparent update and confirm next steps</x:t>
        </x:is>
      </x:c>
      <x:c r="I47" s="271" t="inlineStr">
        <x:is>
          <x:t xml:space="preserve">Product</x:t>
        </x:is>
      </x:c>
      <x:c r="J47" s="155" t="n">
        <x:v>45986</x:v>
      </x:c>
      <x:c r="K47" s="271" t="inlineStr">
        <x:is>
          <x:t xml:space="preserve">Open</x:t>
        </x:is>
      </x:c>
    </x:row>
    <x:row r="48">
      <x:c r="A48" s="271" t="inlineStr">
        <x:is>
          <x:t xml:space="preserve">INT-047</x:t>
        </x:is>
      </x:c>
      <x:c r="B48" s="155" t="n">
        <x:v>45573</x:v>
      </x:c>
      <x:c r="C48" s="271" t="inlineStr">
        <x:is>
          <x:t xml:space="preserve">MOF</x:t>
        </x:is>
      </x:c>
      <x:c r="D48" s="271" t="inlineStr">
        <x:is>
          <x:t xml:space="preserve">Insurance Supervision Team</x:t>
        </x:is>
      </x:c>
      <x:c r="E48" s="271" t="inlineStr">
        <x:is>
          <x:t xml:space="preserve">Market conduct</x:t>
        </x:is>
      </x:c>
      <x:c r="F48" s="271" t="inlineStr">
        <x:is>
          <x:t xml:space="preserve">Call</x:t>
        </x:is>
      </x:c>
      <x:c r="G48" s="271" t="inlineStr">
        <x:is>
          <x:t xml:space="preserve">Cautious</x:t>
        </x:is>
      </x:c>
      <x:c r="H48" s="271" t="inlineStr">
        <x:is>
          <x:t xml:space="preserve">Provide transparent update and confirm next steps</x:t>
        </x:is>
      </x:c>
      <x:c r="I48" s="271" t="inlineStr">
        <x:is>
          <x:t xml:space="preserve">Finance</x:t>
        </x:is>
      </x:c>
      <x:c r="J48" s="155" t="n">
        <x:v>45579</x:v>
      </x:c>
      <x:c r="K48" s="271" t="inlineStr">
        <x:is>
          <x:t xml:space="preserve">In Progress</x:t>
        </x:is>
      </x:c>
    </x:row>
    <x:row r="49">
      <x:c r="A49" s="271" t="inlineStr">
        <x:is>
          <x:t xml:space="preserve">INT-048</x:t>
        </x:is>
      </x:c>
      <x:c r="B49" s="155" t="n">
        <x:v>46157</x:v>
      </x:c>
      <x:c r="C49" s="271" t="inlineStr">
        <x:is>
          <x:t xml:space="preserve">ISA</x:t>
        </x:is>
      </x:c>
      <x:c r="D49" s="271" t="inlineStr">
        <x:is>
          <x:t xml:space="preserve">Policy Dept</x:t>
        </x:is>
      </x:c>
      <x:c r="E49" s="271" t="inlineStr">
        <x:is>
          <x:t xml:space="preserve">Bancassurance</x:t>
        </x:is>
      </x:c>
      <x:c r="F49" s="271" t="inlineStr">
        <x:is>
          <x:t xml:space="preserve">Call</x:t>
        </x:is>
      </x:c>
      <x:c r="G49" s="271" t="inlineStr">
        <x:is>
          <x:t xml:space="preserve">Cautious</x:t>
        </x:is>
      </x:c>
      <x:c r="H49" s="271" t="inlineStr">
        <x:is>
          <x:t xml:space="preserve">Provide transparent update and confirm next steps</x:t>
        </x:is>
      </x:c>
      <x:c r="I49" s="271" t="inlineStr">
        <x:is>
          <x:t xml:space="preserve">Legal</x:t>
        </x:is>
      </x:c>
      <x:c r="J49" s="155" t="n">
        <x:v>46165</x:v>
      </x:c>
      <x:c r="K49" s="271" t="inlineStr">
        <x:is>
          <x:t xml:space="preserve">Closed</x:t>
        </x:is>
      </x:c>
    </x:row>
  </x:sheetData>
  <x:dataValidations count="1">
    <x:dataValidation type="list" allowBlank="0" showDropDown="0" showInputMessage="0" showErrorMessage="0" sqref="K2:K49">
      <x:formula1>"On Track,Due Soon,Overdue,Submitted,Approved,In Review,Drafting,Waiting Internal Input"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0efb18c3674234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4" style="265" customWidth="1"/>
    <x:col min="2" max="2" width="35" style="265" customWidth="1"/>
    <x:col min="3" max="3" width="14" style="265" customWidth="1"/>
    <x:col min="4" max="4" width="14.130000114440918" style="265" customWidth="1"/>
    <x:col min="5" max="5" width="17.6299991607666" style="265" customWidth="1"/>
    <x:col min="6" max="6" width="14.670000076293945" style="265" customWidth="1"/>
    <x:col min="7" max="7" width="20.049999237060547" style="265" customWidth="1"/>
    <x:col min="8" max="8" width="22.06999969482422" style="265" customWidth="1"/>
    <x:col min="9" max="9" width="14" style="265" customWidth="1"/>
    <x:col min="10" max="10" width="14" style="265" customWidth="1"/>
    <x:col min="11" max="11" width="35" style="265" customWidth="1"/>
    <x:col min="12" max="12" width="14" style="265" customWidth="1"/>
    <x:col min="13" max="13" width="14" style="265" customWidth="1"/>
    <x:col min="14" max="14" width="14" style="265" customWidth="1"/>
    <x:col min="15" max="15" width="14" style="265" customWidth="1"/>
  </x:cols>
  <x:sheetData>
    <x:row r="1">
      <x:c r="A1" s="242" t="inlineStr">
        <x:is>
          <x:t xml:space="preserve">Policy ID</x:t>
        </x:is>
      </x:c>
      <x:c r="B1" s="242" t="inlineStr">
        <x:is>
          <x:t xml:space="preserve">Policy / Regulation</x:t>
        </x:is>
      </x:c>
      <x:c r="C1" s="242" t="inlineStr">
        <x:is>
          <x:t xml:space="preserve">Agency</x:t>
        </x:is>
      </x:c>
      <x:c r="D1" s="242" t="inlineStr">
        <x:is>
          <x:t xml:space="preserve">Policy Stage</x:t>
        </x:is>
      </x:c>
      <x:c r="E1" s="242" t="inlineStr">
        <x:is>
          <x:t xml:space="preserve">Expected Timeline</x:t>
        </x:is>
      </x:c>
      <x:c r="F1" s="242" t="inlineStr">
        <x:is>
          <x:t xml:space="preserve">Probability (%)</x:t>
        </x:is>
      </x:c>
      <x:c r="G1" s="242" t="inlineStr">
        <x:is>
          <x:t xml:space="preserve">Business Impact (1-5)</x:t>
        </x:is>
      </x:c>
      <x:c r="H1" s="242" t="inlineStr">
        <x:is>
          <x:t xml:space="preserve">Reputation Impact (1-5)</x:t>
        </x:is>
      </x:c>
      <x:c r="I1" s="242" t="inlineStr">
        <x:is>
          <x:t xml:space="preserve">Risk Score</x:t>
        </x:is>
      </x:c>
      <x:c r="J1" s="242" t="inlineStr">
        <x:is>
          <x:t xml:space="preserve">Opportunity</x:t>
        </x:is>
      </x:c>
      <x:c r="K1" s="242" t="inlineStr">
        <x:is>
          <x:t xml:space="preserve">Recommended Action</x:t>
        </x:is>
      </x:c>
      <x:c r="L1" s="242" t="inlineStr">
        <x:is>
          <x:t xml:space="preserve">Owner</x:t>
        </x:is>
      </x:c>
      <x:c r="M1" s="279" t="n"/>
      <x:c r="N1" s="279" t="n"/>
      <x:c r="O1" s="279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>
      <x:c r="A2" s="279" t="inlineStr">
        <x:is>
          <x:t xml:space="preserve">POL-001</x:t>
        </x:is>
      </x:c>
      <x:c r="B2" s="279" t="inlineStr">
        <x:is>
          <x:t xml:space="preserve">Insurance Law amendment</x:t>
        </x:is>
      </x:c>
      <x:c r="C2" s="279" t="inlineStr">
        <x:is>
          <x:t xml:space="preserve">MOF</x:t>
        </x:is>
      </x:c>
      <x:c r="D2" s="279" t="inlineStr">
        <x:is>
          <x:t xml:space="preserve">Draft discussion</x:t>
        </x:is>
      </x:c>
      <x:c r="E2" s="279" t="inlineStr">
        <x:is>
          <x:t xml:space="preserve">0-3 months</x:t>
        </x:is>
      </x:c>
      <x:c r="F2" s="279" t="n">
        <x:v>38</x:v>
      </x:c>
      <x:c r="G2" s="279" t="n">
        <x:v>3</x:v>
      </x:c>
      <x:c r="H2" s="279" t="n">
        <x:v>4</x:v>
      </x:c>
      <x:c r="I2" s="279" t="n">
        <x:f>ROUND(F2*G2*H2/100,2)</x:f>
        <x:v>4.56</x:v>
      </x:c>
      <x:c r="J2" s="279" t="inlineStr">
        <x:is>
          <x:t xml:space="preserve">High</x:t>
        </x:is>
      </x:c>
      <x:c r="K2" s="279" t="inlineStr">
        <x:is>
          <x:t xml:space="preserve">Monitor, prepare internal memo and engage via association</x:t>
        </x:is>
      </x:c>
      <x:c r="L2" s="279" t="inlineStr">
        <x:is>
          <x:t xml:space="preserve">Legal</x:t>
        </x:is>
      </x:c>
      <x:c r="M2" s="279" t="n"/>
      <x:c r="N2" s="279" t="n"/>
      <x:c r="O2" s="279" t="n"/>
      <x:c r="P2" s="279" t="n"/>
      <x:c r="Q2" s="279" t="n"/>
      <x:c r="R2" s="279" t="n"/>
      <x:c r="S2" s="279" t="n"/>
      <x:c r="T2" s="279" t="n"/>
      <x:c r="U2" s="279" t="n"/>
      <x:c r="V2" s="279" t="n"/>
      <x:c r="W2" s="279" t="n"/>
      <x:c r="X2" s="279" t="n"/>
      <x:c r="Y2" s="279" t="n"/>
      <x:c r="Z2" s="279" t="n"/>
    </x:row>
    <x:row r="3">
      <x:c r="A3" s="279" t="inlineStr">
        <x:is>
          <x:t xml:space="preserve">POL-002</x:t>
        </x:is>
      </x:c>
      <x:c r="B3" s="279" t="inlineStr">
        <x:is>
          <x:t xml:space="preserve">Circular on product approval process</x:t>
        </x:is>
      </x:c>
      <x:c r="C3" s="279" t="inlineStr">
        <x:is>
          <x:t xml:space="preserve">ISA</x:t>
        </x:is>
      </x:c>
      <x:c r="D3" s="279" t="inlineStr">
        <x:is>
          <x:t xml:space="preserve">Consultation</x:t>
        </x:is>
      </x:c>
      <x:c r="E3" s="279" t="inlineStr">
        <x:is>
          <x:t xml:space="preserve">0-3 months</x:t>
        </x:is>
      </x:c>
      <x:c r="F3" s="279" t="n">
        <x:v>65</x:v>
      </x:c>
      <x:c r="G3" s="279" t="n">
        <x:v>5</x:v>
      </x:c>
      <x:c r="H3" s="279" t="n">
        <x:v>3</x:v>
      </x:c>
      <x:c r="I3" s="279" t="n">
        <x:f>ROUND(F3*G3*H3/100,2)</x:f>
        <x:v>9.75</x:v>
      </x:c>
      <x:c r="J3" s="279" t="inlineStr">
        <x:is>
          <x:t xml:space="preserve">Medium</x:t>
        </x:is>
      </x:c>
      <x:c r="K3" s="279" t="inlineStr">
        <x:is>
          <x:t xml:space="preserve">Monitor, prepare internal memo and engage via association</x:t>
        </x:is>
      </x:c>
      <x:c r="L3" s="279" t="inlineStr">
        <x:is>
          <x:t xml:space="preserve">Compliance</x:t>
        </x:is>
      </x:c>
      <x:c r="M3" s="279" t="n"/>
      <x:c r="N3" s="279" t="n"/>
      <x:c r="O3" s="279" t="n"/>
      <x:c r="P3" s="279" t="n"/>
      <x:c r="Q3" s="279" t="n"/>
      <x:c r="R3" s="279" t="n"/>
      <x:c r="S3" s="279" t="n"/>
      <x:c r="T3" s="279" t="n"/>
      <x:c r="U3" s="279" t="n"/>
      <x:c r="V3" s="279" t="n"/>
      <x:c r="W3" s="279" t="n"/>
      <x:c r="X3" s="279" t="n"/>
      <x:c r="Y3" s="279" t="n"/>
      <x:c r="Z3" s="279" t="n"/>
    </x:row>
    <x:row r="4">
      <x:c r="A4" s="279" t="inlineStr">
        <x:is>
          <x:t xml:space="preserve">POL-003</x:t>
        </x:is>
      </x:c>
      <x:c r="B4" s="279" t="inlineStr">
        <x:is>
          <x:t xml:space="preserve">Bancassurance conduct guideline</x:t>
        </x:is>
      </x:c>
      <x:c r="C4" s="279" t="inlineStr">
        <x:is>
          <x:t xml:space="preserve">SBV / MOF</x:t>
        </x:is>
      </x:c>
      <x:c r="D4" s="279" t="inlineStr">
        <x:is>
          <x:t xml:space="preserve">Drafting</x:t>
        </x:is>
      </x:c>
      <x:c r="E4" s="279" t="inlineStr">
        <x:is>
          <x:t xml:space="preserve">6-12 months</x:t>
        </x:is>
      </x:c>
      <x:c r="F4" s="279" t="n">
        <x:v>74</x:v>
      </x:c>
      <x:c r="G4" s="279" t="n">
        <x:v>2</x:v>
      </x:c>
      <x:c r="H4" s="279" t="n">
        <x:v>5</x:v>
      </x:c>
      <x:c r="I4" s="279" t="n">
        <x:f>ROUND(F4*G4*H4/100,2)</x:f>
        <x:v>7.4</x:v>
      </x:c>
      <x:c r="J4" s="279" t="inlineStr">
        <x:is>
          <x:t xml:space="preserve">Medium</x:t>
        </x:is>
      </x:c>
      <x:c r="K4" s="279" t="inlineStr">
        <x:is>
          <x:t xml:space="preserve">Monitor, prepare internal memo and engage via association</x:t>
        </x:is>
      </x:c>
      <x:c r="L4" s="279" t="inlineStr">
        <x:is>
          <x:t xml:space="preserve">Legal</x:t>
        </x:is>
      </x:c>
      <x:c r="M4" s="279" t="n"/>
      <x:c r="N4" s="279" t="n"/>
      <x:c r="O4" s="279" t="n"/>
      <x:c r="P4" s="279" t="n"/>
      <x:c r="Q4" s="279" t="n"/>
      <x:c r="R4" s="279" t="n"/>
      <x:c r="S4" s="279" t="n"/>
      <x:c r="T4" s="279" t="n"/>
      <x:c r="U4" s="279" t="n"/>
      <x:c r="V4" s="279" t="n"/>
      <x:c r="W4" s="279" t="n"/>
      <x:c r="X4" s="279" t="n"/>
      <x:c r="Y4" s="279" t="n"/>
      <x:c r="Z4" s="279" t="n"/>
    </x:row>
    <x:row r="5">
      <x:c r="A5" s="279" t="inlineStr">
        <x:is>
          <x:t xml:space="preserve">POL-004</x:t>
        </x:is>
      </x:c>
      <x:c r="B5" s="279" t="inlineStr">
        <x:is>
          <x:t xml:space="preserve">Personal data protection implementation</x:t>
        </x:is>
      </x:c>
      <x:c r="C5" s="279" t="inlineStr">
        <x:is>
          <x:t xml:space="preserve">MIC</x:t>
        </x:is>
      </x:c>
      <x:c r="D5" s="279" t="inlineStr">
        <x:is>
          <x:t xml:space="preserve">Implementation</x:t>
        </x:is>
      </x:c>
      <x:c r="E5" s="279" t="inlineStr">
        <x:is>
          <x:t xml:space="preserve">12+ months</x:t>
        </x:is>
      </x:c>
      <x:c r="F5" s="279" t="n">
        <x:v>38</x:v>
      </x:c>
      <x:c r="G5" s="279" t="n">
        <x:v>5</x:v>
      </x:c>
      <x:c r="H5" s="279" t="n">
        <x:v>4</x:v>
      </x:c>
      <x:c r="I5" s="279" t="n">
        <x:f>ROUND(F5*G5*H5/100,2)</x:f>
        <x:v>7.6</x:v>
      </x:c>
      <x:c r="J5" s="279" t="inlineStr">
        <x:is>
          <x:t xml:space="preserve">High</x:t>
        </x:is>
      </x:c>
      <x:c r="K5" s="279" t="inlineStr">
        <x:is>
          <x:t xml:space="preserve">Monitor, prepare internal memo and engage via association</x:t>
        </x:is>
      </x:c>
      <x:c r="L5" s="279" t="inlineStr">
        <x:is>
          <x:t xml:space="preserve">Legal</x:t>
        </x:is>
      </x:c>
      <x:c r="M5" s="279" t="n"/>
      <x:c r="N5" s="279" t="n"/>
      <x:c r="O5" s="279" t="n"/>
      <x:c r="P5" s="279" t="n"/>
      <x:c r="Q5" s="279" t="n"/>
      <x:c r="R5" s="279" t="n"/>
      <x:c r="S5" s="279" t="n"/>
      <x:c r="T5" s="279" t="n"/>
      <x:c r="U5" s="279" t="n"/>
      <x:c r="V5" s="279" t="n"/>
      <x:c r="W5" s="279" t="n"/>
      <x:c r="X5" s="279" t="n"/>
      <x:c r="Y5" s="279" t="n"/>
      <x:c r="Z5" s="279" t="n"/>
    </x:row>
    <x:row r="6">
      <x:c r="A6" s="279" t="inlineStr">
        <x:is>
          <x:t xml:space="preserve">POL-005</x:t>
        </x:is>
      </x:c>
      <x:c r="B6" s="279" t="inlineStr">
        <x:is>
          <x:t xml:space="preserve">Consumer protection reporting requirement</x:t>
        </x:is>
      </x:c>
      <x:c r="C6" s="279" t="inlineStr">
        <x:is>
          <x:t xml:space="preserve">VCA</x:t>
        </x:is>
      </x:c>
      <x:c r="D6" s="279" t="inlineStr">
        <x:is>
          <x:t xml:space="preserve">Effective soon</x:t>
        </x:is>
      </x:c>
      <x:c r="E6" s="279" t="inlineStr">
        <x:is>
          <x:t xml:space="preserve">0-3 months</x:t>
        </x:is>
      </x:c>
      <x:c r="F6" s="279" t="n">
        <x:v>66</x:v>
      </x:c>
      <x:c r="G6" s="279" t="n">
        <x:v>5</x:v>
      </x:c>
      <x:c r="H6" s="279" t="n">
        <x:v>1</x:v>
      </x:c>
      <x:c r="I6" s="279" t="n">
        <x:f>ROUND(F6*G6*H6/100,2)</x:f>
        <x:v>3.3</x:v>
      </x:c>
      <x:c r="J6" s="279" t="inlineStr">
        <x:is>
          <x:t xml:space="preserve">Medium</x:t>
        </x:is>
      </x:c>
      <x:c r="K6" s="279" t="inlineStr">
        <x:is>
          <x:t xml:space="preserve">Monitor, prepare internal memo and engage via association</x:t>
        </x:is>
      </x:c>
      <x:c r="L6" s="279" t="inlineStr">
        <x:is>
          <x:t xml:space="preserve">Compliance</x:t>
        </x:is>
      </x:c>
      <x:c r="M6" s="279" t="n"/>
      <x:c r="N6" s="279" t="n"/>
      <x:c r="O6" s="279" t="n"/>
      <x:c r="P6" s="279" t="n"/>
      <x:c r="Q6" s="279" t="n"/>
      <x:c r="R6" s="279" t="n"/>
      <x:c r="S6" s="279" t="n"/>
      <x:c r="T6" s="279" t="n"/>
      <x:c r="U6" s="279" t="n"/>
      <x:c r="V6" s="279" t="n"/>
      <x:c r="W6" s="279" t="n"/>
      <x:c r="X6" s="279" t="n"/>
      <x:c r="Y6" s="279" t="n"/>
      <x:c r="Z6" s="279" t="n"/>
    </x:row>
    <x:row r="7">
      <x:c r="A7" s="279" t="inlineStr">
        <x:is>
          <x:t xml:space="preserve">POL-006</x:t>
        </x:is>
      </x:c>
      <x:c r="B7" s="279" t="inlineStr">
        <x:is>
          <x:t xml:space="preserve">Mandatory ESG disclosure for insurers</x:t>
        </x:is>
      </x:c>
      <x:c r="C7" s="279" t="inlineStr">
        <x:is>
          <x:t xml:space="preserve">MOF</x:t>
        </x:is>
      </x:c>
      <x:c r="D7" s="279" t="inlineStr">
        <x:is>
          <x:t xml:space="preserve">Early consultation</x:t>
        </x:is>
      </x:c>
      <x:c r="E7" s="279" t="inlineStr">
        <x:is>
          <x:t xml:space="preserve">6-12 months</x:t>
        </x:is>
      </x:c>
      <x:c r="F7" s="279" t="n">
        <x:v>39</x:v>
      </x:c>
      <x:c r="G7" s="279" t="n">
        <x:v>3</x:v>
      </x:c>
      <x:c r="H7" s="279" t="n">
        <x:v>3</x:v>
      </x:c>
      <x:c r="I7" s="279" t="n">
        <x:f>ROUND(F7*G7*H7/100,2)</x:f>
        <x:v>3.51</x:v>
      </x:c>
      <x:c r="J7" s="279" t="inlineStr">
        <x:is>
          <x:t xml:space="preserve">Medium</x:t>
        </x:is>
      </x:c>
      <x:c r="K7" s="279" t="inlineStr">
        <x:is>
          <x:t xml:space="preserve">Monitor, prepare internal memo and engage via association</x:t>
        </x:is>
      </x:c>
      <x:c r="L7" s="279" t="inlineStr">
        <x:is>
          <x:t xml:space="preserve">Public Affairs</x:t>
        </x:is>
      </x:c>
      <x:c r="M7" s="279" t="n"/>
      <x:c r="N7" s="279" t="n"/>
      <x:c r="O7" s="279" t="n"/>
      <x:c r="P7" s="279" t="n"/>
      <x:c r="Q7" s="279" t="n"/>
      <x:c r="R7" s="279" t="n"/>
      <x:c r="S7" s="279" t="n"/>
      <x:c r="T7" s="279" t="n"/>
      <x:c r="U7" s="279" t="n"/>
      <x:c r="V7" s="279" t="n"/>
      <x:c r="W7" s="279" t="n"/>
      <x:c r="X7" s="279" t="n"/>
      <x:c r="Y7" s="279" t="n"/>
      <x:c r="Z7" s="279" t="n"/>
    </x:row>
    <x:row r="8">
      <x:c r="A8" s="279" t="inlineStr">
        <x:is>
          <x:t xml:space="preserve">POL-007</x:t>
        </x:is>
      </x:c>
      <x:c r="B8" s="279" t="inlineStr">
        <x:is>
          <x:t xml:space="preserve">Capital adequacy and solvency update</x:t>
        </x:is>
      </x:c>
      <x:c r="C8" s="279" t="inlineStr">
        <x:is>
          <x:t xml:space="preserve">ISA</x:t>
        </x:is>
      </x:c>
      <x:c r="D8" s="279" t="inlineStr">
        <x:is>
          <x:t xml:space="preserve">Consultation</x:t>
        </x:is>
      </x:c>
      <x:c r="E8" s="279" t="inlineStr">
        <x:is>
          <x:t xml:space="preserve">0-3 months</x:t>
        </x:is>
      </x:c>
      <x:c r="F8" s="279" t="n">
        <x:v>64</x:v>
      </x:c>
      <x:c r="G8" s="279" t="n">
        <x:v>5</x:v>
      </x:c>
      <x:c r="H8" s="279" t="n">
        <x:v>1</x:v>
      </x:c>
      <x:c r="I8" s="279" t="n">
        <x:f>ROUND(F8*G8*H8/100,2)</x:f>
        <x:v>3.2</x:v>
      </x:c>
      <x:c r="J8" s="279" t="inlineStr">
        <x:is>
          <x:t xml:space="preserve">High</x:t>
        </x:is>
      </x:c>
      <x:c r="K8" s="279" t="inlineStr">
        <x:is>
          <x:t xml:space="preserve">Monitor, prepare internal memo and engage via association</x:t>
        </x:is>
      </x:c>
      <x:c r="L8" s="279" t="inlineStr">
        <x:is>
          <x:t xml:space="preserve">Compliance</x:t>
        </x:is>
      </x:c>
      <x:c r="M8" s="279" t="n"/>
      <x:c r="N8" s="279" t="n"/>
      <x:c r="O8" s="279" t="n"/>
      <x:c r="P8" s="279" t="n"/>
      <x:c r="Q8" s="279" t="n"/>
      <x:c r="R8" s="279" t="n"/>
      <x:c r="S8" s="279" t="n"/>
      <x:c r="T8" s="279" t="n"/>
      <x:c r="U8" s="279" t="n"/>
      <x:c r="V8" s="279" t="n"/>
      <x:c r="W8" s="279" t="n"/>
      <x:c r="X8" s="279" t="n"/>
      <x:c r="Y8" s="279" t="n"/>
      <x:c r="Z8" s="279" t="n"/>
    </x:row>
    <x:row r="9">
      <x:c r="A9" s="279" t="inlineStr">
        <x:is>
          <x:t xml:space="preserve">POL-008</x:t>
        </x:is>
      </x:c>
      <x:c r="B9" s="279" t="inlineStr">
        <x:is>
          <x:t xml:space="preserve">Agency training standard revision</x:t>
        </x:is>
      </x:c>
      <x:c r="C9" s="279" t="inlineStr">
        <x:is>
          <x:t xml:space="preserve">ISA</x:t>
        </x:is>
      </x:c>
      <x:c r="D9" s="279" t="inlineStr">
        <x:is>
          <x:t xml:space="preserve">Drafting</x:t>
        </x:is>
      </x:c>
      <x:c r="E9" s="279" t="inlineStr">
        <x:is>
          <x:t xml:space="preserve">12+ months</x:t>
        </x:is>
      </x:c>
      <x:c r="F9" s="279" t="n">
        <x:v>62</x:v>
      </x:c>
      <x:c r="G9" s="279" t="n">
        <x:v>5</x:v>
      </x:c>
      <x:c r="H9" s="279" t="n">
        <x:v>2</x:v>
      </x:c>
      <x:c r="I9" s="279" t="n">
        <x:f>ROUND(F9*G9*H9/100,2)</x:f>
        <x:v>6.2</x:v>
      </x:c>
      <x:c r="J9" s="279" t="inlineStr">
        <x:is>
          <x:t xml:space="preserve">Medium</x:t>
        </x:is>
      </x:c>
      <x:c r="K9" s="279" t="inlineStr">
        <x:is>
          <x:t xml:space="preserve">Monitor, prepare internal memo and engage via association</x:t>
        </x:is>
      </x:c>
      <x:c r="L9" s="279" t="inlineStr">
        <x:is>
          <x:t xml:space="preserve">Risk</x:t>
        </x:is>
      </x:c>
      <x:c r="M9" s="279" t="n"/>
      <x:c r="N9" s="279" t="n"/>
      <x:c r="O9" s="279" t="n"/>
      <x:c r="P9" s="279" t="n"/>
      <x:c r="Q9" s="279" t="n"/>
      <x:c r="R9" s="279" t="n"/>
      <x:c r="S9" s="279" t="n"/>
      <x:c r="T9" s="279" t="n"/>
      <x:c r="U9" s="279" t="n"/>
      <x:c r="V9" s="279" t="n"/>
      <x:c r="W9" s="279" t="n"/>
      <x:c r="X9" s="279" t="n"/>
      <x:c r="Y9" s="279" t="n"/>
      <x:c r="Z9" s="279" t="n"/>
    </x:row>
    <x:row r="10">
      <x:c r="A10" s="279" t="inlineStr">
        <x:is>
          <x:t xml:space="preserve">POL-009</x:t>
        </x:is>
      </x:c>
      <x:c r="B10" s="279" t="inlineStr">
        <x:is>
          <x:t xml:space="preserve">Digital insurance distribution rules</x:t>
        </x:is>
      </x:c>
      <x:c r="C10" s="279" t="inlineStr">
        <x:is>
          <x:t xml:space="preserve">MIC / MOF</x:t>
        </x:is>
      </x:c>
      <x:c r="D10" s="279" t="inlineStr">
        <x:is>
          <x:t xml:space="preserve">Policy design</x:t>
        </x:is>
      </x:c>
      <x:c r="E10" s="279" t="inlineStr">
        <x:is>
          <x:t xml:space="preserve">6-12 months</x:t>
        </x:is>
      </x:c>
      <x:c r="F10" s="279" t="n">
        <x:v>60</x:v>
      </x:c>
      <x:c r="G10" s="279" t="n">
        <x:v>5</x:v>
      </x:c>
      <x:c r="H10" s="279" t="n">
        <x:v>1</x:v>
      </x:c>
      <x:c r="I10" s="279" t="n">
        <x:f>ROUND(F10*G10*H10/100,2)</x:f>
        <x:v>3</x:v>
      </x:c>
      <x:c r="J10" s="279" t="inlineStr">
        <x:is>
          <x:t xml:space="preserve">Medium</x:t>
        </x:is>
      </x:c>
      <x:c r="K10" s="279" t="inlineStr">
        <x:is>
          <x:t xml:space="preserve">Monitor, prepare internal memo and engage via association</x:t>
        </x:is>
      </x:c>
      <x:c r="L10" s="279" t="inlineStr">
        <x:is>
          <x:t xml:space="preserve">Public Affairs</x:t>
        </x:is>
      </x:c>
      <x:c r="M10" s="279" t="n"/>
      <x:c r="N10" s="279" t="n"/>
      <x:c r="O10" s="279" t="n"/>
      <x:c r="P10" s="279" t="n"/>
      <x:c r="Q10" s="279" t="n"/>
      <x:c r="R10" s="279" t="n"/>
      <x:c r="S10" s="279" t="n"/>
      <x:c r="T10" s="279" t="n"/>
      <x:c r="U10" s="279" t="n"/>
      <x:c r="V10" s="279" t="n"/>
      <x:c r="W10" s="279" t="n"/>
      <x:c r="X10" s="279" t="n"/>
      <x:c r="Y10" s="279" t="n"/>
      <x:c r="Z10" s="279" t="n"/>
    </x:row>
    <x:row r="11">
      <x:c r="A11" s="279" t="inlineStr">
        <x:is>
          <x:t xml:space="preserve">POL-010</x:t>
        </x:is>
      </x:c>
      <x:c r="B11" s="279" t="inlineStr">
        <x:is>
          <x:t xml:space="preserve">Complaint handling transparency requirement</x:t>
        </x:is>
      </x:c>
      <x:c r="C11" s="279" t="inlineStr">
        <x:is>
          <x:t xml:space="preserve">VCA / ISA</x:t>
        </x:is>
      </x:c>
      <x:c r="D11" s="279" t="inlineStr">
        <x:is>
          <x:t xml:space="preserve">Drafting</x:t>
        </x:is>
      </x:c>
      <x:c r="E11" s="279" t="inlineStr">
        <x:is>
          <x:t xml:space="preserve">3-6 months</x:t>
        </x:is>
      </x:c>
      <x:c r="F11" s="279" t="n">
        <x:v>77</x:v>
      </x:c>
      <x:c r="G11" s="279" t="n">
        <x:v>4</x:v>
      </x:c>
      <x:c r="H11" s="279" t="n">
        <x:v>3</x:v>
      </x:c>
      <x:c r="I11" s="279" t="n">
        <x:f>ROUND(F11*G11*H11/100,2)</x:f>
        <x:v>9.24</x:v>
      </x:c>
      <x:c r="J11" s="279" t="inlineStr">
        <x:is>
          <x:t xml:space="preserve">High</x:t>
        </x:is>
      </x:c>
      <x:c r="K11" s="279" t="inlineStr">
        <x:is>
          <x:t xml:space="preserve">Monitor, prepare internal memo and engage via association</x:t>
        </x:is>
      </x:c>
      <x:c r="L11" s="279" t="inlineStr">
        <x:is>
          <x:t xml:space="preserve">Risk</x:t>
        </x:is>
      </x:c>
      <x:c r="M11" s="279" t="n"/>
      <x:c r="N11" s="279" t="n"/>
      <x:c r="O11" s="279" t="n"/>
      <x:c r="P11" s="279" t="n"/>
      <x:c r="Q11" s="279" t="n"/>
      <x:c r="R11" s="279" t="n"/>
      <x:c r="S11" s="279" t="n"/>
      <x:c r="T11" s="279" t="n"/>
      <x:c r="U11" s="279" t="n"/>
      <x:c r="V11" s="279" t="n"/>
      <x:c r="W11" s="279" t="n"/>
      <x:c r="X11" s="279" t="n"/>
      <x:c r="Y11" s="279" t="n"/>
      <x:c r="Z11" s="279" t="n"/>
    </x:row>
    <x:row r="12">
      <x:c r="A12" s="279" t="n"/>
      <x:c r="B12" s="279" t="n"/>
      <x:c r="C12" s="279" t="n"/>
      <x:c r="D12" s="279" t="n"/>
      <x:c r="E12" s="279" t="n"/>
      <x:c r="F12" s="279" t="n"/>
      <x:c r="G12" s="279" t="n"/>
      <x:c r="H12" s="279" t="n"/>
      <x:c r="I12" s="279" t="n"/>
      <x:c r="J12" s="279" t="n"/>
      <x:c r="K12" s="279" t="n"/>
      <x:c r="L12" s="279" t="n"/>
      <x:c r="M12" s="279" t="n"/>
      <x:c r="N12" s="279" t="n"/>
      <x:c r="O12" s="279" t="n"/>
      <x:c r="P12" s="279" t="n"/>
      <x:c r="Q12" s="279" t="n"/>
      <x:c r="R12" s="279" t="n"/>
      <x:c r="S12" s="279" t="n"/>
      <x:c r="T12" s="279" t="n"/>
      <x:c r="U12" s="279" t="n"/>
      <x:c r="V12" s="279" t="n"/>
      <x:c r="W12" s="279" t="n"/>
      <x:c r="X12" s="279" t="n"/>
      <x:c r="Y12" s="279" t="n"/>
      <x:c r="Z12" s="279" t="n"/>
    </x:row>
    <x:row r="13">
      <x:c r="A13" s="279" t="inlineStr">
        <x:is>
          <x:t xml:space="preserve">Consolidation Note</x:t>
        </x:is>
      </x:c>
      <x:c r="B13" s="279" t="inlineStr">
        <x:is>
          <x:t xml:space="preserve">Risk_Radar and Regulatory_News_Feed consolidated here. Use Policy_Monitoring as the single source for policy signals, probability, impact and recommended actions.</x:t>
        </x:is>
      </x:c>
      <x:c r="C13" s="279" t="n"/>
      <x:c r="D13" s="279" t="n"/>
      <x:c r="E13" s="279" t="n"/>
      <x:c r="F13" s="279" t="n"/>
      <x:c r="G13" s="279" t="n"/>
      <x:c r="H13" s="279" t="n"/>
      <x:c r="I13" s="279" t="n"/>
      <x:c r="J13" s="279" t="n"/>
      <x:c r="K13" s="279" t="n"/>
      <x:c r="L13" s="279" t="n"/>
      <x:c r="M13" s="279" t="n"/>
      <x:c r="N13" s="279" t="n"/>
      <x:c r="O13" s="279" t="n"/>
      <x:c r="P13" s="279" t="n"/>
      <x:c r="Q13" s="279" t="n"/>
      <x:c r="R13" s="279" t="n"/>
      <x:c r="S13" s="279" t="n"/>
      <x:c r="T13" s="279" t="n"/>
      <x:c r="U13" s="279" t="n"/>
      <x:c r="V13" s="279" t="n"/>
      <x:c r="W13" s="279" t="n"/>
      <x:c r="X13" s="279" t="n"/>
      <x:c r="Y13" s="279" t="n"/>
      <x:c r="Z13" s="279" t="n"/>
    </x:row>
    <x:row r="14">
      <x:c r="A14" s="279" t="n"/>
      <x:c r="B14" s="279" t="n"/>
      <x:c r="C14" s="279" t="n"/>
      <x:c r="D14" s="279" t="n"/>
      <x:c r="E14" s="279" t="n"/>
      <x:c r="F14" s="279" t="n"/>
      <x:c r="G14" s="279" t="n"/>
      <x:c r="H14" s="279" t="n"/>
      <x:c r="I14" s="279" t="n"/>
      <x:c r="J14" s="279" t="n"/>
      <x:c r="K14" s="279" t="n"/>
      <x:c r="L14" s="279" t="n"/>
      <x:c r="M14" s="279" t="n"/>
      <x:c r="N14" s="279" t="n"/>
      <x:c r="O14" s="279" t="n"/>
      <x:c r="P14" s="279" t="n"/>
      <x:c r="Q14" s="279" t="n"/>
      <x:c r="R14" s="279" t="n"/>
      <x:c r="S14" s="279" t="n"/>
      <x:c r="T14" s="279" t="n"/>
      <x:c r="U14" s="279" t="n"/>
      <x:c r="V14" s="279" t="n"/>
      <x:c r="W14" s="279" t="n"/>
      <x:c r="X14" s="279" t="n"/>
      <x:c r="Y14" s="279" t="n"/>
      <x:c r="Z14" s="279" t="n"/>
    </x:row>
    <x:row r="15">
      <x:c r="A15" s="279" t="inlineStr">
        <x:is>
          <x:t xml:space="preserve">Consolidated Risk Radar Items</x:t>
        </x:is>
      </x:c>
      <x:c r="B15" s="279" t="n"/>
      <x:c r="C15" s="279" t="n"/>
      <x:c r="D15" s="279" t="n"/>
      <x:c r="E15" s="279" t="n"/>
      <x:c r="F15" s="279" t="n"/>
      <x:c r="G15" s="279" t="n"/>
      <x:c r="H15" s="279" t="n"/>
      <x:c r="I15" s="279" t="n"/>
      <x:c r="J15" s="279" t="n"/>
      <x:c r="K15" s="279" t="n"/>
      <x:c r="L15" s="279" t="n"/>
      <x:c r="M15" s="279" t="n"/>
      <x:c r="N15" s="279" t="n"/>
      <x:c r="O15" s="279" t="n"/>
      <x:c r="P15" s="279" t="n"/>
      <x:c r="Q15" s="279" t="n"/>
      <x:c r="R15" s="279" t="n"/>
      <x:c r="S15" s="279" t="n"/>
      <x:c r="T15" s="279" t="n"/>
      <x:c r="U15" s="279" t="n"/>
      <x:c r="V15" s="279" t="n"/>
      <x:c r="W15" s="279" t="n"/>
      <x:c r="X15" s="279" t="n"/>
      <x:c r="Y15" s="279" t="n"/>
      <x:c r="Z15" s="279" t="n"/>
    </x:row>
    <x:row r="16">
      <x:c r="A16" s="279" t="inlineStr">
        <x:is>
          <x:t xml:space="preserve">Risk ID</x:t>
        </x:is>
      </x:c>
      <x:c r="B16" s="279" t="inlineStr">
        <x:is>
          <x:t xml:space="preserve">Regulatory Topic</x:t>
        </x:is>
      </x:c>
      <x:c r="C16" s="279" t="inlineStr">
        <x:is>
          <x:t xml:space="preserve">Agency</x:t>
        </x:is>
      </x:c>
      <x:c r="D16" s="279" t="inlineStr">
        <x:is>
          <x:t xml:space="preserve">Probability (1-5)</x:t>
        </x:is>
      </x:c>
      <x:c r="E16" s="279" t="inlineStr">
        <x:is>
          <x:t xml:space="preserve">Impact (1-5)</x:t>
        </x:is>
      </x:c>
      <x:c r="F16" s="279" t="inlineStr">
        <x:is>
          <x:t xml:space="preserve">Preparedness (1-5)</x:t>
        </x:is>
      </x:c>
      <x:c r="G16" s="279" t="inlineStr">
        <x:is>
          <x:t xml:space="preserve">Risk Score</x:t>
        </x:is>
      </x:c>
      <x:c r="H16" s="279" t="inlineStr">
        <x:is>
          <x:t xml:space="preserve">Risk Level</x:t>
        </x:is>
      </x:c>
      <x:c r="I16" s="279" t="inlineStr">
        <x:is>
          <x:t xml:space="preserve">Early Warning Signal</x:t>
        </x:is>
      </x:c>
      <x:c r="J16" s="279" t="inlineStr">
        <x:is>
          <x:t xml:space="preserve">Recommended Action</x:t>
        </x:is>
      </x:c>
      <x:c r="K16" s="279" t="inlineStr">
        <x:is>
          <x:t xml:space="preserve">Owner</x:t>
        </x:is>
      </x:c>
      <x:c r="L16" s="279" t="n"/>
      <x:c r="M16" s="279" t="n"/>
      <x:c r="N16" s="279" t="n"/>
      <x:c r="O16" s="279" t="n"/>
      <x:c r="P16" s="279" t="n"/>
      <x:c r="Q16" s="279" t="n"/>
      <x:c r="R16" s="279" t="n"/>
      <x:c r="S16" s="279" t="n"/>
      <x:c r="T16" s="279" t="n"/>
      <x:c r="U16" s="279" t="n"/>
      <x:c r="V16" s="279" t="n"/>
      <x:c r="W16" s="279" t="n"/>
      <x:c r="X16" s="279" t="n"/>
      <x:c r="Y16" s="279" t="n"/>
      <x:c r="Z16" s="279" t="n"/>
    </x:row>
    <x:row r="17">
      <x:c r="A17" s="279" t="inlineStr">
        <x:is>
          <x:t xml:space="preserve">RR-001</x:t>
        </x:is>
      </x:c>
      <x:c r="B17" s="279" t="inlineStr">
        <x:is>
          <x:t xml:space="preserve">Capital adequacy and solvency update</x:t>
        </x:is>
      </x:c>
      <x:c r="C17" s="279" t="inlineStr">
        <x:is>
          <x:t xml:space="preserve">ISA</x:t>
        </x:is>
      </x:c>
      <x:c r="D17" s="279" t="n">
        <x:v>4</x:v>
      </x:c>
      <x:c r="E17" s="279" t="n">
        <x:v>5</x:v>
      </x:c>
      <x:c r="F17" s="279" t="n">
        <x:v>3</x:v>
      </x:c>
      <x:c r="G17" s="279" t="n">
        <x:f>IFERROR(D17*E17/F17,0)</x:f>
        <x:v>6.666666666666667</x:v>
      </x:c>
      <x:c r="H17" s="279" t="inlineStr">
        <x:is>
          <x:t xml:space="preserve">High</x:t>
        </x:is>
      </x:c>
      <x:c r="I17" s="279" t="inlineStr">
        <x:is>
          <x:t xml:space="preserve">Draft circular discussion and industry consultation</x:t>
        </x:is>
      </x:c>
      <x:c r="J17" s="279" t="inlineStr">
        <x:is>
          <x:t xml:space="preserve">Prepare capital impact note and engage via IAV</x:t>
        </x:is>
      </x:c>
      <x:c r="K17" s="279" t="inlineStr">
        <x:is>
          <x:t xml:space="preserve">Finance + PA</x:t>
        </x:is>
      </x:c>
      <x:c r="L17" s="279" t="n"/>
      <x:c r="M17" s="279" t="n"/>
      <x:c r="N17" s="279" t="n"/>
      <x:c r="O17" s="279" t="n"/>
      <x:c r="P17" s="279" t="n"/>
      <x:c r="Q17" s="279" t="n"/>
      <x:c r="R17" s="279" t="n"/>
      <x:c r="S17" s="279" t="n"/>
      <x:c r="T17" s="279" t="n"/>
      <x:c r="U17" s="279" t="n"/>
      <x:c r="V17" s="279" t="n"/>
      <x:c r="W17" s="279" t="n"/>
      <x:c r="X17" s="279" t="n"/>
      <x:c r="Y17" s="279" t="n"/>
      <x:c r="Z17" s="279" t="n"/>
    </x:row>
    <x:row r="18">
      <x:c r="A18" s="279" t="inlineStr">
        <x:is>
          <x:t xml:space="preserve">RR-002</x:t>
        </x:is>
      </x:c>
      <x:c r="B18" s="279" t="inlineStr">
        <x:is>
          <x:t xml:space="preserve">Product approval process tightening</x:t>
        </x:is>
      </x:c>
      <x:c r="C18" s="279" t="inlineStr">
        <x:is>
          <x:t xml:space="preserve">ISA</x:t>
        </x:is>
      </x:c>
      <x:c r="D18" s="279" t="n">
        <x:v>5</x:v>
      </x:c>
      <x:c r="E18" s="279" t="n">
        <x:v>5</x:v>
      </x:c>
      <x:c r="F18" s="279" t="n">
        <x:v>3</x:v>
      </x:c>
      <x:c r="G18" s="279" t="n">
        <x:f>IFERROR(D18*E18/F18,0)</x:f>
        <x:v>8.333333333333334</x:v>
      </x:c>
      <x:c r="H18" s="279" t="inlineStr">
        <x:is>
          <x:t xml:space="preserve">High</x:t>
        </x:is>
      </x:c>
      <x:c r="I18" s="279" t="inlineStr">
        <x:is>
          <x:t xml:space="preserve">More detailed Q&amp;A requests from regulator</x:t>
        </x:is>
      </x:c>
      <x:c r="J18" s="279" t="inlineStr">
        <x:is>
          <x:t xml:space="preserve">Create product dossier checklist and Q&amp;A evidence bank</x:t>
        </x:is>
      </x:c>
      <x:c r="K18" s="279" t="inlineStr">
        <x:is>
          <x:t xml:space="preserve">Product + PA</x:t>
        </x:is>
      </x:c>
      <x:c r="L18" s="279" t="n"/>
      <x:c r="M18" s="279" t="n"/>
      <x:c r="N18" s="279" t="n"/>
      <x:c r="O18" s="279" t="n"/>
      <x:c r="P18" s="279" t="n"/>
      <x:c r="Q18" s="279" t="n"/>
      <x:c r="R18" s="279" t="n"/>
      <x:c r="S18" s="279" t="n"/>
      <x:c r="T18" s="279" t="n"/>
      <x:c r="U18" s="279" t="n"/>
      <x:c r="V18" s="279" t="n"/>
      <x:c r="W18" s="279" t="n"/>
      <x:c r="X18" s="279" t="n"/>
      <x:c r="Y18" s="279" t="n"/>
      <x:c r="Z18" s="279" t="n"/>
    </x:row>
    <x:row r="19">
      <x:c r="A19" s="279" t="inlineStr">
        <x:is>
          <x:t xml:space="preserve">RR-003</x:t>
        </x:is>
      </x:c>
      <x:c r="B19" s="279" t="inlineStr">
        <x:is>
          <x:t xml:space="preserve">Bancassurance conduct guideline</x:t>
        </x:is>
      </x:c>
      <x:c r="C19" s="279" t="inlineStr">
        <x:is>
          <x:t xml:space="preserve">SBV / MOF</x:t>
        </x:is>
      </x:c>
      <x:c r="D19" s="279" t="n">
        <x:v>4</x:v>
      </x:c>
      <x:c r="E19" s="279" t="n">
        <x:v>5</x:v>
      </x:c>
      <x:c r="F19" s="279" t="n">
        <x:v>3</x:v>
      </x:c>
      <x:c r="G19" s="279" t="n">
        <x:f>IFERROR(D19*E19/F19,0)</x:f>
        <x:v>6.666666666666667</x:v>
      </x:c>
      <x:c r="H19" s="279" t="inlineStr">
        <x:is>
          <x:t xml:space="preserve">High</x:t>
        </x:is>
      </x:c>
      <x:c r="I19" s="279" t="inlineStr">
        <x:is>
          <x:t xml:space="preserve">Banking sector conduct review and consumer complaints</x:t>
        </x:is>
      </x:c>
      <x:c r="J19" s="279" t="inlineStr">
        <x:is>
          <x:t xml:space="preserve">Develop customer-protection narrative and sales governance evidence</x:t>
        </x:is>
      </x:c>
      <x:c r="K19" s="279" t="inlineStr">
        <x:is>
          <x:t xml:space="preserve">Bancassurance + Compliance</x:t>
        </x:is>
      </x:c>
      <x:c r="L19" s="279" t="n"/>
      <x:c r="M19" s="279" t="n"/>
      <x:c r="N19" s="279" t="n"/>
      <x:c r="O19" s="279" t="n"/>
      <x:c r="P19" s="279" t="n"/>
      <x:c r="Q19" s="279" t="n"/>
      <x:c r="R19" s="279" t="n"/>
      <x:c r="S19" s="279" t="n"/>
      <x:c r="T19" s="279" t="n"/>
      <x:c r="U19" s="279" t="n"/>
      <x:c r="V19" s="279" t="n"/>
      <x:c r="W19" s="279" t="n"/>
      <x:c r="X19" s="279" t="n"/>
      <x:c r="Y19" s="279" t="n"/>
      <x:c r="Z19" s="279" t="n"/>
    </x:row>
    <x:row r="20">
      <x:c r="A20" s="279" t="inlineStr">
        <x:is>
          <x:t xml:space="preserve">RR-004</x:t>
        </x:is>
      </x:c>
      <x:c r="B20" s="279" t="inlineStr">
        <x:is>
          <x:t xml:space="preserve">Data localization and privacy enforcement</x:t>
        </x:is>
      </x:c>
      <x:c r="C20" s="279" t="inlineStr">
        <x:is>
          <x:t xml:space="preserve">MIC</x:t>
        </x:is>
      </x:c>
      <x:c r="D20" s="279" t="n">
        <x:v>4</x:v>
      </x:c>
      <x:c r="E20" s="279" t="n">
        <x:v>4</x:v>
      </x:c>
      <x:c r="F20" s="279" t="n">
        <x:v>2</x:v>
      </x:c>
      <x:c r="G20" s="279" t="n">
        <x:f>IFERROR(D20*E20/F20,0)</x:f>
        <x:v>8</x:v>
      </x:c>
      <x:c r="H20" s="279" t="inlineStr">
        <x:is>
          <x:t xml:space="preserve">High</x:t>
        </x:is>
      </x:c>
      <x:c r="I20" s="279" t="inlineStr">
        <x:is>
          <x:t xml:space="preserve">New data consultation and privacy inspections</x:t>
        </x:is>
      </x:c>
      <x:c r="J20" s="279" t="inlineStr">
        <x:is>
          <x:t xml:space="preserve">Prepare data-flow map and compliance briefing</x:t>
        </x:is>
      </x:c>
      <x:c r="K20" s="279" t="inlineStr">
        <x:is>
          <x:t xml:space="preserve">Digital + Legal</x:t>
        </x:is>
      </x:c>
      <x:c r="L20" s="279" t="n"/>
      <x:c r="M20" s="279" t="n"/>
      <x:c r="N20" s="279" t="n"/>
      <x:c r="O20" s="279" t="n"/>
      <x:c r="P20" s="279" t="n"/>
      <x:c r="Q20" s="279" t="n"/>
      <x:c r="R20" s="279" t="n"/>
      <x:c r="S20" s="279" t="n"/>
      <x:c r="T20" s="279" t="n"/>
      <x:c r="U20" s="279" t="n"/>
      <x:c r="V20" s="279" t="n"/>
      <x:c r="W20" s="279" t="n"/>
      <x:c r="X20" s="279" t="n"/>
      <x:c r="Y20" s="279" t="n"/>
      <x:c r="Z20" s="279" t="n"/>
    </x:row>
    <x:row r="21">
      <x:c r="A21" s="279" t="inlineStr">
        <x:is>
          <x:t xml:space="preserve">RR-005</x:t>
        </x:is>
      </x:c>
      <x:c r="B21" s="279" t="inlineStr">
        <x:is>
          <x:t xml:space="preserve">Consumer complaint transparency requirement</x:t>
        </x:is>
      </x:c>
      <x:c r="C21" s="279" t="inlineStr">
        <x:is>
          <x:t xml:space="preserve">VCA / ISA</x:t>
        </x:is>
      </x:c>
      <x:c r="D21" s="279" t="n">
        <x:v>3</x:v>
      </x:c>
      <x:c r="E21" s="279" t="n">
        <x:v>4</x:v>
      </x:c>
      <x:c r="F21" s="279" t="n">
        <x:v>3</x:v>
      </x:c>
      <x:c r="G21" s="279" t="n">
        <x:f>IFERROR(D21*E21/F21,0)</x:f>
        <x:v>4</x:v>
      </x:c>
      <x:c r="H21" s="279" t="inlineStr">
        <x:is>
          <x:t xml:space="preserve">Medium</x:t>
        </x:is>
      </x:c>
      <x:c r="I21" s="279" t="inlineStr">
        <x:is>
          <x:t xml:space="preserve">Increased complaint reporting and media attention</x:t>
        </x:is>
      </x:c>
      <x:c r="J21" s="279" t="inlineStr">
        <x:is>
          <x:t xml:space="preserve">Prepare complaint KPI pack and remediation narrative</x:t>
        </x:is>
      </x:c>
      <x:c r="K21" s="279" t="inlineStr">
        <x:is>
          <x:t xml:space="preserve">Compliance</x:t>
        </x:is>
      </x:c>
      <x:c r="L21" s="279" t="n"/>
      <x:c r="M21" s="279" t="n"/>
      <x:c r="N21" s="279" t="n"/>
      <x:c r="O21" s="279" t="n"/>
      <x:c r="P21" s="279" t="n"/>
      <x:c r="Q21" s="279" t="n"/>
      <x:c r="R21" s="279" t="n"/>
      <x:c r="S21" s="279" t="n"/>
      <x:c r="T21" s="279" t="n"/>
      <x:c r="U21" s="279" t="n"/>
      <x:c r="V21" s="279" t="n"/>
      <x:c r="W21" s="279" t="n"/>
      <x:c r="X21" s="279" t="n"/>
      <x:c r="Y21" s="279" t="n"/>
      <x:c r="Z21" s="279" t="n"/>
    </x:row>
    <x:row r="22">
      <x:c r="A22" s="279" t="inlineStr">
        <x:is>
          <x:t xml:space="preserve">RR-006</x:t>
        </x:is>
      </x:c>
      <x:c r="B22" s="279" t="inlineStr">
        <x:is>
          <x:t xml:space="preserve">Mandatory ESG disclosure</x:t>
        </x:is>
      </x:c>
      <x:c r="C22" s="279" t="inlineStr">
        <x:is>
          <x:t xml:space="preserve">MOF</x:t>
        </x:is>
      </x:c>
      <x:c r="D22" s="279" t="n">
        <x:v>3</x:v>
      </x:c>
      <x:c r="E22" s="279" t="n">
        <x:v>2</x:v>
      </x:c>
      <x:c r="F22" s="279" t="n">
        <x:v>3</x:v>
      </x:c>
      <x:c r="G22" s="279" t="n">
        <x:f>IFERROR(D22*E22/F22,0)</x:f>
        <x:v>2</x:v>
      </x:c>
      <x:c r="H22" s="279" t="inlineStr">
        <x:is>
          <x:t xml:space="preserve">Low</x:t>
        </x:is>
      </x:c>
      <x:c r="I22" s="279" t="inlineStr">
        <x:is>
          <x:t xml:space="preserve">Green finance roadmap and peer disclosure practices</x:t>
        </x:is>
      </x:c>
      <x:c r="J22" s="279" t="inlineStr">
        <x:is>
          <x:t xml:space="preserve">Create baseline ESG disclosure template</x:t>
        </x:is>
      </x:c>
      <x:c r="K22" s="279" t="inlineStr">
        <x:is>
          <x:t xml:space="preserve">Finance + PA</x:t>
        </x:is>
      </x:c>
      <x:c r="L22" s="279" t="n"/>
      <x:c r="M22" s="279" t="n"/>
      <x:c r="N22" s="279" t="n"/>
      <x:c r="O22" s="279" t="n"/>
      <x:c r="P22" s="279" t="n"/>
      <x:c r="Q22" s="279" t="n"/>
      <x:c r="R22" s="279" t="n"/>
      <x:c r="S22" s="279" t="n"/>
      <x:c r="T22" s="279" t="n"/>
      <x:c r="U22" s="279" t="n"/>
      <x:c r="V22" s="279" t="n"/>
      <x:c r="W22" s="279" t="n"/>
      <x:c r="X22" s="279" t="n"/>
      <x:c r="Y22" s="279" t="n"/>
      <x:c r="Z22" s="279" t="n"/>
    </x:row>
    <x:row r="23">
      <x:c r="A23" s="279" t="n"/>
      <x:c r="B23" s="279" t="n"/>
      <x:c r="C23" s="279" t="n"/>
      <x:c r="D23" s="279" t="n"/>
      <x:c r="E23" s="279" t="n"/>
      <x:c r="F23" s="279" t="n"/>
      <x:c r="G23" s="279" t="n"/>
      <x:c r="H23" s="279" t="n"/>
      <x:c r="I23" s="279" t="n"/>
      <x:c r="J23" s="279" t="n"/>
      <x:c r="K23" s="279" t="n"/>
      <x:c r="L23" s="279" t="n"/>
      <x:c r="M23" s="279" t="n"/>
      <x:c r="N23" s="279" t="n"/>
      <x:c r="O23" s="279" t="n"/>
      <x:c r="P23" s="279" t="n"/>
      <x:c r="Q23" s="279" t="n"/>
      <x:c r="R23" s="279" t="n"/>
      <x:c r="S23" s="279" t="n"/>
      <x:c r="T23" s="279" t="n"/>
      <x:c r="U23" s="279" t="n"/>
      <x:c r="V23" s="279" t="n"/>
      <x:c r="W23" s="279" t="n"/>
      <x:c r="X23" s="279" t="n"/>
      <x:c r="Y23" s="279" t="n"/>
      <x:c r="Z23" s="279" t="n"/>
    </x:row>
    <x:row r="24">
      <x:c r="A24" s="279" t="inlineStr">
        <x:is>
          <x:t xml:space="preserve">Consolidated Regulatory News / Signal Items</x:t>
        </x:is>
      </x:c>
      <x:c r="B24" s="279" t="n"/>
      <x:c r="C24" s="279" t="n"/>
      <x:c r="D24" s="279" t="n"/>
      <x:c r="E24" s="279" t="n"/>
      <x:c r="F24" s="279" t="n"/>
      <x:c r="G24" s="279" t="n"/>
      <x:c r="H24" s="279" t="n"/>
      <x:c r="I24" s="279" t="n"/>
      <x:c r="J24" s="279" t="n"/>
      <x:c r="K24" s="279" t="n"/>
      <x:c r="L24" s="279" t="n"/>
      <x:c r="M24" s="279" t="n"/>
      <x:c r="N24" s="279" t="n"/>
      <x:c r="O24" s="279" t="n"/>
      <x:c r="P24" s="279" t="n"/>
      <x:c r="Q24" s="279" t="n"/>
      <x:c r="R24" s="279" t="n"/>
      <x:c r="S24" s="279" t="n"/>
      <x:c r="T24" s="279" t="n"/>
      <x:c r="U24" s="279" t="n"/>
      <x:c r="V24" s="279" t="n"/>
      <x:c r="W24" s="279" t="n"/>
      <x:c r="X24" s="279" t="n"/>
      <x:c r="Y24" s="279" t="n"/>
      <x:c r="Z24" s="279" t="n"/>
    </x:row>
    <x:row r="25">
      <x:c r="A25" s="279" t="inlineStr">
        <x:is>
          <x:t xml:space="preserve">Signal ID</x:t>
        </x:is>
      </x:c>
      <x:c r="B25" s="279" t="inlineStr">
        <x:is>
          <x:t xml:space="preserve">Date</x:t>
        </x:is>
      </x:c>
      <x:c r="C25" s="279" t="inlineStr">
        <x:is>
          <x:t xml:space="preserve">Source / Agency</x:t>
        </x:is>
      </x:c>
      <x:c r="D25" s="279" t="inlineStr">
        <x:is>
          <x:t xml:space="preserve">Headline / Signal</x:t>
        </x:is>
      </x:c>
      <x:c r="E25" s="279" t="inlineStr">
        <x:is>
          <x:t xml:space="preserve">Category</x:t>
        </x:is>
      </x:c>
      <x:c r="F25" s="279" t="inlineStr">
        <x:is>
          <x:t xml:space="preserve">Auto Tag</x:t>
        </x:is>
      </x:c>
      <x:c r="G25" s="279" t="inlineStr">
        <x:is>
          <x:t xml:space="preserve">Relevance to Manulife</x:t>
        </x:is>
      </x:c>
      <x:c r="H25" s="279" t="inlineStr">
        <x:is>
          <x:t xml:space="preserve">Probability (1-5)</x:t>
        </x:is>
      </x:c>
      <x:c r="I25" s="279" t="inlineStr">
        <x:is>
          <x:t xml:space="preserve">Impact (1-5)</x:t>
        </x:is>
      </x:c>
      <x:c r="J25" s="279" t="inlineStr">
        <x:is>
          <x:t xml:space="preserve">Signal Score</x:t>
        </x:is>
      </x:c>
      <x:c r="K25" s="279" t="inlineStr">
        <x:is>
          <x:t xml:space="preserve">Suggested Action</x:t>
        </x:is>
      </x:c>
      <x:c r="L25" s="279" t="inlineStr">
        <x:is>
          <x:t xml:space="preserve">Owner</x:t>
        </x:is>
      </x:c>
      <x:c r="M25" s="279" t="inlineStr">
        <x:is>
          <x:t xml:space="preserve">Status</x:t>
        </x:is>
      </x:c>
      <x:c r="N25" s="279" t="n"/>
      <x:c r="O25" s="279" t="n"/>
      <x:c r="P25" s="279" t="n"/>
      <x:c r="Q25" s="279" t="n"/>
      <x:c r="R25" s="279" t="n"/>
      <x:c r="S25" s="279" t="n"/>
      <x:c r="T25" s="279" t="n"/>
      <x:c r="U25" s="279" t="n"/>
      <x:c r="V25" s="279" t="n"/>
      <x:c r="W25" s="279" t="n"/>
      <x:c r="X25" s="279" t="n"/>
      <x:c r="Y25" s="279" t="n"/>
      <x:c r="Z25" s="279" t="n"/>
    </x:row>
    <x:row r="26">
      <x:c r="A26" s="279" t="inlineStr">
        <x:is>
          <x:t xml:space="preserve">NEWS-001</x:t>
        </x:is>
      </x:c>
      <x:c r="B26" s="243" t="n">
        <x:v>46177</x:v>
      </x:c>
      <x:c r="C26" s="279" t="inlineStr">
        <x:is>
          <x:t xml:space="preserve">MOF</x:t>
        </x:is>
      </x:c>
      <x:c r="D26" s="279" t="inlineStr">
        <x:is>
          <x:t xml:space="preserve">Draft discussion on capital adequacy strengthening</x:t>
        </x:is>
      </x:c>
      <x:c r="E26" s="279" t="inlineStr">
        <x:is>
          <x:t xml:space="preserve">Capital</x:t>
        </x:is>
      </x:c>
      <x:c r="F26" s="279" t="inlineStr">
        <x:is>
          <x:t xml:space="preserve">Capital</x:t>
        </x:is>
      </x:c>
      <x:c r="G26" s="279" t="inlineStr">
        <x:is>
          <x:t xml:space="preserve">Potential increase in capital planning and reporting pressure</x:t>
        </x:is>
      </x:c>
      <x:c r="H26" s="279" t="n">
        <x:v>4</x:v>
      </x:c>
      <x:c r="I26" s="279" t="n">
        <x:v>5</x:v>
      </x:c>
      <x:c r="J26" s="279" t="n">
        <x:f>H5*I5</x:f>
        <x:v>30.4</x:v>
      </x:c>
      <x:c r="K26" s="279" t="inlineStr">
        <x:is>
          <x:t xml:space="preserve">Prepare capital impact note and Finance briefing</x:t>
        </x:is>
      </x:c>
      <x:c r="L26" s="279" t="inlineStr">
        <x:is>
          <x:t xml:space="preserve">Finance / PA</x:t>
        </x:is>
      </x:c>
      <x:c r="M26" s="279" t="inlineStr">
        <x:is>
          <x:t xml:space="preserve">Monitoring</x:t>
        </x:is>
      </x:c>
      <x:c r="N26" s="279" t="n"/>
      <x:c r="O26" s="279" t="n"/>
      <x:c r="P26" s="279" t="n"/>
      <x:c r="Q26" s="279" t="n"/>
      <x:c r="R26" s="279" t="n"/>
      <x:c r="S26" s="279" t="n"/>
      <x:c r="T26" s="279" t="n"/>
      <x:c r="U26" s="279" t="n"/>
      <x:c r="V26" s="279" t="n"/>
      <x:c r="W26" s="279" t="n"/>
      <x:c r="X26" s="279" t="n"/>
      <x:c r="Y26" s="279" t="n"/>
      <x:c r="Z26" s="279" t="n"/>
    </x:row>
    <x:row r="27">
      <x:c r="A27" s="279" t="inlineStr">
        <x:is>
          <x:t xml:space="preserve">NEWS-002</x:t>
        </x:is>
      </x:c>
      <x:c r="B27" s="243" t="n">
        <x:v>46178</x:v>
      </x:c>
      <x:c r="C27" s="279" t="inlineStr">
        <x:is>
          <x:t xml:space="preserve">ISA</x:t>
        </x:is>
      </x:c>
      <x:c r="D27" s="279" t="inlineStr">
        <x:is>
          <x:t xml:space="preserve">Market conduct inspection activity increases across insurers</x:t>
        </x:is>
      </x:c>
      <x:c r="E27" s="279" t="inlineStr">
        <x:is>
          <x:t xml:space="preserve">Consumer Protection</x:t>
        </x:is>
      </x:c>
      <x:c r="F27" s="279" t="inlineStr">
        <x:is>
          <x:t xml:space="preserve">Market Conduct</x:t>
        </x:is>
      </x:c>
      <x:c r="G27" s="279" t="inlineStr">
        <x:is>
          <x:t xml:space="preserve">Higher scrutiny on complaints, sales conduct and product disclosure</x:t>
        </x:is>
      </x:c>
      <x:c r="H27" s="279" t="n">
        <x:v>5</x:v>
      </x:c>
      <x:c r="I27" s="279" t="n">
        <x:v>4</x:v>
      </x:c>
      <x:c r="J27" s="279" t="n">
        <x:f>H6*I6</x:f>
        <x:v>3.3</x:v>
      </x:c>
      <x:c r="K27" s="279" t="inlineStr">
        <x:is>
          <x:t xml:space="preserve">Review complaint report and sales training evidence</x:t>
        </x:is>
      </x:c>
      <x:c r="L27" s="279" t="inlineStr">
        <x:is>
          <x:t xml:space="preserve">Compliance / PA</x:t>
        </x:is>
      </x:c>
      <x:c r="M27" s="279" t="inlineStr">
        <x:is>
          <x:t xml:space="preserve">Action Required</x:t>
        </x:is>
      </x:c>
      <x:c r="N27" s="279" t="n"/>
      <x:c r="O27" s="279" t="n"/>
      <x:c r="P27" s="279" t="n"/>
      <x:c r="Q27" s="279" t="n"/>
      <x:c r="R27" s="279" t="n"/>
      <x:c r="S27" s="279" t="n"/>
      <x:c r="T27" s="279" t="n"/>
      <x:c r="U27" s="279" t="n"/>
      <x:c r="V27" s="279" t="n"/>
      <x:c r="W27" s="279" t="n"/>
      <x:c r="X27" s="279" t="n"/>
      <x:c r="Y27" s="279" t="n"/>
      <x:c r="Z27" s="279" t="n"/>
    </x:row>
    <x:row r="28">
      <x:c r="A28" s="279" t="inlineStr">
        <x:is>
          <x:t xml:space="preserve">NEWS-003</x:t>
        </x:is>
      </x:c>
      <x:c r="B28" s="243" t="n">
        <x:v>46179</x:v>
      </x:c>
      <x:c r="C28" s="279" t="inlineStr">
        <x:is>
          <x:t xml:space="preserve">IAV</x:t>
        </x:is>
      </x:c>
      <x:c r="D28" s="279" t="inlineStr">
        <x:is>
          <x:t xml:space="preserve">Working group formed on standardized product disclosure</x:t>
        </x:is>
      </x:c>
      <x:c r="E28" s="279" t="inlineStr">
        <x:is>
          <x:t xml:space="preserve">Product Approval</x:t>
        </x:is>
      </x:c>
      <x:c r="F28" s="279" t="inlineStr">
        <x:is>
          <x:t xml:space="preserve">Product</x:t>
        </x:is>
      </x:c>
      <x:c r="G28" s="279" t="inlineStr">
        <x:is>
          <x:t xml:space="preserve">Opportunity to shape industry position on disclosure standards</x:t>
        </x:is>
      </x:c>
      <x:c r="H28" s="279" t="n">
        <x:v>3</x:v>
      </x:c>
      <x:c r="I28" s="279" t="n">
        <x:v>4</x:v>
      </x:c>
      <x:c r="J28" s="279" t="n">
        <x:f>H7*I7</x:f>
        <x:v>10.53</x:v>
      </x:c>
      <x:c r="K28" s="279" t="inlineStr">
        <x:is>
          <x:t xml:space="preserve">Join working group and draft Manulife input</x:t>
        </x:is>
      </x:c>
      <x:c r="L28" s="279" t="inlineStr">
        <x:is>
          <x:t xml:space="preserve">Product / PA</x:t>
        </x:is>
      </x:c>
      <x:c r="M28" s="279" t="inlineStr">
        <x:is>
          <x:t xml:space="preserve">Open</x:t>
        </x:is>
      </x:c>
      <x:c r="N28" s="279" t="n"/>
      <x:c r="O28" s="279" t="n"/>
      <x:c r="P28" s="279" t="n"/>
      <x:c r="Q28" s="279" t="n"/>
      <x:c r="R28" s="279" t="n"/>
      <x:c r="S28" s="279" t="n"/>
      <x:c r="T28" s="279" t="n"/>
      <x:c r="U28" s="279" t="n"/>
      <x:c r="V28" s="279" t="n"/>
      <x:c r="W28" s="279" t="n"/>
      <x:c r="X28" s="279" t="n"/>
      <x:c r="Y28" s="279" t="n"/>
      <x:c r="Z28" s="279" t="n"/>
    </x:row>
    <x:row r="29">
      <x:c r="A29" s="279" t="inlineStr">
        <x:is>
          <x:t xml:space="preserve">NEWS-004</x:t>
        </x:is>
      </x:c>
      <x:c r="B29" s="243" t="n">
        <x:v>46180</x:v>
      </x:c>
      <x:c r="C29" s="279" t="inlineStr">
        <x:is>
          <x:t xml:space="preserve">MIC</x:t>
        </x:is>
      </x:c>
      <x:c r="D29" s="279" t="inlineStr">
        <x:is>
          <x:t xml:space="preserve">Consultation on data localization implementation guidance</x:t>
        </x:is>
      </x:c>
      <x:c r="E29" s="279" t="inlineStr">
        <x:is>
          <x:t xml:space="preserve">Data Privacy</x:t>
        </x:is>
      </x:c>
      <x:c r="F29" s="279" t="inlineStr">
        <x:is>
          <x:t xml:space="preserve">Data</x:t>
        </x:is>
      </x:c>
      <x:c r="G29" s="279" t="inlineStr">
        <x:is>
          <x:t xml:space="preserve">Potential impact on digital insurance and regional data processing</x:t>
        </x:is>
      </x:c>
      <x:c r="H29" s="279" t="n">
        <x:v>4</x:v>
      </x:c>
      <x:c r="I29" s="279" t="n">
        <x:v>4</x:v>
      </x:c>
      <x:c r="J29" s="279" t="n">
        <x:f>H8*I8</x:f>
        <x:v>3.2</x:v>
      </x:c>
      <x:c r="K29" s="279" t="inlineStr">
        <x:is>
          <x:t xml:space="preserve">Prepare data-flow map and legal position</x:t>
        </x:is>
      </x:c>
      <x:c r="L29" s="279" t="inlineStr">
        <x:is>
          <x:t xml:space="preserve">IT / Legal</x:t>
        </x:is>
      </x:c>
      <x:c r="M29" s="279" t="inlineStr">
        <x:is>
          <x:t xml:space="preserve">Monitoring</x:t>
        </x:is>
      </x:c>
      <x:c r="N29" s="279" t="n"/>
      <x:c r="O29" s="279" t="n"/>
      <x:c r="P29" s="279" t="n"/>
      <x:c r="Q29" s="279" t="n"/>
      <x:c r="R29" s="279" t="n"/>
      <x:c r="S29" s="279" t="n"/>
      <x:c r="T29" s="279" t="n"/>
      <x:c r="U29" s="279" t="n"/>
      <x:c r="V29" s="279" t="n"/>
      <x:c r="W29" s="279" t="n"/>
      <x:c r="X29" s="279" t="n"/>
      <x:c r="Y29" s="279" t="n"/>
      <x:c r="Z29" s="279" t="n"/>
    </x:row>
    <x:row r="30">
      <x:c r="A30" s="279" t="inlineStr">
        <x:is>
          <x:t xml:space="preserve">NEWS-005</x:t>
        </x:is>
      </x:c>
      <x:c r="B30" s="243" t="n">
        <x:v>46181</x:v>
      </x:c>
      <x:c r="C30" s="279" t="inlineStr">
        <x:is>
          <x:t xml:space="preserve">SBV</x:t>
        </x:is>
      </x:c>
      <x:c r="D30" s="279" t="inlineStr">
        <x:is>
          <x:t xml:space="preserve">Review of bancassurance sales practice risk</x:t>
        </x:is>
      </x:c>
      <x:c r="E30" s="279" t="inlineStr">
        <x:is>
          <x:t xml:space="preserve">Distribution</x:t>
        </x:is>
      </x:c>
      <x:c r="F30" s="279" t="inlineStr">
        <x:is>
          <x:t xml:space="preserve">Bancassurance</x:t>
        </x:is>
      </x:c>
      <x:c r="G30" s="279" t="inlineStr">
        <x:is>
          <x:t xml:space="preserve">Potential change to bank channel monitoring requirements</x:t>
        </x:is>
      </x:c>
      <x:c r="H30" s="279" t="n">
        <x:v>4</x:v>
      </x:c>
      <x:c r="I30" s="279" t="n">
        <x:v>5</x:v>
      </x:c>
      <x:c r="J30" s="279" t="n">
        <x:f>H9*I9</x:f>
        <x:v>12.4</x:v>
      </x:c>
      <x:c r="K30" s="279" t="inlineStr">
        <x:is>
          <x:t xml:space="preserve">Coordinate with bank partners and Compliance</x:t>
        </x:is>
      </x:c>
      <x:c r="L30" s="279" t="inlineStr">
        <x:is>
          <x:t xml:space="preserve">Distribution</x:t>
        </x:is>
      </x:c>
      <x:c r="M30" s="279" t="inlineStr">
        <x:is>
          <x:t xml:space="preserve">Action Required</x:t>
        </x:is>
      </x:c>
      <x:c r="N30" s="279" t="n"/>
      <x:c r="O30" s="279" t="n"/>
      <x:c r="P30" s="279" t="n"/>
      <x:c r="Q30" s="279" t="n"/>
      <x:c r="R30" s="279" t="n"/>
      <x:c r="S30" s="279" t="n"/>
      <x:c r="T30" s="279" t="n"/>
      <x:c r="U30" s="279" t="n"/>
      <x:c r="V30" s="279" t="n"/>
      <x:c r="W30" s="279" t="n"/>
      <x:c r="X30" s="279" t="n"/>
      <x:c r="Y30" s="279" t="n"/>
      <x:c r="Z30" s="279" t="n"/>
    </x:row>
    <x:row r="31">
      <x:c r="A31" s="279" t="inlineStr">
        <x:is>
          <x:t xml:space="preserve">NEWS-006</x:t>
        </x:is>
      </x:c>
      <x:c r="B31" s="243" t="n">
        <x:v>46183</x:v>
      </x:c>
      <x:c r="C31" s="279" t="inlineStr">
        <x:is>
          <x:t xml:space="preserve">Regional Office</x:t>
        </x:is>
      </x:c>
      <x:c r="D31" s="279" t="inlineStr">
        <x:is>
          <x:t xml:space="preserve">APAC request for ESG disclosure readiness update</x:t>
        </x:is>
      </x:c>
      <x:c r="E31" s="279" t="inlineStr">
        <x:is>
          <x:t xml:space="preserve">ESG</x:t>
        </x:is>
      </x:c>
      <x:c r="F31" s="279" t="inlineStr">
        <x:is>
          <x:t xml:space="preserve">ESG</x:t>
        </x:is>
      </x:c>
      <x:c r="G31" s="279" t="inlineStr">
        <x:is>
          <x:t xml:space="preserve">Need consistent local-to-regional ESG reporting pack</x:t>
        </x:is>
      </x:c>
      <x:c r="H31" s="279" t="n">
        <x:v>3</x:v>
      </x:c>
      <x:c r="I31" s="279" t="n">
        <x:v>3</x:v>
      </x:c>
      <x:c r="J31" s="279" t="n">
        <x:f>H10*I10</x:f>
        <x:v>3</x:v>
      </x:c>
      <x:c r="K31" s="279" t="inlineStr">
        <x:is>
          <x:t xml:space="preserve">Prepare ESG readiness note</x:t>
        </x:is>
      </x:c>
      <x:c r="L31" s="279" t="inlineStr">
        <x:is>
          <x:t xml:space="preserve">Strategy / PA</x:t>
        </x:is>
      </x:c>
      <x:c r="M31" s="279" t="inlineStr">
        <x:is>
          <x:t xml:space="preserve">Open</x:t>
        </x:is>
      </x:c>
      <x:c r="N31" s="279" t="n"/>
      <x:c r="O31" s="279" t="n"/>
      <x:c r="P31" s="279" t="n"/>
      <x:c r="Q31" s="279" t="n"/>
      <x:c r="R31" s="279" t="n"/>
      <x:c r="S31" s="279" t="n"/>
      <x:c r="T31" s="279" t="n"/>
      <x:c r="U31" s="279" t="n"/>
      <x:c r="V31" s="279" t="n"/>
      <x:c r="W31" s="279" t="n"/>
      <x:c r="X31" s="279" t="n"/>
      <x:c r="Y31" s="279" t="n"/>
      <x:c r="Z31" s="279" t="n"/>
    </x:row>
  </x:sheetData>
  <x:conditionalFormatting sqref="I2:I11">
    <x:cfRule type="colorScale" priority="1">
      <x:colorScale>
        <x:cfvo type="min"/>
        <x:cfvo type="percentile" val="50"/>
        <x:cfvo type="max"/>
        <x:color rgb="00D9EAD3"/>
        <x:color rgb="00FFF2CC"/>
        <x:color rgb="00F4CCCC"/>
      </x:colorScale>
    </x:cfRule>
  </x:conditionalFormatting>
  <x:dataValidations count="1">
    <x:dataValidation type="list" allowBlank="0" showDropDown="0" showInputMessage="0" showErrorMessage="0" sqref="L2:L11">
      <x:formula1>"Legal,Compliance,Public Affairs,Risk,Product"</x:formula1>
    </x:dataValidation>
  </x:dataValidations>
  <x:pageMargins left="0.7" right="0.7" top="0.75" bottom="0.75" header="0.3" footer="0.3"/>
  <x:drawing xmlns:r="http://schemas.openxmlformats.org/officeDocument/2006/relationships" r:id="R12b66f52e2924b5c"/>
  <x:tableParts count="1">
    <x:tablePart xmlns:r="http://schemas.openxmlformats.org/officeDocument/2006/relationships" r:id="R1da5b578f23a4897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3.319999694824219" style="265" customWidth="1"/>
    <x:col min="2" max="2" width="16.420000076293945" style="265" customWidth="1"/>
    <x:col min="3" max="3" width="10.09000015258789" style="265" customWidth="1"/>
    <x:col min="4" max="4" width="10.229999542236328" style="265" customWidth="1"/>
    <x:col min="5" max="5" width="14.270000457763672" style="265" customWidth="1"/>
    <x:col min="6" max="6" width="10.229999542236328" style="265" customWidth="1"/>
    <x:col min="7" max="7" width="9.149999618530273" style="265" customWidth="1"/>
    <x:col min="8" max="8" width="9.960000038146973" style="265" customWidth="1"/>
    <x:col min="9" max="9" width="7.400000095367432" style="265" customWidth="1"/>
  </x:cols>
  <x:sheetData>
    <x:row r="1">
      <x:c r="A1" s="153" t="inlineStr">
        <x:is>
          <x:t xml:space="preserve">Document ID</x:t>
        </x:is>
      </x:c>
      <x:c r="B1" s="153" t="inlineStr">
        <x:is>
          <x:t xml:space="preserve">Document Name</x:t>
        </x:is>
      </x:c>
      <x:c r="C1" s="153" t="inlineStr">
        <x:is>
          <x:t xml:space="preserve">Direction</x:t>
        </x:is>
      </x:c>
      <x:c r="D1" s="153" t="inlineStr">
        <x:is>
          <x:t xml:space="preserve">Owner</x:t>
        </x:is>
      </x:c>
      <x:c r="E1" s="153" t="inlineStr">
        <x:is>
          <x:t xml:space="preserve">Received Date</x:t>
        </x:is>
      </x:c>
      <x:c r="F1" s="153" t="inlineStr">
        <x:is>
          <x:t xml:space="preserve">Due Date</x:t>
        </x:is>
      </x:c>
      <x:c r="G1" s="153" t="inlineStr">
        <x:is>
          <x:t xml:space="preserve">Status</x:t>
        </x:is>
      </x:c>
      <x:c r="H1" s="153" t="inlineStr">
        <x:is>
          <x:t xml:space="preserve">SLA Days</x:t>
        </x:is>
      </x:c>
      <x:c r="I1" s="153" t="inlineStr">
        <x:is>
          <x:t xml:space="preserve">Notes</x:t>
        </x:is>
      </x:c>
      <x:c r="J1" s="271" t="n"/>
      <x:c r="K1" s="271" t="n"/>
      <x:c r="L1" s="271" t="n"/>
      <x:c r="M1" s="271" t="n"/>
      <x:c r="N1" s="271" t="n"/>
      <x:c r="O1" s="271" t="n"/>
      <x:c r="P1" s="271" t="n"/>
      <x:c r="Q1" s="271" t="n"/>
      <x:c r="R1" s="271" t="n"/>
      <x:c r="S1" s="271" t="n"/>
      <x:c r="T1" s="271" t="n"/>
      <x:c r="U1" s="271" t="n"/>
      <x:c r="V1" s="271" t="n"/>
      <x:c r="W1" s="271" t="n"/>
      <x:c r="X1" s="271" t="n"/>
      <x:c r="Y1" s="271" t="n"/>
      <x:c r="Z1" s="271" t="n"/>
    </x:row>
    <x:row r="2">
      <x:c r="A2" s="271" t="inlineStr">
        <x:is>
          <x:t xml:space="preserve">TR-001</x:t>
        </x:is>
      </x:c>
      <x:c r="B2" s="271" t="inlineStr">
        <x:is>
          <x:t xml:space="preserve">Circular summary 1</x:t>
        </x:is>
      </x:c>
      <x:c r="C2" s="271" t="inlineStr">
        <x:is>
          <x:t xml:space="preserve">VN -&gt; EN</x:t>
        </x:is>
      </x:c>
      <x:c r="D2" s="271" t="inlineStr">
        <x:is>
          <x:t xml:space="preserve">Legal</x:t>
        </x:is>
      </x:c>
      <x:c r="E2" s="155" t="n">
        <x:v>46182</x:v>
      </x:c>
      <x:c r="F2" s="155" t="n">
        <x:v>46183</x:v>
      </x:c>
      <x:c r="G2" s="271" t="inlineStr">
        <x:is>
          <x:t xml:space="preserve">Not Started</x:t>
        </x:is>
      </x:c>
      <x:c r="H2" s="271" t="n">
        <x:f>F2-E2</x:f>
        <x:v>1</x:v>
      </x:c>
      <x:c r="I2" s="271" t="inlineStr">
        <x:is>
          <x:t xml:space="preserve">Sample</x:t>
        </x:is>
      </x:c>
    </x:row>
    <x:row r="3">
      <x:c r="A3" s="271" t="inlineStr">
        <x:is>
          <x:t xml:space="preserve">TR-002</x:t>
        </x:is>
      </x:c>
      <x:c r="B3" s="271" t="inlineStr">
        <x:is>
          <x:t xml:space="preserve">Official letter 2</x:t>
        </x:is>
      </x:c>
      <x:c r="C3" s="271" t="inlineStr">
        <x:is>
          <x:t xml:space="preserve">VN -&gt; EN</x:t>
        </x:is>
      </x:c>
      <x:c r="D3" s="271" t="inlineStr">
        <x:is>
          <x:t xml:space="preserve">Compliance</x:t>
        </x:is>
      </x:c>
      <x:c r="E3" s="155" t="n">
        <x:v>46173</x:v>
      </x:c>
      <x:c r="F3" s="155" t="n">
        <x:v>46180</x:v>
      </x:c>
      <x:c r="G3" s="271" t="inlineStr">
        <x:is>
          <x:t xml:space="preserve">Done</x:t>
        </x:is>
      </x:c>
      <x:c r="H3" s="271" t="n">
        <x:f>F3-E3</x:f>
        <x:v>7</x:v>
      </x:c>
      <x:c r="I3" s="271" t="inlineStr">
        <x:is>
          <x:t xml:space="preserve">Sample</x:t>
        </x:is>
      </x:c>
    </x:row>
    <x:row r="4">
      <x:c r="A4" s="271" t="inlineStr">
        <x:is>
          <x:t xml:space="preserve">TR-003</x:t>
        </x:is>
      </x:c>
      <x:c r="B4" s="271" t="inlineStr">
        <x:is>
          <x:t xml:space="preserve">Meeting note 3</x:t>
        </x:is>
      </x:c>
      <x:c r="C4" s="271" t="inlineStr">
        <x:is>
          <x:t xml:space="preserve">EN -&gt; VN</x:t>
        </x:is>
      </x:c>
      <x:c r="D4" s="271" t="inlineStr">
        <x:is>
          <x:t xml:space="preserve">Compliance</x:t>
        </x:is>
      </x:c>
      <x:c r="E4" s="155" t="n">
        <x:v>46181</x:v>
      </x:c>
      <x:c r="F4" s="155" t="n">
        <x:v>46185</x:v>
      </x:c>
      <x:c r="G4" s="271" t="inlineStr">
        <x:is>
          <x:t xml:space="preserve">Not Started</x:t>
        </x:is>
      </x:c>
      <x:c r="H4" s="271" t="n">
        <x:f>F4-E4</x:f>
        <x:v>4</x:v>
      </x:c>
      <x:c r="I4" s="271" t="inlineStr">
        <x:is>
          <x:t xml:space="preserve">Sample</x:t>
        </x:is>
      </x:c>
    </x:row>
    <x:row r="5">
      <x:c r="A5" s="271" t="inlineStr">
        <x:is>
          <x:t xml:space="preserve">TR-004</x:t>
        </x:is>
      </x:c>
      <x:c r="B5" s="271" t="inlineStr">
        <x:is>
          <x:t xml:space="preserve">Meeting note 4</x:t>
        </x:is>
      </x:c>
      <x:c r="C5" s="271" t="inlineStr">
        <x:is>
          <x:t xml:space="preserve">EN -&gt; VN</x:t>
        </x:is>
      </x:c>
      <x:c r="D5" s="271" t="inlineStr">
        <x:is>
          <x:t xml:space="preserve">Public Affairs</x:t>
        </x:is>
      </x:c>
      <x:c r="E5" s="155" t="n">
        <x:v>46175</x:v>
      </x:c>
      <x:c r="F5" s="155" t="n">
        <x:v>46180</x:v>
      </x:c>
      <x:c r="G5" s="271" t="inlineStr">
        <x:is>
          <x:t xml:space="preserve">In Progress</x:t>
        </x:is>
      </x:c>
      <x:c r="H5" s="271" t="n">
        <x:f>F5-E5</x:f>
        <x:v>5</x:v>
      </x:c>
      <x:c r="I5" s="271" t="inlineStr">
        <x:is>
          <x:t xml:space="preserve">Sample</x:t>
        </x:is>
      </x:c>
    </x:row>
    <x:row r="6">
      <x:c r="A6" s="271" t="inlineStr">
        <x:is>
          <x:t xml:space="preserve">TR-005</x:t>
        </x:is>
      </x:c>
      <x:c r="B6" s="271" t="inlineStr">
        <x:is>
          <x:t xml:space="preserve">Regional report 5</x:t>
        </x:is>
      </x:c>
      <x:c r="C6" s="271" t="inlineStr">
        <x:is>
          <x:t xml:space="preserve">VN -&gt; EN</x:t>
        </x:is>
      </x:c>
      <x:c r="D6" s="271" t="inlineStr">
        <x:is>
          <x:t xml:space="preserve">Public Affairs</x:t>
        </x:is>
      </x:c>
      <x:c r="E6" s="155" t="n">
        <x:v>46180</x:v>
      </x:c>
      <x:c r="F6" s="155" t="n">
        <x:v>46186</x:v>
      </x:c>
      <x:c r="G6" s="271" t="inlineStr">
        <x:is>
          <x:t xml:space="preserve">Done</x:t>
        </x:is>
      </x:c>
      <x:c r="H6" s="271" t="n">
        <x:f>F6-E6</x:f>
        <x:v>6</x:v>
      </x:c>
      <x:c r="I6" s="271" t="inlineStr">
        <x:is>
          <x:t xml:space="preserve">Sample</x:t>
        </x:is>
      </x:c>
    </x:row>
    <x:row r="7">
      <x:c r="A7" s="271" t="inlineStr">
        <x:is>
          <x:t xml:space="preserve">TR-006</x:t>
        </x:is>
      </x:c>
      <x:c r="B7" s="271" t="inlineStr">
        <x:is>
          <x:t xml:space="preserve">Circular summary 6</x:t>
        </x:is>
      </x:c>
      <x:c r="C7" s="271" t="inlineStr">
        <x:is>
          <x:t xml:space="preserve">EN -&gt; VN</x:t>
        </x:is>
      </x:c>
      <x:c r="D7" s="271" t="inlineStr">
        <x:is>
          <x:t xml:space="preserve">Compliance</x:t>
        </x:is>
      </x:c>
      <x:c r="E7" s="155" t="n">
        <x:v>46167</x:v>
      </x:c>
      <x:c r="F7" s="155" t="n">
        <x:v>46170</x:v>
      </x:c>
      <x:c r="G7" s="271" t="inlineStr">
        <x:is>
          <x:t xml:space="preserve">In Progress</x:t>
        </x:is>
      </x:c>
      <x:c r="H7" s="271" t="n">
        <x:f>F7-E7</x:f>
        <x:v>3</x:v>
      </x:c>
      <x:c r="I7" s="271" t="inlineStr">
        <x:is>
          <x:t xml:space="preserve">Sample</x:t>
        </x:is>
      </x:c>
    </x:row>
    <x:row r="8">
      <x:c r="A8" s="271" t="inlineStr">
        <x:is>
          <x:t xml:space="preserve">TR-007</x:t>
        </x:is>
      </x:c>
      <x:c r="B8" s="271" t="inlineStr">
        <x:is>
          <x:t xml:space="preserve">Product dossier 7</x:t>
        </x:is>
      </x:c>
      <x:c r="C8" s="271" t="inlineStr">
        <x:is>
          <x:t xml:space="preserve">VN -&gt; EN</x:t>
        </x:is>
      </x:c>
      <x:c r="D8" s="271" t="inlineStr">
        <x:is>
          <x:t xml:space="preserve">Compliance</x:t>
        </x:is>
      </x:c>
      <x:c r="E8" s="155" t="n">
        <x:v>46171</x:v>
      </x:c>
      <x:c r="F8" s="155" t="n">
        <x:v>46178</x:v>
      </x:c>
      <x:c r="G8" s="271" t="inlineStr">
        <x:is>
          <x:t xml:space="preserve">Done</x:t>
        </x:is>
      </x:c>
      <x:c r="H8" s="271" t="n">
        <x:f>F8-E8</x:f>
        <x:v>7</x:v>
      </x:c>
      <x:c r="I8" s="271" t="inlineStr">
        <x:is>
          <x:t xml:space="preserve">Sample</x:t>
        </x:is>
      </x:c>
    </x:row>
    <x:row r="9">
      <x:c r="A9" s="271" t="inlineStr">
        <x:is>
          <x:t xml:space="preserve">TR-008</x:t>
        </x:is>
      </x:c>
      <x:c r="B9" s="271" t="inlineStr">
        <x:is>
          <x:t xml:space="preserve">Meeting note 8</x:t>
        </x:is>
      </x:c>
      <x:c r="C9" s="271" t="inlineStr">
        <x:is>
          <x:t xml:space="preserve">EN -&gt; VN</x:t>
        </x:is>
      </x:c>
      <x:c r="D9" s="271" t="inlineStr">
        <x:is>
          <x:t xml:space="preserve">Legal</x:t>
        </x:is>
      </x:c>
      <x:c r="E9" s="155" t="n">
        <x:v>46184</x:v>
      </x:c>
      <x:c r="F9" s="155" t="n">
        <x:v>46186</x:v>
      </x:c>
      <x:c r="G9" s="271" t="inlineStr">
        <x:is>
          <x:t xml:space="preserve">Done</x:t>
        </x:is>
      </x:c>
      <x:c r="H9" s="271" t="n">
        <x:f>F9-E9</x:f>
        <x:v>2</x:v>
      </x:c>
      <x:c r="I9" s="271" t="inlineStr">
        <x:is>
          <x:t xml:space="preserve">Sample</x:t>
        </x:is>
      </x:c>
    </x:row>
    <x:row r="10">
      <x:c r="A10" s="271" t="inlineStr">
        <x:is>
          <x:t xml:space="preserve">TR-009</x:t>
        </x:is>
      </x:c>
      <x:c r="B10" s="271" t="inlineStr">
        <x:is>
          <x:t xml:space="preserve">Official letter 9</x:t>
        </x:is>
      </x:c>
      <x:c r="C10" s="271" t="inlineStr">
        <x:is>
          <x:t xml:space="preserve">EN -&gt; VN</x:t>
        </x:is>
      </x:c>
      <x:c r="D10" s="271" t="inlineStr">
        <x:is>
          <x:t xml:space="preserve">Public Affairs</x:t>
        </x:is>
      </x:c>
      <x:c r="E10" s="155" t="n">
        <x:v>46184</x:v>
      </x:c>
      <x:c r="F10" s="155" t="n">
        <x:v>46186</x:v>
      </x:c>
      <x:c r="G10" s="271" t="inlineStr">
        <x:is>
          <x:t xml:space="preserve">In Progress</x:t>
        </x:is>
      </x:c>
      <x:c r="H10" s="271" t="n">
        <x:f>F10-E10</x:f>
        <x:v>2</x:v>
      </x:c>
      <x:c r="I10" s="271" t="inlineStr">
        <x:is>
          <x:t xml:space="preserve">Sample</x:t>
        </x:is>
      </x:c>
    </x:row>
    <x:row r="11">
      <x:c r="A11" s="271" t="inlineStr">
        <x:is>
          <x:t xml:space="preserve">TR-010</x:t>
        </x:is>
      </x:c>
      <x:c r="B11" s="271" t="inlineStr">
        <x:is>
          <x:t xml:space="preserve">Circular summary 10</x:t>
        </x:is>
      </x:c>
      <x:c r="C11" s="271" t="inlineStr">
        <x:is>
          <x:t xml:space="preserve">VN -&gt; EN</x:t>
        </x:is>
      </x:c>
      <x:c r="D11" s="271" t="inlineStr">
        <x:is>
          <x:t xml:space="preserve">Legal</x:t>
        </x:is>
      </x:c>
      <x:c r="E11" s="155" t="n">
        <x:v>46164</x:v>
      </x:c>
      <x:c r="F11" s="155" t="n">
        <x:v>46165</x:v>
      </x:c>
      <x:c r="G11" s="271" t="inlineStr">
        <x:is>
          <x:t xml:space="preserve">Overdue</x:t>
        </x:is>
      </x:c>
      <x:c r="H11" s="271" t="n">
        <x:f>F11-E11</x:f>
        <x:v>1</x:v>
      </x:c>
      <x:c r="I11" s="271" t="inlineStr">
        <x:is>
          <x:t xml:space="preserve">Sample</x:t>
        </x:is>
      </x:c>
    </x:row>
    <x:row r="12">
      <x:c r="A12" s="271" t="inlineStr">
        <x:is>
          <x:t xml:space="preserve">TR-011</x:t>
        </x:is>
      </x:c>
      <x:c r="B12" s="271" t="inlineStr">
        <x:is>
          <x:t xml:space="preserve">Official letter 11</x:t>
        </x:is>
      </x:c>
      <x:c r="C12" s="271" t="inlineStr">
        <x:is>
          <x:t xml:space="preserve">EN -&gt; VN</x:t>
        </x:is>
      </x:c>
      <x:c r="D12" s="271" t="inlineStr">
        <x:is>
          <x:t xml:space="preserve">Legal</x:t>
        </x:is>
      </x:c>
      <x:c r="E12" s="155" t="n">
        <x:v>46170</x:v>
      </x:c>
      <x:c r="F12" s="155" t="n">
        <x:v>46173</x:v>
      </x:c>
      <x:c r="G12" s="271" t="inlineStr">
        <x:is>
          <x:t xml:space="preserve">Done</x:t>
        </x:is>
      </x:c>
      <x:c r="H12" s="271" t="n">
        <x:f>F12-E12</x:f>
        <x:v>3</x:v>
      </x:c>
      <x:c r="I12" s="271" t="inlineStr">
        <x:is>
          <x:t xml:space="preserve">Sample</x:t>
        </x:is>
      </x:c>
    </x:row>
    <x:row r="13">
      <x:c r="A13" s="271" t="inlineStr">
        <x:is>
          <x:t xml:space="preserve">TR-012</x:t>
        </x:is>
      </x:c>
      <x:c r="B13" s="271" t="inlineStr">
        <x:is>
          <x:t xml:space="preserve">Circular summary 12</x:t>
        </x:is>
      </x:c>
      <x:c r="C13" s="271" t="inlineStr">
        <x:is>
          <x:t xml:space="preserve">VN -&gt; EN</x:t>
        </x:is>
      </x:c>
      <x:c r="D13" s="271" t="inlineStr">
        <x:is>
          <x:t xml:space="preserve">Public Affairs</x:t>
        </x:is>
      </x:c>
      <x:c r="E13" s="155" t="n">
        <x:v>46166</x:v>
      </x:c>
      <x:c r="F13" s="155" t="n">
        <x:v>46171</x:v>
      </x:c>
      <x:c r="G13" s="271" t="inlineStr">
        <x:is>
          <x:t xml:space="preserve">In Progress</x:t>
        </x:is>
      </x:c>
      <x:c r="H13" s="271" t="n">
        <x:f>F13-E13</x:f>
        <x:v>5</x:v>
      </x:c>
      <x:c r="I13" s="271" t="inlineStr">
        <x:is>
          <x:t xml:space="preserve">Sample</x:t>
        </x:is>
      </x:c>
    </x:row>
    <x:row r="14">
      <x:c r="A14" s="271" t="inlineStr">
        <x:is>
          <x:t xml:space="preserve">TR-013</x:t>
        </x:is>
      </x:c>
      <x:c r="B14" s="271" t="inlineStr">
        <x:is>
          <x:t xml:space="preserve">Circular summary 13</x:t>
        </x:is>
      </x:c>
      <x:c r="C14" s="271" t="inlineStr">
        <x:is>
          <x:t xml:space="preserve">EN -&gt; VN</x:t>
        </x:is>
      </x:c>
      <x:c r="D14" s="271" t="inlineStr">
        <x:is>
          <x:t xml:space="preserve">Legal</x:t>
        </x:is>
      </x:c>
      <x:c r="E14" s="155" t="n">
        <x:v>46165</x:v>
      </x:c>
      <x:c r="F14" s="155" t="n">
        <x:v>46166</x:v>
      </x:c>
      <x:c r="G14" s="271" t="inlineStr">
        <x:is>
          <x:t xml:space="preserve">Overdue</x:t>
        </x:is>
      </x:c>
      <x:c r="H14" s="271" t="n">
        <x:f>F14-E14</x:f>
        <x:v>1</x:v>
      </x:c>
      <x:c r="I14" s="271" t="inlineStr">
        <x:is>
          <x:t xml:space="preserve">Sample</x:t>
        </x:is>
      </x:c>
    </x:row>
    <x:row r="15">
      <x:c r="A15" s="271" t="inlineStr">
        <x:is>
          <x:t xml:space="preserve">TR-014</x:t>
        </x:is>
      </x:c>
      <x:c r="B15" s="271" t="inlineStr">
        <x:is>
          <x:t xml:space="preserve">Regional report 14</x:t>
        </x:is>
      </x:c>
      <x:c r="C15" s="271" t="inlineStr">
        <x:is>
          <x:t xml:space="preserve">EN -&gt; VN</x:t>
        </x:is>
      </x:c>
      <x:c r="D15" s="271" t="inlineStr">
        <x:is>
          <x:t xml:space="preserve">Legal</x:t>
        </x:is>
      </x:c>
      <x:c r="E15" s="155" t="n">
        <x:v>46169</x:v>
      </x:c>
      <x:c r="F15" s="155" t="n">
        <x:v>46174</x:v>
      </x:c>
      <x:c r="G15" s="271" t="inlineStr">
        <x:is>
          <x:t xml:space="preserve">In Progress</x:t>
        </x:is>
      </x:c>
      <x:c r="H15" s="271" t="n">
        <x:f>F15-E15</x:f>
        <x:v>5</x:v>
      </x:c>
      <x:c r="I15" s="271" t="inlineStr">
        <x:is>
          <x:t xml:space="preserve">Sample</x:t>
        </x:is>
      </x:c>
    </x:row>
    <x:row r="16">
      <x:c r="A16" s="271" t="inlineStr">
        <x:is>
          <x:t xml:space="preserve">TR-015</x:t>
        </x:is>
      </x:c>
      <x:c r="B16" s="271" t="inlineStr">
        <x:is>
          <x:t xml:space="preserve">Meeting note 15</x:t>
        </x:is>
      </x:c>
      <x:c r="C16" s="271" t="inlineStr">
        <x:is>
          <x:t xml:space="preserve">EN -&gt; VN</x:t>
        </x:is>
      </x:c>
      <x:c r="D16" s="271" t="inlineStr">
        <x:is>
          <x:t xml:space="preserve">Public Affairs</x:t>
        </x:is>
      </x:c>
      <x:c r="E16" s="155" t="n">
        <x:v>46168</x:v>
      </x:c>
      <x:c r="F16" s="155" t="n">
        <x:v>46169</x:v>
      </x:c>
      <x:c r="G16" s="271" t="inlineStr">
        <x:is>
          <x:t xml:space="preserve">Done</x:t>
        </x:is>
      </x:c>
      <x:c r="H16" s="271" t="n">
        <x:f>F16-E16</x:f>
        <x:v>1</x:v>
      </x:c>
      <x:c r="I16" s="271" t="inlineStr">
        <x:is>
          <x:t xml:space="preserve">Sample</x:t>
        </x:is>
      </x:c>
    </x:row>
    <x:row r="17">
      <x:c r="A17" s="271" t="inlineStr">
        <x:is>
          <x:t xml:space="preserve">TR-016</x:t>
        </x:is>
      </x:c>
      <x:c r="B17" s="271" t="inlineStr">
        <x:is>
          <x:t xml:space="preserve">Product dossier 16</x:t>
        </x:is>
      </x:c>
      <x:c r="C17" s="271" t="inlineStr">
        <x:is>
          <x:t xml:space="preserve">EN -&gt; VN</x:t>
        </x:is>
      </x:c>
      <x:c r="D17" s="271" t="inlineStr">
        <x:is>
          <x:t xml:space="preserve">Public Affairs</x:t>
        </x:is>
      </x:c>
      <x:c r="E17" s="155" t="n">
        <x:v>46166</x:v>
      </x:c>
      <x:c r="F17" s="155" t="n">
        <x:v>46170</x:v>
      </x:c>
      <x:c r="G17" s="271" t="inlineStr">
        <x:is>
          <x:t xml:space="preserve">In Progress</x:t>
        </x:is>
      </x:c>
      <x:c r="H17" s="271" t="n">
        <x:f>F17-E17</x:f>
        <x:v>4</x:v>
      </x:c>
      <x:c r="I17" s="271" t="inlineStr">
        <x:is>
          <x:t xml:space="preserve">Sample</x:t>
        </x:is>
      </x:c>
    </x:row>
    <x:row r="18">
      <x:c r="A18" s="271" t="inlineStr">
        <x:is>
          <x:t xml:space="preserve">TR-017</x:t>
        </x:is>
      </x:c>
      <x:c r="B18" s="271" t="inlineStr">
        <x:is>
          <x:t xml:space="preserve">Circular summary 17</x:t>
        </x:is>
      </x:c>
      <x:c r="C18" s="271" t="inlineStr">
        <x:is>
          <x:t xml:space="preserve">VN -&gt; EN</x:t>
        </x:is>
      </x:c>
      <x:c r="D18" s="271" t="inlineStr">
        <x:is>
          <x:t xml:space="preserve">Public Affairs</x:t>
        </x:is>
      </x:c>
      <x:c r="E18" s="155" t="n">
        <x:v>46172</x:v>
      </x:c>
      <x:c r="F18" s="155" t="n">
        <x:v>46177</x:v>
      </x:c>
      <x:c r="G18" s="271" t="inlineStr">
        <x:is>
          <x:t xml:space="preserve">Done</x:t>
        </x:is>
      </x:c>
      <x:c r="H18" s="271" t="n">
        <x:f>F18-E18</x:f>
        <x:v>5</x:v>
      </x:c>
      <x:c r="I18" s="271" t="inlineStr">
        <x:is>
          <x:t xml:space="preserve">Sample</x:t>
        </x:is>
      </x:c>
    </x:row>
    <x:row r="19">
      <x:c r="A19" s="271" t="inlineStr">
        <x:is>
          <x:t xml:space="preserve">TR-018</x:t>
        </x:is>
      </x:c>
      <x:c r="B19" s="271" t="inlineStr">
        <x:is>
          <x:t xml:space="preserve">Official letter 18</x:t>
        </x:is>
      </x:c>
      <x:c r="C19" s="271" t="inlineStr">
        <x:is>
          <x:t xml:space="preserve">EN -&gt; VN</x:t>
        </x:is>
      </x:c>
      <x:c r="D19" s="271" t="inlineStr">
        <x:is>
          <x:t xml:space="preserve">Legal</x:t>
        </x:is>
      </x:c>
      <x:c r="E19" s="155" t="n">
        <x:v>46178</x:v>
      </x:c>
      <x:c r="F19" s="155" t="n">
        <x:v>46185</x:v>
      </x:c>
      <x:c r="G19" s="271" t="inlineStr">
        <x:is>
          <x:t xml:space="preserve">Done</x:t>
        </x:is>
      </x:c>
      <x:c r="H19" s="271" t="n">
        <x:f>F19-E19</x:f>
        <x:v>7</x:v>
      </x:c>
      <x:c r="I19" s="271" t="inlineStr">
        <x:is>
          <x:t xml:space="preserve">Sample</x:t>
        </x:is>
      </x:c>
    </x:row>
    <x:row r="20">
      <x:c r="A20" s="271" t="inlineStr">
        <x:is>
          <x:t xml:space="preserve">TR-019</x:t>
        </x:is>
      </x:c>
      <x:c r="B20" s="271" t="inlineStr">
        <x:is>
          <x:t xml:space="preserve">Regional report 19</x:t>
        </x:is>
      </x:c>
      <x:c r="C20" s="271" t="inlineStr">
        <x:is>
          <x:t xml:space="preserve">EN -&gt; VN</x:t>
        </x:is>
      </x:c>
      <x:c r="D20" s="271" t="inlineStr">
        <x:is>
          <x:t xml:space="preserve">Public Affairs</x:t>
        </x:is>
      </x:c>
      <x:c r="E20" s="155" t="n">
        <x:v>46181</x:v>
      </x:c>
      <x:c r="F20" s="155" t="n">
        <x:v>46182</x:v>
      </x:c>
      <x:c r="G20" s="271" t="inlineStr">
        <x:is>
          <x:t xml:space="preserve">In Progress</x:t>
        </x:is>
      </x:c>
      <x:c r="H20" s="271" t="n">
        <x:f>F20-E20</x:f>
        <x:v>1</x:v>
      </x:c>
      <x:c r="I20" s="271" t="inlineStr">
        <x:is>
          <x:t xml:space="preserve">Sample</x:t>
        </x:is>
      </x:c>
    </x:row>
    <x:row r="21">
      <x:c r="A21" s="271" t="inlineStr">
        <x:is>
          <x:t xml:space="preserve">TR-020</x:t>
        </x:is>
      </x:c>
      <x:c r="B21" s="271" t="inlineStr">
        <x:is>
          <x:t xml:space="preserve">Official letter 20</x:t>
        </x:is>
      </x:c>
      <x:c r="C21" s="271" t="inlineStr">
        <x:is>
          <x:t xml:space="preserve">EN -&gt; VN</x:t>
        </x:is>
      </x:c>
      <x:c r="D21" s="271" t="inlineStr">
        <x:is>
          <x:t xml:space="preserve">Public Affairs</x:t>
        </x:is>
      </x:c>
      <x:c r="E21" s="155" t="n">
        <x:v>46172</x:v>
      </x:c>
      <x:c r="F21" s="155" t="n">
        <x:v>46177</x:v>
      </x:c>
      <x:c r="G21" s="271" t="inlineStr">
        <x:is>
          <x:t xml:space="preserve">Overdue</x:t>
        </x:is>
      </x:c>
      <x:c r="H21" s="271" t="n">
        <x:f>F21-E21</x:f>
        <x:v>5</x:v>
      </x:c>
      <x:c r="I21" s="271" t="inlineStr">
        <x:is>
          <x:t xml:space="preserve">Sample</x:t>
        </x:is>
      </x:c>
    </x:row>
  </x:sheetData>
  <x:dataValidations count="2">
    <x:dataValidation type="list" allowBlank="0" showDropDown="0" showInputMessage="0" showErrorMessage="0" sqref="G2:G21">
      <x:formula1>"On Track,Due Soon,Overdue,Submitted,Approved,In Review,Drafting,Waiting Internal Input"</x:formula1>
    </x:dataValidation>
    <x:dataValidation type="list" allowBlank="0" showDropDown="0" showInputMessage="0" showErrorMessage="0" sqref="G2:G200">
      <x:formula1>"On Track,Due Soon,Overdue,Submitted,Approved,In Review,Drafting,Waiting Internal Input,Open,Closed,In Progress,Blocked,Pending,Done,Not Started"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49cc4f04994687"/>
  </x:tableParts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51" t="inlineStr">
        <x:is>
          <x:t xml:space="preserve">Status</x:t>
        </x:is>
      </x:c>
      <x:c r="B1" s="120" t="inlineStr">
        <x:is>
          <x:t xml:space="preserve">Priority</x:t>
        </x:is>
      </x:c>
      <x:c r="C1" s="120" t="inlineStr">
        <x:is>
          <x:t xml:space="preserve">Risk Level</x:t>
        </x:is>
      </x:c>
      <x:c r="D1" s="120" t="inlineStr">
        <x:is>
          <x:t xml:space="preserve">Document Type</x:t>
        </x:is>
      </x:c>
      <x:c r="E1" s="120" t="inlineStr">
        <x:is>
          <x:t xml:space="preserve">Direction</x:t>
        </x:is>
      </x:c>
      <x:c r="F1" s="120" t="inlineStr">
        <x:is>
          <x:t xml:space="preserve">Escalation Level</x:t>
        </x:is>
      </x:c>
      <x:c r="G1" s="271" t="n"/>
      <x:c r="H1" s="271" t="n"/>
      <x:c r="I1" s="271" t="n"/>
      <x:c r="J1" s="271" t="n"/>
      <x:c r="K1" s="271" t="n"/>
      <x:c r="L1" s="271" t="n"/>
      <x:c r="M1" s="271" t="n"/>
      <x:c r="N1" s="271" t="n"/>
      <x:c r="O1" s="271" t="n"/>
      <x:c r="P1" s="271" t="n"/>
      <x:c r="Q1" s="271" t="n"/>
      <x:c r="R1" s="271" t="n"/>
      <x:c r="S1" s="271" t="n"/>
      <x:c r="T1" s="271" t="n"/>
      <x:c r="U1" s="271" t="n"/>
      <x:c r="V1" s="271" t="n"/>
      <x:c r="W1" s="271" t="n"/>
      <x:c r="X1" s="271" t="n"/>
      <x:c r="Y1" s="271" t="n"/>
      <x:c r="Z1" s="271" t="n"/>
    </x:row>
    <x:row r="2">
      <x:c r="A2" s="271" t="inlineStr">
        <x:is>
          <x:t xml:space="preserve">On Track</x:t>
        </x:is>
      </x:c>
      <x:c r="B2" s="271" t="inlineStr">
        <x:is>
          <x:t xml:space="preserve">Critical</x:t>
        </x:is>
      </x:c>
      <x:c r="C2" s="271" t="inlineStr">
        <x:is>
          <x:t xml:space="preserve">Critical</x:t>
        </x:is>
      </x:c>
      <x:c r="D2" s="271" t="inlineStr">
        <x:is>
          <x:t xml:space="preserve">Report</x:t>
        </x:is>
      </x:c>
      <x:c r="E2" s="271" t="inlineStr">
        <x:is>
          <x:t xml:space="preserve">Incoming</x:t>
        </x:is>
      </x:c>
      <x:c r="F2" s="271" t="inlineStr">
        <x:is>
          <x:t xml:space="preserve">Level 0</x:t>
        </x:is>
      </x:c>
    </x:row>
    <x:row r="3">
      <x:c r="A3" s="271" t="inlineStr">
        <x:is>
          <x:t xml:space="preserve">Due Soon</x:t>
        </x:is>
      </x:c>
      <x:c r="B3" s="271" t="inlineStr">
        <x:is>
          <x:t xml:space="preserve">High</x:t>
        </x:is>
      </x:c>
      <x:c r="C3" s="271" t="inlineStr">
        <x:is>
          <x:t xml:space="preserve">High</x:t>
        </x:is>
      </x:c>
      <x:c r="D3" s="271" t="inlineStr">
        <x:is>
          <x:t xml:space="preserve">Official Letter</x:t>
        </x:is>
      </x:c>
      <x:c r="E3" s="271" t="inlineStr">
        <x:is>
          <x:t xml:space="preserve">Outgoing</x:t>
        </x:is>
      </x:c>
      <x:c r="F3" s="271" t="inlineStr">
        <x:is>
          <x:t xml:space="preserve">Level 1</x:t>
        </x:is>
      </x:c>
    </x:row>
    <x:row r="4">
      <x:c r="A4" s="271" t="inlineStr">
        <x:is>
          <x:t xml:space="preserve">Overdue</x:t>
        </x:is>
      </x:c>
      <x:c r="B4" s="271" t="inlineStr">
        <x:is>
          <x:t xml:space="preserve">Medium</x:t>
        </x:is>
      </x:c>
      <x:c r="C4" s="271" t="inlineStr">
        <x:is>
          <x:t xml:space="preserve">Medium</x:t>
        </x:is>
      </x:c>
      <x:c r="D4" s="271" t="inlineStr">
        <x:is>
          <x:t xml:space="preserve">Product Dossier</x:t>
        </x:is>
      </x:c>
      <x:c r="E4" s="271" t="inlineStr">
        <x:is>
          <x:t xml:space="preserve">Internal</x:t>
        </x:is>
      </x:c>
      <x:c r="F4" s="271" t="inlineStr">
        <x:is>
          <x:t xml:space="preserve">Level 2</x:t>
        </x:is>
      </x:c>
    </x:row>
    <x:row r="5">
      <x:c r="A5" s="271" t="inlineStr">
        <x:is>
          <x:t xml:space="preserve">Submitted</x:t>
        </x:is>
      </x:c>
      <x:c r="B5" s="271" t="inlineStr">
        <x:is>
          <x:t xml:space="preserve">Low</x:t>
        </x:is>
      </x:c>
      <x:c r="C5" s="271" t="inlineStr">
        <x:is>
          <x:t xml:space="preserve">Low</x:t>
        </x:is>
      </x:c>
      <x:c r="D5" s="271" t="inlineStr">
        <x:is>
          <x:t xml:space="preserve">Approval Request</x:t>
        </x:is>
      </x:c>
      <x:c r="E5" s="271" t="inlineStr">
        <x:is>
          <x:t xml:space="preserve">RO Reporting</x:t>
        </x:is>
      </x:c>
      <x:c r="F5" s="271" t="inlineStr">
        <x:is>
          <x:t xml:space="preserve">Level 3</x:t>
        </x:is>
      </x:c>
    </x:row>
    <x:row r="6">
      <x:c r="A6" s="271" t="inlineStr">
        <x:is>
          <x:t xml:space="preserve">Approved</x:t>
        </x:is>
      </x:c>
      <x:c r="B6" s="271" t="n"/>
      <x:c r="C6" s="271" t="n"/>
      <x:c r="D6" s="271" t="inlineStr">
        <x:is>
          <x:t xml:space="preserve">Meeting Brief</x:t>
        </x:is>
      </x:c>
      <x:c r="E6" s="271" t="n"/>
      <x:c r="F6" s="271" t="n"/>
    </x:row>
    <x:row r="7">
      <x:c r="A7" s="271" t="inlineStr">
        <x:is>
          <x:t xml:space="preserve">In Review</x:t>
        </x:is>
      </x:c>
      <x:c r="B7" s="271" t="n"/>
      <x:c r="C7" s="271" t="n"/>
      <x:c r="D7" s="271" t="inlineStr">
        <x:is>
          <x:t xml:space="preserve">Translation</x:t>
        </x:is>
      </x:c>
      <x:c r="E7" s="271" t="n"/>
      <x:c r="F7" s="271" t="n"/>
    </x:row>
    <x:row r="8">
      <x:c r="A8" s="271" t="inlineStr">
        <x:is>
          <x:t xml:space="preserve">Drafting</x:t>
        </x:is>
      </x:c>
      <x:c r="B8" s="271" t="n"/>
      <x:c r="C8" s="271" t="n"/>
      <x:c r="D8" s="271" t="inlineStr">
        <x:is>
          <x:t xml:space="preserve">Regulator Response</x:t>
        </x:is>
      </x:c>
      <x:c r="E8" s="271" t="n"/>
      <x:c r="F8" s="271" t="n"/>
    </x:row>
    <x:row r="9">
      <x:c r="A9" s="271" t="inlineStr">
        <x:is>
          <x:t xml:space="preserve">Waiting Internal Input</x:t>
        </x:is>
      </x:c>
      <x:c r="B9" s="271" t="n"/>
      <x:c r="C9" s="271" t="n"/>
      <x:c r="D9" s="271" t="inlineStr">
        <x:is>
          <x:t xml:space="preserve">Regional Office Report</x:t>
        </x:is>
      </x:c>
      <x:c r="E9" s="271" t="n"/>
      <x:c r="F9" s="271" t="n"/>
    </x:row>
    <x:row r="10">
      <x:c r="A10" s="271" t="inlineStr">
        <x:is>
          <x:t xml:space="preserve">Open</x:t>
        </x:is>
      </x:c>
      <x:c r="B10" s="271" t="n"/>
      <x:c r="C10" s="271" t="n"/>
      <x:c r="D10" s="271" t="inlineStr">
        <x:is>
          <x:t xml:space="preserve">Other</x:t>
        </x:is>
      </x:c>
      <x:c r="E10" s="271" t="n"/>
      <x:c r="F10" s="271" t="n"/>
    </x:row>
    <x:row r="11">
      <x:c r="A11" s="271" t="inlineStr">
        <x:is>
          <x:t xml:space="preserve">Closed</x:t>
        </x:is>
      </x:c>
      <x:c r="B11" s="271" t="n"/>
      <x:c r="C11" s="271" t="n"/>
      <x:c r="D11" s="271" t="n"/>
      <x:c r="E11" s="271" t="n"/>
      <x:c r="F11" s="271" t="n"/>
    </x:row>
    <x:row r="12">
      <x:c r="A12" s="271" t="inlineStr">
        <x:is>
          <x:t xml:space="preserve">In Progress</x:t>
        </x:is>
      </x:c>
      <x:c r="B12" s="271" t="n"/>
      <x:c r="C12" s="271" t="n"/>
      <x:c r="D12" s="271" t="n"/>
      <x:c r="E12" s="271" t="n"/>
      <x:c r="F12" s="271" t="n"/>
    </x:row>
    <x:row r="13">
      <x:c r="A13" s="271" t="n"/>
      <x:c r="B13" s="271" t="n"/>
      <x:c r="C13" s="271" t="n"/>
      <x:c r="D13" s="271" t="n"/>
      <x:c r="E13" s="271" t="n"/>
      <x:c r="F13" s="271" t="n"/>
    </x:row>
    <x:row r="14">
      <x:c r="A14" s="151" t="inlineStr">
        <x:is>
          <x:t xml:space="preserve">Priority</x:t>
        </x:is>
      </x:c>
      <x:c r="B14" s="271" t="n"/>
      <x:c r="C14" s="271" t="n"/>
      <x:c r="D14" s="271" t="n"/>
      <x:c r="E14" s="271" t="n"/>
      <x:c r="F14" s="271" t="n"/>
    </x:row>
    <x:row r="15">
      <x:c r="A15" s="271" t="inlineStr">
        <x:is>
          <x:t xml:space="preserve">Critical</x:t>
        </x:is>
      </x:c>
      <x:c r="B15" s="271" t="n"/>
      <x:c r="C15" s="271" t="n"/>
      <x:c r="D15" s="271" t="n"/>
      <x:c r="E15" s="271" t="n"/>
      <x:c r="F15" s="271" t="n"/>
    </x:row>
    <x:row r="16">
      <x:c r="A16" s="271" t="inlineStr">
        <x:is>
          <x:t xml:space="preserve">High</x:t>
        </x:is>
      </x:c>
      <x:c r="B16" s="271" t="n"/>
      <x:c r="C16" s="271" t="n"/>
      <x:c r="D16" s="271" t="n"/>
      <x:c r="E16" s="271" t="n"/>
      <x:c r="F16" s="271" t="n"/>
    </x:row>
    <x:row r="17">
      <x:c r="A17" s="271" t="inlineStr">
        <x:is>
          <x:t xml:space="preserve">Medium</x:t>
        </x:is>
      </x:c>
      <x:c r="B17" s="271" t="n"/>
      <x:c r="C17" s="271" t="n"/>
      <x:c r="D17" s="271" t="n"/>
      <x:c r="E17" s="271" t="n"/>
      <x:c r="F17" s="271" t="n"/>
    </x:row>
    <x:row r="18">
      <x:c r="A18" s="271" t="inlineStr">
        <x:is>
          <x:t xml:space="preserve">Low</x:t>
        </x:is>
      </x:c>
      <x:c r="B18" s="271" t="n"/>
      <x:c r="C18" s="271" t="n"/>
      <x:c r="D18" s="271" t="n"/>
      <x:c r="E18" s="271" t="n"/>
      <x:c r="F18" s="271" t="n"/>
    </x:row>
    <x:row r="19">
      <x:c r="A19" s="271" t="n"/>
      <x:c r="B19" s="271" t="n"/>
      <x:c r="C19" s="271" t="n"/>
      <x:c r="D19" s="271" t="n"/>
      <x:c r="E19" s="271" t="n"/>
      <x:c r="F19" s="271" t="n"/>
    </x:row>
    <x:row r="20">
      <x:c r="A20" s="151" t="inlineStr">
        <x:is>
          <x:t xml:space="preserve">Regulators</x:t>
        </x:is>
      </x:c>
      <x:c r="B20" s="271" t="n"/>
      <x:c r="C20" s="271" t="n"/>
      <x:c r="D20" s="271" t="n"/>
      <x:c r="E20" s="271" t="n"/>
      <x:c r="F20" s="271" t="n"/>
    </x:row>
    <x:row r="21">
      <x:c r="A21" s="271" t="inlineStr">
        <x:is>
          <x:t xml:space="preserve">MOF</x:t>
        </x:is>
      </x:c>
      <x:c r="B21" s="271" t="n"/>
      <x:c r="C21" s="271" t="n"/>
      <x:c r="D21" s="271" t="n"/>
      <x:c r="E21" s="271" t="n"/>
      <x:c r="F21" s="271" t="n"/>
    </x:row>
    <x:row r="22">
      <x:c r="A22" s="271" t="inlineStr">
        <x:is>
          <x:t xml:space="preserve">ISA</x:t>
        </x:is>
      </x:c>
      <x:c r="B22" s="271" t="n"/>
      <x:c r="C22" s="271" t="n"/>
      <x:c r="D22" s="271" t="n"/>
      <x:c r="E22" s="271" t="n"/>
      <x:c r="F22" s="271" t="n"/>
    </x:row>
    <x:row r="23">
      <x:c r="A23" s="271" t="inlineStr">
        <x:is>
          <x:t xml:space="preserve">IAV</x:t>
        </x:is>
      </x:c>
      <x:c r="B23" s="271" t="n"/>
      <x:c r="C23" s="271" t="n"/>
      <x:c r="D23" s="271" t="n"/>
      <x:c r="E23" s="271" t="n"/>
      <x:c r="F23" s="271" t="n"/>
    </x:row>
    <x:row r="24">
      <x:c r="A24" s="271" t="inlineStr">
        <x:is>
          <x:t xml:space="preserve">SBV</x:t>
        </x:is>
      </x:c>
      <x:c r="B24" s="271" t="n"/>
      <x:c r="C24" s="271" t="n"/>
      <x:c r="D24" s="271" t="n"/>
      <x:c r="E24" s="271" t="n"/>
      <x:c r="F24" s="271" t="n"/>
    </x:row>
    <x:row r="25">
      <x:c r="A25" s="271" t="inlineStr">
        <x:is>
          <x:t xml:space="preserve">MIC</x:t>
        </x:is>
      </x:c>
      <x:c r="B25" s="271" t="n"/>
      <x:c r="C25" s="271" t="n"/>
      <x:c r="D25" s="271" t="n"/>
      <x:c r="E25" s="271" t="n"/>
      <x:c r="F25" s="271" t="n"/>
    </x:row>
    <x:row r="26">
      <x:c r="A26" s="271" t="inlineStr">
        <x:is>
          <x:t xml:space="preserve">VCA</x:t>
        </x:is>
      </x:c>
      <x:c r="B26" s="271" t="n"/>
      <x:c r="C26" s="271" t="n"/>
      <x:c r="D26" s="271" t="n"/>
      <x:c r="E26" s="271" t="n"/>
      <x:c r="F26" s="271" t="n"/>
    </x:row>
    <x:row r="27">
      <x:c r="A27" s="271" t="inlineStr">
        <x:is>
          <x:t xml:space="preserve">Regional Office</x:t>
        </x:is>
      </x:c>
      <x:c r="B27" s="271" t="n"/>
      <x:c r="C27" s="271" t="n"/>
      <x:c r="D27" s="271" t="n"/>
      <x:c r="E27" s="271" t="n"/>
      <x:c r="F27" s="271" t="n"/>
    </x:row>
    <x:row r="28">
      <x:c r="A28" s="271" t="n"/>
      <x:c r="B28" s="271" t="n"/>
      <x:c r="C28" s="271" t="n"/>
      <x:c r="D28" s="271" t="n"/>
      <x:c r="E28" s="271" t="n"/>
      <x:c r="F28" s="271" t="n"/>
    </x:row>
    <x:row r="29">
      <x:c r="A29" s="151" t="inlineStr">
        <x:is>
          <x:t xml:space="preserve">Departments</x:t>
        </x:is>
      </x:c>
      <x:c r="B29" s="271" t="n"/>
      <x:c r="C29" s="271" t="n"/>
      <x:c r="D29" s="271" t="n"/>
      <x:c r="E29" s="271" t="n"/>
      <x:c r="F29" s="271" t="n"/>
    </x:row>
    <x:row r="30">
      <x:c r="A30" s="271" t="inlineStr">
        <x:is>
          <x:t xml:space="preserve">Legal</x:t>
        </x:is>
      </x:c>
      <x:c r="B30" s="271" t="n"/>
      <x:c r="C30" s="271" t="n"/>
      <x:c r="D30" s="271" t="n"/>
      <x:c r="E30" s="271" t="n"/>
      <x:c r="F30" s="271" t="n"/>
    </x:row>
    <x:row r="31">
      <x:c r="A31" s="271" t="inlineStr">
        <x:is>
          <x:t xml:space="preserve">Compliance</x:t>
        </x:is>
      </x:c>
      <x:c r="B31" s="271" t="n"/>
      <x:c r="C31" s="271" t="n"/>
      <x:c r="D31" s="271" t="n"/>
      <x:c r="E31" s="271" t="n"/>
      <x:c r="F31" s="271" t="n"/>
    </x:row>
    <x:row r="32">
      <x:c r="A32" s="271" t="inlineStr">
        <x:is>
          <x:t xml:space="preserve">Finance</x:t>
        </x:is>
      </x:c>
      <x:c r="B32" s="271" t="n"/>
      <x:c r="C32" s="271" t="n"/>
      <x:c r="D32" s="271" t="n"/>
      <x:c r="E32" s="271" t="n"/>
      <x:c r="F32" s="271" t="n"/>
    </x:row>
    <x:row r="33">
      <x:c r="A33" s="271" t="inlineStr">
        <x:is>
          <x:t xml:space="preserve">Product</x:t>
        </x:is>
      </x:c>
      <x:c r="B33" s="271" t="n"/>
      <x:c r="C33" s="271" t="n"/>
      <x:c r="D33" s="271" t="n"/>
      <x:c r="E33" s="271" t="n"/>
      <x:c r="F33" s="271" t="n"/>
    </x:row>
    <x:row r="34">
      <x:c r="A34" s="271" t="inlineStr">
        <x:is>
          <x:t xml:space="preserve">Agency</x:t>
        </x:is>
      </x:c>
      <x:c r="B34" s="271" t="n"/>
      <x:c r="C34" s="271" t="n"/>
      <x:c r="D34" s="271" t="n"/>
      <x:c r="E34" s="271" t="n"/>
      <x:c r="F34" s="271" t="n"/>
    </x:row>
    <x:row r="35">
      <x:c r="A35" s="271" t="inlineStr">
        <x:is>
          <x:t xml:space="preserve">Bancassurance</x:t>
        </x:is>
      </x:c>
      <x:c r="B35" s="271" t="n"/>
      <x:c r="C35" s="271" t="n"/>
      <x:c r="D35" s="271" t="n"/>
      <x:c r="E35" s="271" t="n"/>
      <x:c r="F35" s="271" t="n"/>
    </x:row>
    <x:row r="36">
      <x:c r="A36" s="271" t="inlineStr">
        <x:is>
          <x:t xml:space="preserve">Operations</x:t>
        </x:is>
      </x:c>
      <x:c r="B36" s="271" t="n"/>
      <x:c r="C36" s="271" t="n"/>
      <x:c r="D36" s="271" t="n"/>
      <x:c r="E36" s="271" t="n"/>
      <x:c r="F36" s="271" t="n"/>
    </x:row>
    <x:row r="37">
      <x:c r="A37" s="271" t="inlineStr">
        <x:is>
          <x:t xml:space="preserve">CEO Office</x:t>
        </x:is>
      </x:c>
      <x:c r="B37" s="271" t="n"/>
      <x:c r="C37" s="271" t="n"/>
      <x:c r="D37" s="271" t="n"/>
      <x:c r="E37" s="271" t="n"/>
      <x:c r="F37" s="271" t="n"/>
    </x:row>
    <x:row r="38">
      <x:c r="A38" s="271" t="inlineStr">
        <x:is>
          <x:t xml:space="preserve">Public Affairs</x:t>
        </x:is>
      </x:c>
      <x:c r="B38" s="271" t="n"/>
      <x:c r="C38" s="271" t="n"/>
      <x:c r="D38" s="271" t="n"/>
      <x:c r="E38" s="271" t="n"/>
      <x:c r="F38" s="271" t="n"/>
    </x:row>
    <x:row r="39">
      <x:c r="A39" s="271" t="inlineStr">
        <x:is>
          <x:t xml:space="preserve">Risk</x:t>
        </x:is>
      </x:c>
      <x:c r="B39" s="271" t="n"/>
      <x:c r="C39" s="271" t="n"/>
      <x:c r="D39" s="271" t="n"/>
      <x:c r="E39" s="271" t="n"/>
      <x:c r="F39" s="271" t="n"/>
    </x:row>
    <x:row r="40">
      <x:c r="A40" s="271" t="n"/>
      <x:c r="B40" s="271" t="n"/>
      <x:c r="C40" s="271" t="n"/>
      <x:c r="D40" s="271" t="n"/>
      <x:c r="E40" s="271" t="n"/>
      <x:c r="F40" s="271" t="n"/>
    </x:row>
    <x:row r="41">
      <x:c r="A41" s="271" t="n"/>
      <x:c r="B41" s="271" t="n"/>
      <x:c r="C41" s="271" t="n"/>
      <x:c r="D41" s="271" t="n"/>
      <x:c r="E41" s="271" t="n"/>
      <x:c r="F41" s="271" t="n"/>
    </x:row>
    <x:row r="42">
      <x:c r="A42" s="271" t="n"/>
      <x:c r="B42" s="271" t="n"/>
      <x:c r="C42" s="271" t="n"/>
      <x:c r="D42" s="271" t="n"/>
      <x:c r="E42" s="271" t="n"/>
      <x:c r="F42" s="271" t="n"/>
    </x:row>
    <x:row r="43">
      <x:c r="A43" s="271" t="n"/>
      <x:c r="B43" s="271" t="n"/>
      <x:c r="C43" s="271" t="n"/>
      <x:c r="D43" s="271" t="n"/>
      <x:c r="E43" s="271" t="n"/>
      <x:c r="F43" s="271" t="n"/>
    </x:row>
    <x:row r="44">
      <x:c r="A44" s="271" t="n"/>
      <x:c r="B44" s="271" t="n"/>
      <x:c r="C44" s="271" t="n"/>
      <x:c r="D44" s="271" t="n"/>
      <x:c r="E44" s="271" t="n"/>
      <x:c r="F44" s="271" t="n"/>
    </x:row>
    <x:row r="45">
      <x:c r="A45" s="271" t="n"/>
      <x:c r="B45" s="271" t="n"/>
      <x:c r="C45" s="271" t="n"/>
      <x:c r="D45" s="271" t="n"/>
      <x:c r="E45" s="271" t="n"/>
      <x:c r="F45" s="271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0" style="265" customWidth="1"/>
    <x:col min="2" max="2" width="24" style="265" customWidth="1"/>
    <x:col min="3" max="3" width="32" style="265" customWidth="1"/>
    <x:col min="4" max="4" width="20.860000610351562" style="265" customWidth="1"/>
    <x:col min="5" max="5" width="14.130000114440918" style="265" customWidth="1"/>
    <x:col min="6" max="6" width="9.149999618530273" style="265" customWidth="1"/>
    <x:col min="7" max="7" width="7.269999980926514" style="265" customWidth="1"/>
    <x:col min="8" max="8" width="11.170000076293945" style="265" customWidth="1"/>
    <x:col min="9" max="9" width="6.730000019073486" style="265" customWidth="1"/>
    <x:col min="10" max="10" width="34" style="265" customWidth="1"/>
    <x:col min="11" max="11" width="8.210000038146973" style="265" customWidth="1"/>
    <x:col min="12" max="12" width="36" style="265" customWidth="1"/>
  </x:cols>
  <x:sheetData>
    <x:row r="1">
      <x:c r="A1" s="127" t="inlineStr">
        <x:is>
          <x:t xml:space="preserve">Daily Work Control Tower - Manulife VN Regulatory &amp; Public Affairs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</x:row>
    <x:row r="3">
      <x:c r="A3" s="178" t="inlineStr">
        <x:is>
          <x:t xml:space="preserve">KPI</x:t>
        </x:is>
      </x:c>
      <x:c r="B3" s="178" t="inlineStr">
        <x:is>
          <x:t xml:space="preserve">Formula / Source</x:t>
        </x:is>
      </x:c>
      <x:c r="C3" s="178" t="inlineStr">
        <x:is>
          <x:t xml:space="preserve">Value</x:t>
        </x:is>
      </x:c>
      <x:c r="D3" s="178" t="inlineStr">
        <x:is>
          <x:t xml:space="preserve">Interpretation</x:t>
        </x:is>
      </x:c>
    </x:row>
    <x:row r="4">
      <x:c r="A4" t="inlineStr">
        <x:is>
          <x:t xml:space="preserve">Reports due this week</x:t>
        </x:is>
      </x:c>
      <x:c r="B4" t="inlineStr">
        <x:is>
          <x:t xml:space="preserve">Regulatory calendar due within 7 days</x:t>
        </x:is>
      </x:c>
      <x:c r="C4" s="182" t="n">
        <x:f>COUNTIFS(Regulatory_Calendar!F:F,"&gt;="&amp;TODAY(),Regulatory_Calendar!F:F,"&lt;="&amp;TODAY()+7)</x:f>
        <x:v>2</x:v>
      </x:c>
      <x:c r="D4" t="inlineStr">
        <x:is>
          <x:t xml:space="preserve">Short-term workload</x:t>
        </x:is>
      </x:c>
    </x:row>
    <x:row r="5">
      <x:c r="A5" t="inlineStr">
        <x:is>
          <x:t xml:space="preserve">Overdue regulatory items</x:t>
        </x:is>
      </x:c>
      <x:c r="B5" t="inlineStr">
        <x:is>
          <x:t xml:space="preserve">Calendar + submissions overdue</x:t>
        </x:is>
      </x:c>
      <x:c r="C5" s="182" t="n">
        <x:f>COUNTIF(Regulatory_Calendar!H:H,"Overdue")+COUNTIF(Submission_Tracker!I:I,"Overdue")</x:f>
        <x:v>8</x:v>
      </x:c>
      <x:c r="D5" t="inlineStr">
        <x:is>
          <x:t xml:space="preserve">Immediate escalation</x:t>
        </x:is>
      </x:c>
    </x:row>
    <x:row r="6">
      <x:c r="A6" t="inlineStr">
        <x:is>
          <x:t xml:space="preserve">Pending MOF / ISA submissions</x:t>
        </x:is>
      </x:c>
      <x:c r="B6" t="inlineStr">
        <x:is>
          <x:t xml:space="preserve">Not yet submitted to MOF or ISA</x:t>
        </x:is>
      </x:c>
      <x:c r="C6" s="182" t="n">
        <x:f>COUNTIFS(Submission_Tracker!C:C,"MOF",Submission_Tracker!I:I,"&lt;&gt;Submitted")+COUNTIFS(Submission_Tracker!C:C,"ISA",Submission_Tracker!I:I,"&lt;&gt;Submitted")</x:f>
        <x:v>20</x:v>
      </x:c>
      <x:c r="D6" t="inlineStr">
        <x:is>
          <x:t xml:space="preserve">Key regulator workload</x:t>
        </x:is>
      </x:c>
    </x:row>
    <x:row r="7">
      <x:c r="A7" t="inlineStr">
        <x:is>
          <x:t xml:space="preserve">Open regulator follow-ups</x:t>
        </x:is>
      </x:c>
      <x:c r="B7" t="inlineStr">
        <x:is>
          <x:t xml:space="preserve">Regulator interaction status open</x:t>
        </x:is>
      </x:c>
      <x:c r="C7" s="182" t="n">
        <x:f>COUNTIF(Regulator_Interactions!K:K,"Open")+COUNTIF(Regulator_Interactions!K:K,"In Progress")</x:f>
        <x:v>31</x:v>
      </x:c>
      <x:c r="D7" t="inlineStr">
        <x:is>
          <x:t xml:space="preserve">Relationship management</x:t>
        </x:is>
      </x:c>
    </x:row>
    <x:row r="8">
      <x:c r="A8" t="inlineStr">
        <x:is>
          <x:t xml:space="preserve">Upcoming regulator meetings</x:t>
        </x:is>
      </x:c>
      <x:c r="B8" t="inlineStr">
        <x:is>
          <x:t xml:space="preserve">Interactions / follow-ups in next 14 days</x:t>
        </x:is>
      </x:c>
      <x:c r="C8" s="182" t="n">
        <x:f>COUNTIFS(Regulator_Interactions!J:J,"&gt;="&amp;TODAY(),Regulator_Interactions!J:J,"&lt;="&amp;TODAY()+14)</x:f>
        <x:v>0</x:v>
      </x:c>
      <x:c r="D8" t="inlineStr">
        <x:is>
          <x:t xml:space="preserve">Preparation needs</x:t>
        </x:is>
      </x:c>
    </x:row>
    <x:row r="9">
      <x:c r="A9" t="inlineStr">
        <x:is>
          <x:t xml:space="preserve">Documents pending QC</x:t>
        </x:is>
      </x:c>
      <x:c r="B9" t="inlineStr">
        <x:is>
          <x:t xml:space="preserve">Document checklist not approved</x:t>
        </x:is>
      </x:c>
      <x:c r="C9" s="182" t="n">
        <x:f>COUNTIF(Document_QC_Checklist!L:L,"Not Ready")+COUNTIF(Document_QC_Checklist!L:L,"Needs Review")</x:f>
        <x:v>4</x:v>
      </x:c>
      <x:c r="D9" t="inlineStr">
        <x:is>
          <x:t xml:space="preserve">Pre-submission control</x:t>
        </x:is>
      </x:c>
    </x:row>
    <x:row r="11">
      <x:c r="A11" s="178" t="inlineStr">
        <x:is>
          <x:t xml:space="preserve">Priority Action List</x:t>
        </x:is>
      </x:c>
      <x:c r="B11" s="178" t="inlineStr">
        <x:is>
          <x:t xml:space="preserve">Source</x:t>
        </x:is>
      </x:c>
      <x:c r="C11" s="178" t="inlineStr">
        <x:is>
          <x:t xml:space="preserve">Item</x:t>
        </x:is>
      </x:c>
      <x:c r="D11" s="178" t="inlineStr">
        <x:is>
          <x:t xml:space="preserve">Regulator</x:t>
        </x:is>
      </x:c>
      <x:c r="E11" s="178" t="inlineStr">
        <x:is>
          <x:t xml:space="preserve">Owner</x:t>
        </x:is>
      </x:c>
      <x:c r="F11" s="178" t="inlineStr">
        <x:is>
          <x:t xml:space="preserve">Due Date</x:t>
        </x:is>
      </x:c>
      <x:c r="G11" s="178" t="inlineStr">
        <x:is>
          <x:t xml:space="preserve">Days Left</x:t>
        </x:is>
      </x:c>
      <x:c r="H11" s="178" t="inlineStr">
        <x:is>
          <x:t xml:space="preserve">Status</x:t>
        </x:is>
      </x:c>
      <x:c r="I11" s="178" t="inlineStr">
        <x:is>
          <x:t xml:space="preserve">Risk</x:t>
        </x:is>
      </x:c>
      <x:c r="J11" s="178" t="inlineStr">
        <x:is>
          <x:t xml:space="preserve">Required Action</x:t>
        </x:is>
      </x:c>
      <x:c r="K11" s="178" t="inlineStr">
        <x:is>
          <x:t xml:space="preserve">Escalation</x:t>
        </x:is>
      </x:c>
      <x:c r="L11" s="178" t="inlineStr">
        <x:is>
          <x:t xml:space="preserve">Notes</x:t>
        </x:is>
      </x:c>
    </x:row>
    <x:row r="12">
      <x:c r="A12" t="inlineStr">
        <x:is>
          <x:t xml:space="preserve">Calendar</x:t>
        </x:is>
      </x:c>
      <x:c r="B12" t="inlineStr">
        <x:is>
          <x:t xml:space="preserve">Calendar</x:t>
        </x:is>
      </x:c>
      <x:c r="C12" t="inlineStr">
        <x:is>
          <x:t xml:space="preserve">Monthly solvency monitoring report</x:t>
        </x:is>
      </x:c>
      <x:c r="D12" t="inlineStr">
        <x:is>
          <x:t xml:space="preserve">ISA</x:t>
        </x:is>
      </x:c>
      <x:c r="E12" t="inlineStr">
        <x:is>
          <x:t xml:space="preserve">Product</x:t>
        </x:is>
      </x:c>
      <x:c r="F12" s="180" t="n">
        <x:v>46185</x:v>
      </x:c>
      <x:c r="G12" t="n">
        <x:v>1</x:v>
      </x:c>
      <x:c r="H12" t="inlineStr">
        <x:is>
          <x:t xml:space="preserve">Due Soon</x:t>
        </x:is>
      </x:c>
      <x:c r="I12" t="inlineStr">
        <x:is>
          <x:t xml:space="preserve">High</x:t>
        </x:is>
      </x:c>
      <x:c r="J12" t="inlineStr">
        <x:is>
          <x:t xml:space="preserve">Confirm source data and QA before submission</x:t>
        </x:is>
      </x:c>
      <x:c r="K12" t="inlineStr">
        <x:is>
          <x:t xml:space="preserve">No</x:t>
        </x:is>
      </x:c>
      <x:c r="L12" t="inlineStr">
        <x:is>
          <x:t xml:space="preserve">Prepare CEO Office note if delayed</x:t>
        </x:is>
      </x:c>
    </x:row>
    <x:row r="13">
      <x:c r="A13" t="inlineStr">
        <x:is>
          <x:t xml:space="preserve">Submission</x:t>
        </x:is>
      </x:c>
      <x:c r="B13" t="inlineStr">
        <x:is>
          <x:t xml:space="preserve">Submission</x:t>
        </x:is>
      </x:c>
      <x:c r="C13" t="inlineStr">
        <x:is>
          <x:t xml:space="preserve">New product approval dossier</x:t>
        </x:is>
      </x:c>
      <x:c r="D13" t="inlineStr">
        <x:is>
          <x:t xml:space="preserve">MOF</x:t>
        </x:is>
      </x:c>
      <x:c r="E13" t="inlineStr">
        <x:is>
          <x:t xml:space="preserve">Legal</x:t>
        </x:is>
      </x:c>
      <x:c r="F13" s="180" t="n">
        <x:v>46187</x:v>
      </x:c>
      <x:c r="G13" t="n">
        <x:v>3</x:v>
      </x:c>
      <x:c r="H13" t="inlineStr">
        <x:is>
          <x:t xml:space="preserve">In Review</x:t>
        </x:is>
      </x:c>
      <x:c r="I13" t="inlineStr">
        <x:is>
          <x:t xml:space="preserve">Medium</x:t>
        </x:is>
      </x:c>
      <x:c r="J13" t="inlineStr">
        <x:is>
          <x:t xml:space="preserve">Complete official letter checklist and attachments</x:t>
        </x:is>
      </x:c>
      <x:c r="K13" t="inlineStr">
        <x:is>
          <x:t xml:space="preserve">No</x:t>
        </x:is>
      </x:c>
      <x:c r="L13" t="inlineStr">
        <x:is>
          <x:t xml:space="preserve">Coordinate with Compliance</x:t>
        </x:is>
      </x:c>
    </x:row>
    <x:row r="14">
      <x:c r="A14" t="inlineStr">
        <x:is>
          <x:t xml:space="preserve">Meeting</x:t>
        </x:is>
      </x:c>
      <x:c r="B14" t="inlineStr">
        <x:is>
          <x:t xml:space="preserve">Meeting</x:t>
        </x:is>
      </x:c>
      <x:c r="C14" t="inlineStr">
        <x:is>
          <x:t xml:space="preserve">ISA technical working session</x:t>
        </x:is>
      </x:c>
      <x:c r="D14" t="inlineStr">
        <x:is>
          <x:t xml:space="preserve">ISA</x:t>
        </x:is>
      </x:c>
      <x:c r="E14" t="inlineStr">
        <x:is>
          <x:t xml:space="preserve">Public Affairs</x:t>
        </x:is>
      </x:c>
      <x:c r="F14" s="180" t="n">
        <x:v>46189</x:v>
      </x:c>
      <x:c r="G14" t="n">
        <x:v>5</x:v>
      </x:c>
      <x:c r="H14" t="inlineStr">
        <x:is>
          <x:t xml:space="preserve">Planned</x:t>
        </x:is>
      </x:c>
      <x:c r="I14" t="inlineStr">
        <x:is>
          <x:t xml:space="preserve">High</x:t>
        </x:is>
      </x:c>
      <x:c r="J14" t="inlineStr">
        <x:is>
          <x:t xml:space="preserve">Generate briefing note and talking points</x:t>
        </x:is>
      </x:c>
      <x:c r="K14" t="inlineStr">
        <x:is>
          <x:t xml:space="preserve">No</x:t>
        </x:is>
      </x:c>
      <x:c r="L14" t="inlineStr">
        <x:is>
          <x:t xml:space="preserve">Use meeting brief generator</x:t>
        </x:is>
      </x:c>
    </x:row>
    <x:row r="15">
      <x:c r="A15" t="inlineStr">
        <x:is>
          <x:t xml:space="preserve">Translation</x:t>
        </x:is>
      </x:c>
      <x:c r="B15" t="inlineStr">
        <x:is>
          <x:t xml:space="preserve">Translation</x:t>
        </x:is>
      </x:c>
      <x:c r="C15" t="inlineStr">
        <x:is>
          <x:t xml:space="preserve">Circular summary VN to EN</x:t>
        </x:is>
      </x:c>
      <x:c r="D15" t="inlineStr">
        <x:is>
          <x:t xml:space="preserve">Regional Office</x:t>
        </x:is>
      </x:c>
      <x:c r="E15" t="inlineStr">
        <x:is>
          <x:t xml:space="preserve">Public Affairs</x:t>
        </x:is>
      </x:c>
      <x:c r="F15" s="180" t="n">
        <x:v>46186</x:v>
      </x:c>
      <x:c r="G15" t="n">
        <x:v>2</x:v>
      </x:c>
      <x:c r="H15" t="inlineStr">
        <x:is>
          <x:t xml:space="preserve">In Progress</x:t>
        </x:is>
      </x:c>
      <x:c r="I15" t="inlineStr">
        <x:is>
          <x:t xml:space="preserve">Medium</x:t>
        </x:is>
      </x:c>
      <x:c r="J15" t="inlineStr">
        <x:is>
          <x:t xml:space="preserve">Finalize English version for regional pack</x:t>
        </x:is>
      </x:c>
      <x:c r="K15" t="inlineStr">
        <x:is>
          <x:t xml:space="preserve">No</x:t>
        </x:is>
      </x:c>
      <x:c r="L15" t="inlineStr">
        <x:is>
          <x:t xml:space="preserve">Prioritize before weekly report</x:t>
        </x:is>
      </x:c>
    </x:row>
    <x:row r="16">
      <x:c r="A16" t="inlineStr">
        <x:is>
          <x:t xml:space="preserve">QC</x:t>
        </x:is>
      </x:c>
      <x:c r="B16" t="inlineStr">
        <x:is>
          <x:t xml:space="preserve">QC</x:t>
        </x:is>
      </x:c>
      <x:c r="C16" t="inlineStr">
        <x:is>
          <x:t xml:space="preserve">Official letter to MOF</x:t>
        </x:is>
      </x:c>
      <x:c r="D16" t="inlineStr">
        <x:is>
          <x:t xml:space="preserve">MOF</x:t>
        </x:is>
      </x:c>
      <x:c r="E16" t="inlineStr">
        <x:is>
          <x:t xml:space="preserve">Regulatory Affairs</x:t>
        </x:is>
      </x:c>
      <x:c r="F16" s="180" t="n">
        <x:v>46184</x:v>
      </x:c>
      <x:c r="G16" t="n">
        <x:v>0</x:v>
      </x:c>
      <x:c r="H16" t="inlineStr">
        <x:is>
          <x:t xml:space="preserve">Needs Review</x:t>
        </x:is>
      </x:c>
      <x:c r="I16" t="inlineStr">
        <x:is>
          <x:t xml:space="preserve">High</x:t>
        </x:is>
      </x:c>
      <x:c r="J16" t="inlineStr">
        <x:is>
          <x:t xml:space="preserve">Verify signature authority and legal review</x:t>
        </x:is>
      </x:c>
      <x:c r="K16" t="inlineStr">
        <x:is>
          <x:t xml:space="preserve">Yes</x:t>
        </x:is>
      </x:c>
      <x:c r="L16" t="inlineStr">
        <x:is>
          <x:t xml:space="preserve">Escalate before 3pm</x:t>
        </x:is>
      </x:c>
    </x:row>
    <x:row r="18">
      <x:c r="A18" s="178" t="inlineStr">
        <x:is>
          <x:t xml:space="preserve">How to use this tab</x:t>
        </x:is>
      </x:c>
      <x:c r="B18" s="178" t="str"/>
      <x:c r="C18" s="178" t="str"/>
      <x:c r="D18" s="178" t="str"/>
      <x:c r="E18" s="178" t="str"/>
      <x:c r="F18" s="178" t="str"/>
      <x:c r="G18" s="178" t="str"/>
      <x:c r="H18" s="178" t="str"/>
      <x:c r="I18" s="178" t="str"/>
      <x:c r="J18" s="178" t="str"/>
      <x:c r="K18" s="178" t="str"/>
      <x:c r="L18" s="178" t="str"/>
    </x:row>
    <x:row r="19">
      <x:c r="A19" s="13" t="inlineStr">
        <x:is>
          <x:t xml:space="preserve">This tab is designed as the default daily operating screen for the role. It converts the JD into a control tower: deadlines, regulator submissions, internal follow-ups, meeting preparation and document quality control. Review it every morning; update item owners and status during the day; escalate red items before end of day.</x:t>
        </x:is>
      </x:c>
      <x:c r="B19" s="1" t="n"/>
      <x:c r="C19" s="1" t="n"/>
      <x:c r="D19" s="1" t="n"/>
      <x:c r="E19" s="1" t="n"/>
      <x:c r="F19" s="1" t="n"/>
      <x:c r="G19" s="1" t="n"/>
      <x:c r="H19" s="1" t="n"/>
      <x:c r="I19" s="1" t="n"/>
      <x:c r="J19" s="1" t="n"/>
      <x:c r="K19" s="1" t="n"/>
      <x:c r="L19" s="1" t="n"/>
    </x:row>
    <x:row r="20">
      <x:c r="A20" s="1" t="n"/>
      <x:c r="L20" s="1" t="n"/>
    </x:row>
    <x:row r="21">
      <x:c r="A21" s="1" t="n"/>
      <x:c r="L21" s="1" t="n"/>
    </x:row>
    <x:row r="22">
      <x:c r="A22" s="1" t="n"/>
      <x:c r="L22" s="1" t="n"/>
    </x:row>
    <x:row r="23">
      <x:c r="A23" s="1" t="n"/>
      <x:c r="B23" s="1" t="n"/>
      <x:c r="C23" s="1" t="n"/>
      <x:c r="D23" s="1" t="n"/>
      <x:c r="E23" s="1" t="n"/>
      <x:c r="F23" s="1" t="n"/>
      <x:c r="G23" s="1" t="n"/>
      <x:c r="H23" s="1" t="n"/>
      <x:c r="I23" s="1" t="n"/>
      <x:c r="J23" s="1" t="n"/>
      <x:c r="K23" s="1" t="n"/>
      <x:c r="L23" s="1" t="n"/>
    </x:row>
  </x:sheetData>
  <x:mergeCells>
    <x:mergeCell ref="A1:L1"/>
    <x:mergeCell ref="A19:L23"/>
  </x:mergeCells>
  <x:conditionalFormatting sqref="G12:G50">
    <x:cfRule type="cellIs" dxfId="3" priority="1" operator="lessThanOrEqual">
      <x:formula>0</x:formula>
    </x:cfRule>
  </x:conditionalFormatting>
  <x:dataValidations count="2">
    <x:dataValidation type="list" allowBlank="0" showDropDown="0" showInputMessage="0" showErrorMessage="0" sqref="H12:H50">
      <x:formula1>"On Track,Due Soon,Overdue,Submitted,Approved,In Review,Needs Review,Planned,In Progress"</x:formula1>
    </x:dataValidation>
    <x:dataValidation type="list" allowBlank="0" showDropDown="0" showInputMessage="0" showErrorMessage="0" sqref="D4:D200">
      <x:formula1>"Critical,High,Medium,Low"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66.88999938964844" style="265" customWidth="1"/>
    <x:col min="2" max="2" width="32" style="265" customWidth="1"/>
    <x:col min="3" max="3" width="11.979999542236328" style="265" customWidth="1"/>
    <x:col min="4" max="4" width="20" style="265" customWidth="1"/>
    <x:col min="5" max="5" width="10.229999542236328" style="265" customWidth="1"/>
    <x:col min="6" max="6" width="9.149999618530273" style="265" customWidth="1"/>
    <x:col min="7" max="7" width="13.859999656677246" style="265" customWidth="1"/>
    <x:col min="8" max="8" width="11.4399995803833" style="265" customWidth="1"/>
    <x:col min="9" max="9" width="16.020000457763672" style="265" customWidth="1"/>
    <x:col min="10" max="10" width="10.5" style="265" customWidth="1"/>
    <x:col min="11" max="11" width="15.880000114440918" style="265" customWidth="1"/>
    <x:col min="12" max="12" width="13.729999542236328" style="265" customWidth="1"/>
    <x:col min="14" max="14" width="22" style="265" customWidth="1"/>
    <x:col min="15" max="15" width="22" style="265" customWidth="1"/>
    <x:col min="16" max="16" width="22" style="265" customWidth="1"/>
    <x:col min="17" max="17" width="22" style="265" customWidth="1"/>
  </x:cols>
  <x:sheetData>
    <x:row r="1">
      <x:c r="A1" s="127" t="inlineStr">
        <x:is>
          <x:t xml:space="preserve">Document Quality Checklist - Official Letters / Reports / Dossiers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</x:row>
    <x:row r="3">
      <x:c r="A3" s="178" t="inlineStr">
        <x:is>
          <x:t xml:space="preserve">Document ID</x:t>
        </x:is>
      </x:c>
      <x:c r="B3" s="178" t="inlineStr">
        <x:is>
          <x:t xml:space="preserve">Document Name</x:t>
        </x:is>
      </x:c>
      <x:c r="C3" s="178" t="inlineStr">
        <x:is>
          <x:t xml:space="preserve">Regulator</x:t>
        </x:is>
      </x:c>
      <x:c r="D3" s="178" t="inlineStr">
        <x:is>
          <x:t xml:space="preserve">Document Type</x:t>
        </x:is>
      </x:c>
      <x:c r="E3" s="178" t="inlineStr">
        <x:is>
          <x:t xml:space="preserve">Owner</x:t>
        </x:is>
      </x:c>
      <x:c r="F3" s="178" t="inlineStr">
        <x:is>
          <x:t xml:space="preserve">Due Date</x:t>
        </x:is>
      </x:c>
      <x:c r="G3" s="178" t="inlineStr">
        <x:is>
          <x:t xml:space="preserve">Correct Template</x:t>
        </x:is>
      </x:c>
      <x:c r="H3" s="178" t="inlineStr">
        <x:is>
          <x:t xml:space="preserve">Reference No.</x:t>
        </x:is>
      </x:c>
      <x:c r="I3" s="178" t="inlineStr">
        <x:is>
          <x:t xml:space="preserve">Signature Authority</x:t>
        </x:is>
      </x:c>
      <x:c r="J3" s="178" t="inlineStr">
        <x:is>
          <x:t xml:space="preserve">Legal Review</x:t>
        </x:is>
      </x:c>
      <x:c r="K3" s="178" t="inlineStr">
        <x:is>
          <x:t xml:space="preserve">Compliance Review</x:t>
        </x:is>
      </x:c>
      <x:c r="L3" s="178" t="inlineStr">
        <x:is>
          <x:t xml:space="preserve">Readiness Status</x:t>
        </x:is>
      </x:c>
      <x:c r="N3" s="178" t="inlineStr">
        <x:is>
          <x:t xml:space="preserve">QC Summary</x:t>
        </x:is>
      </x:c>
      <x:c r="O3" s="178" t="inlineStr">
        <x:is>
          <x:t xml:space="preserve">Formula</x:t>
        </x:is>
      </x:c>
      <x:c r="P3" s="178" t="inlineStr">
        <x:is>
          <x:t xml:space="preserve">Value</x:t>
        </x:is>
      </x:c>
      <x:c r="Q3" s="178" t="inlineStr">
        <x:is>
          <x:t xml:space="preserve">Comment</x:t>
        </x:is>
      </x:c>
    </x:row>
    <x:row r="4">
      <x:c r="A4" t="inlineStr">
        <x:is>
          <x:t xml:space="preserve">DOC-001</x:t>
        </x:is>
      </x:c>
      <x:c r="B4" t="inlineStr">
        <x:is>
          <x:t xml:space="preserve">Official letter re product approval</x:t>
        </x:is>
      </x:c>
      <x:c r="C4" t="inlineStr">
        <x:is>
          <x:t xml:space="preserve">MOF</x:t>
        </x:is>
      </x:c>
      <x:c r="D4" t="inlineStr">
        <x:is>
          <x:t xml:space="preserve">Official Letter</x:t>
        </x:is>
      </x:c>
      <x:c r="E4" t="inlineStr">
        <x:is>
          <x:t xml:space="preserve">Public Affairs</x:t>
        </x:is>
      </x:c>
      <x:c r="F4" s="180" t="n">
        <x:v>46187</x:v>
      </x:c>
      <x:c r="G4" t="inlineStr">
        <x:is>
          <x:t xml:space="preserve">Yes</x:t>
        </x:is>
      </x:c>
      <x:c r="H4" t="inlineStr">
        <x:is>
          <x:t xml:space="preserve">Yes</x:t>
        </x:is>
      </x:c>
      <x:c r="I4" t="inlineStr">
        <x:is>
          <x:t xml:space="preserve">Yes</x:t>
        </x:is>
      </x:c>
      <x:c r="J4" t="inlineStr">
        <x:is>
          <x:t xml:space="preserve">Yes</x:t>
        </x:is>
      </x:c>
      <x:c r="K4" t="inlineStr">
        <x:is>
          <x:t xml:space="preserve">Yes</x:t>
        </x:is>
      </x:c>
      <x:c r="L4" t="inlineStr">
        <x:is>
          <x:t xml:space="preserve">Ready</x:t>
        </x:is>
      </x:c>
      <x:c r="N4" t="inlineStr">
        <x:is>
          <x:t xml:space="preserve">Ready documents</x:t>
        </x:is>
      </x:c>
      <x:c r="O4" s="179" t="n">
        <x:f>COUNTIF(L:L,"Ready")</x:f>
        <x:v>2</x:v>
      </x:c>
      <x:c r="Q4" t="inlineStr">
        <x:is>
          <x:t xml:space="preserve">Can be submitted after final management approval</x:t>
        </x:is>
      </x:c>
    </x:row>
    <x:row r="5">
      <x:c r="A5" t="inlineStr">
        <x:is>
          <x:t xml:space="preserve">DOC-002</x:t>
        </x:is>
      </x:c>
      <x:c r="B5" t="inlineStr">
        <x:is>
          <x:t xml:space="preserve">Monthly solvency monitoring report</x:t>
        </x:is>
      </x:c>
      <x:c r="C5" t="inlineStr">
        <x:is>
          <x:t xml:space="preserve">ISA</x:t>
        </x:is>
      </x:c>
      <x:c r="D5" t="inlineStr">
        <x:is>
          <x:t xml:space="preserve">Regulatory Report</x:t>
        </x:is>
      </x:c>
      <x:c r="E5" t="inlineStr">
        <x:is>
          <x:t xml:space="preserve">Product</x:t>
        </x:is>
      </x:c>
      <x:c r="F5" s="180" t="n">
        <x:v>46185</x:v>
      </x:c>
      <x:c r="G5" t="inlineStr">
        <x:is>
          <x:t xml:space="preserve">Yes</x:t>
        </x:is>
      </x:c>
      <x:c r="H5" t="inlineStr">
        <x:is>
          <x:t xml:space="preserve">Yes</x:t>
        </x:is>
      </x:c>
      <x:c r="I5" t="inlineStr">
        <x:is>
          <x:t xml:space="preserve">Yes</x:t>
        </x:is>
      </x:c>
      <x:c r="J5" t="inlineStr">
        <x:is>
          <x:t xml:space="preserve">In Progress</x:t>
        </x:is>
      </x:c>
      <x:c r="K5" t="inlineStr">
        <x:is>
          <x:t xml:space="preserve">Yes</x:t>
        </x:is>
      </x:c>
      <x:c r="L5" t="inlineStr">
        <x:is>
          <x:t xml:space="preserve">Needs Review</x:t>
        </x:is>
      </x:c>
      <x:c r="N5" t="inlineStr">
        <x:is>
          <x:t xml:space="preserve">Needs review</x:t>
        </x:is>
      </x:c>
      <x:c r="O5" s="179" t="n">
        <x:f>COUNTIF(L:L,"Needs Review")</x:f>
        <x:v>2</x:v>
      </x:c>
      <x:c r="Q5" t="inlineStr">
        <x:is>
          <x:t xml:space="preserve">Follow up with Legal/Compliance/Owner</x:t>
        </x:is>
      </x:c>
    </x:row>
    <x:row r="6">
      <x:c r="A6" t="inlineStr">
        <x:is>
          <x:t xml:space="preserve">DOC-003</x:t>
        </x:is>
      </x:c>
      <x:c r="B6" t="inlineStr">
        <x:is>
          <x:t xml:space="preserve">Agency training approval dossier</x:t>
        </x:is>
      </x:c>
      <x:c r="C6" t="inlineStr">
        <x:is>
          <x:t xml:space="preserve">ISA</x:t>
        </x:is>
      </x:c>
      <x:c r="D6" t="inlineStr">
        <x:is>
          <x:t xml:space="preserve">Approval Dossier</x:t>
        </x:is>
      </x:c>
      <x:c r="E6" t="inlineStr">
        <x:is>
          <x:t xml:space="preserve">Agency</x:t>
        </x:is>
      </x:c>
      <x:c r="F6" s="180" t="n">
        <x:v>46191</x:v>
      </x:c>
      <x:c r="G6" t="inlineStr">
        <x:is>
          <x:t xml:space="preserve">Yes</x:t>
        </x:is>
      </x:c>
      <x:c r="H6" t="inlineStr">
        <x:is>
          <x:t xml:space="preserve">No</x:t>
        </x:is>
      </x:c>
      <x:c r="I6" t="inlineStr">
        <x:is>
          <x:t xml:space="preserve">Yes</x:t>
        </x:is>
      </x:c>
      <x:c r="J6" t="inlineStr">
        <x:is>
          <x:t xml:space="preserve">No</x:t>
        </x:is>
      </x:c>
      <x:c r="K6" t="inlineStr">
        <x:is>
          <x:t xml:space="preserve">In Progress</x:t>
        </x:is>
      </x:c>
      <x:c r="L6" t="inlineStr">
        <x:is>
          <x:t xml:space="preserve">Not Ready</x:t>
        </x:is>
      </x:c>
      <x:c r="N6" t="inlineStr">
        <x:is>
          <x:t xml:space="preserve">Not ready</x:t>
        </x:is>
      </x:c>
      <x:c r="O6" s="179" t="n">
        <x:f>COUNTIF(L:L,"Not Ready")</x:f>
        <x:v>2</x:v>
      </x:c>
      <x:c r="Q6" t="inlineStr">
        <x:is>
          <x:t xml:space="preserve">Escalate if due within 7 days</x:t>
        </x:is>
      </x:c>
    </x:row>
    <x:row r="7">
      <x:c r="A7" t="inlineStr">
        <x:is>
          <x:t xml:space="preserve">DOC-004</x:t>
        </x:is>
      </x:c>
      <x:c r="B7" t="inlineStr">
        <x:is>
          <x:t xml:space="preserve">Data privacy compliance update</x:t>
        </x:is>
      </x:c>
      <x:c r="C7" t="inlineStr">
        <x:is>
          <x:t xml:space="preserve">MIC</x:t>
        </x:is>
      </x:c>
      <x:c r="D7" t="inlineStr">
        <x:is>
          <x:t xml:space="preserve">Regulatory Report</x:t>
        </x:is>
      </x:c>
      <x:c r="E7" t="inlineStr">
        <x:is>
          <x:t xml:space="preserve">Compliance</x:t>
        </x:is>
      </x:c>
      <x:c r="F7" s="180" t="n">
        <x:v>46198</x:v>
      </x:c>
      <x:c r="G7" t="inlineStr">
        <x:is>
          <x:t xml:space="preserve">Yes</x:t>
        </x:is>
      </x:c>
      <x:c r="H7" t="inlineStr">
        <x:is>
          <x:t xml:space="preserve">Yes</x:t>
        </x:is>
      </x:c>
      <x:c r="I7" t="inlineStr">
        <x:is>
          <x:t xml:space="preserve">Yes</x:t>
        </x:is>
      </x:c>
      <x:c r="J7" t="inlineStr">
        <x:is>
          <x:t xml:space="preserve">Yes</x:t>
        </x:is>
      </x:c>
      <x:c r="K7" t="inlineStr">
        <x:is>
          <x:t xml:space="preserve">In Progress</x:t>
        </x:is>
      </x:c>
      <x:c r="L7" t="inlineStr">
        <x:is>
          <x:t xml:space="preserve">Needs Review</x:t>
        </x:is>
      </x:c>
    </x:row>
    <x:row r="8">
      <x:c r="A8" t="inlineStr">
        <x:is>
          <x:t xml:space="preserve">DOC-005</x:t>
        </x:is>
      </x:c>
      <x:c r="B8" t="inlineStr">
        <x:is>
          <x:t xml:space="preserve">Regional Office weekly regulatory pack</x:t>
        </x:is>
      </x:c>
      <x:c r="C8" t="inlineStr">
        <x:is>
          <x:t xml:space="preserve">Regional Office</x:t>
        </x:is>
      </x:c>
      <x:c r="D8" t="inlineStr">
        <x:is>
          <x:t xml:space="preserve">Management Report</x:t>
        </x:is>
      </x:c>
      <x:c r="E8" t="inlineStr">
        <x:is>
          <x:t xml:space="preserve">Public Affairs</x:t>
        </x:is>
      </x:c>
      <x:c r="F8" s="180" t="n">
        <x:v>46186</x:v>
      </x:c>
      <x:c r="G8" t="inlineStr">
        <x:is>
          <x:t xml:space="preserve">Yes</x:t>
        </x:is>
      </x:c>
      <x:c r="H8" t="inlineStr">
        <x:is>
          <x:t xml:space="preserve">N/A</x:t>
        </x:is>
      </x:c>
      <x:c r="I8" t="inlineStr">
        <x:is>
          <x:t xml:space="preserve">N/A</x:t>
        </x:is>
      </x:c>
      <x:c r="J8" t="inlineStr">
        <x:is>
          <x:t xml:space="preserve">N/A</x:t>
        </x:is>
      </x:c>
      <x:c r="K8" t="inlineStr">
        <x:is>
          <x:t xml:space="preserve">Yes</x:t>
        </x:is>
      </x:c>
      <x:c r="L8" t="inlineStr">
        <x:is>
          <x:t xml:space="preserve">Ready</x:t>
        </x:is>
      </x:c>
    </x:row>
    <x:row r="9">
      <x:c r="A9" t="inlineStr">
        <x:is>
          <x:t xml:space="preserve">DOC-006</x:t>
        </x:is>
      </x:c>
      <x:c r="B9" t="inlineStr">
        <x:is>
          <x:t xml:space="preserve">Capital increase supporting paper</x:t>
        </x:is>
      </x:c>
      <x:c r="C9" t="inlineStr">
        <x:is>
          <x:t xml:space="preserve">MOF</x:t>
        </x:is>
      </x:c>
      <x:c r="D9" t="inlineStr">
        <x:is>
          <x:t xml:space="preserve">Approval Dossier</x:t>
        </x:is>
      </x:c>
      <x:c r="E9" t="inlineStr">
        <x:is>
          <x:t xml:space="preserve">Finance</x:t>
        </x:is>
      </x:c>
      <x:c r="F9" s="180" t="n">
        <x:v>46194</x:v>
      </x:c>
      <x:c r="G9" t="inlineStr">
        <x:is>
          <x:t xml:space="preserve">Yes</x:t>
        </x:is>
      </x:c>
      <x:c r="H9" t="inlineStr">
        <x:is>
          <x:t xml:space="preserve">Yes</x:t>
        </x:is>
      </x:c>
      <x:c r="I9" t="inlineStr">
        <x:is>
          <x:t xml:space="preserve">Pending</x:t>
        </x:is>
      </x:c>
      <x:c r="J9" t="inlineStr">
        <x:is>
          <x:t xml:space="preserve">In Progress</x:t>
        </x:is>
      </x:c>
      <x:c r="K9" t="inlineStr">
        <x:is>
          <x:t xml:space="preserve">No</x:t>
        </x:is>
      </x:c>
      <x:c r="L9" t="inlineStr">
        <x:is>
          <x:t xml:space="preserve">Not Ready</x:t>
        </x:is>
      </x:c>
    </x:row>
  </x:sheetData>
  <x:mergeCells>
    <x:mergeCell ref="A1:L1"/>
  </x:mergeCells>
  <x:conditionalFormatting sqref="L4:L50">
    <x:cfRule type="expression" dxfId="3" priority="1">
      <x:formula>L4="Not Ready"</x:formula>
    </x:cfRule>
    <x:cfRule type="expression" dxfId="5" priority="2">
      <x:formula>L4="Needs Review"</x:formula>
    </x:cfRule>
    <x:cfRule type="expression" dxfId="6" priority="3">
      <x:formula>L4="Ready"</x:formula>
    </x:cfRule>
  </x:conditionalFormatting>
  <x:dataValidations count="1">
    <x:dataValidation type="list" allowBlank="0" showDropDown="0" showInputMessage="0" showErrorMessage="0" sqref="G4:L50">
      <x:formula1>"Yes,No,N/A,Pending,In Progress,Ready,Needs Review,Not Ready"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35" style="265" customWidth="1"/>
    <x:col min="2" max="2" width="35" style="265" customWidth="1"/>
    <x:col min="3" max="3" width="35" style="265" customWidth="1"/>
    <x:col min="4" max="4" width="24.5" style="265" customWidth="1"/>
    <x:col min="5" max="5" width="14" style="265" customWidth="1"/>
    <x:col min="6" max="6" width="35" style="265" customWidth="1"/>
    <x:col min="7" max="7" width="35" style="265" customWidth="1"/>
    <x:col min="8" max="8" width="25.84000015258789" style="265" customWidth="1"/>
    <x:col min="9" max="9" width="24.760000228881836" style="265" customWidth="1"/>
    <x:col min="10" max="10" width="35" style="265" customWidth="1"/>
    <x:col min="11" max="11" width="14" style="265" customWidth="1"/>
    <x:col min="12" max="12" width="14" style="265" customWidth="1"/>
    <x:col min="13" max="13" width="14" style="265" customWidth="1"/>
    <x:col min="14" max="14" width="14" style="265" customWidth="1"/>
    <x:col min="15" max="15" width="14" style="265" customWidth="1"/>
  </x:cols>
  <x:sheetData>
    <x:row r="1" s="265" customFormat="1" ht="28" customHeight="1">
      <x:c r="A1" s="134" t="inlineStr">
        <x:is>
          <x:t xml:space="preserve">Regulator CRM / Institutional Memory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279" t="n"/>
      <x:c r="L1" s="279" t="n"/>
      <x:c r="M1" s="279" t="n"/>
      <x:c r="N1" s="279" t="n"/>
      <x:c r="O1" s="279" t="n"/>
    </x:row>
    <x:row r="2">
      <x:c r="A2" s="279" t="n"/>
      <x:c r="B2" s="279" t="n"/>
      <x:c r="C2" s="279" t="n"/>
      <x:c r="D2" s="279" t="n"/>
      <x:c r="E2" s="279" t="n"/>
      <x:c r="F2" s="279" t="n"/>
      <x:c r="G2" s="279" t="n"/>
      <x:c r="H2" s="279" t="n"/>
      <x:c r="I2" s="279" t="n"/>
      <x:c r="J2" s="279" t="n"/>
      <x:c r="K2" s="279" t="n"/>
      <x:c r="L2" s="279" t="n"/>
      <x:c r="M2" s="279" t="n"/>
      <x:c r="N2" s="279" t="n"/>
      <x:c r="O2" s="279" t="n"/>
    </x:row>
    <x:row r="3">
      <x:c r="A3" s="247" t="inlineStr">
        <x:is>
          <x:t xml:space="preserve">Regulator</x:t>
        </x:is>
      </x:c>
      <x:c r="B3" s="247" t="inlineStr">
        <x:is>
          <x:t xml:space="preserve">Mandate / Role</x:t>
        </x:is>
      </x:c>
      <x:c r="C3" s="247" t="inlineStr">
        <x:is>
          <x:t xml:space="preserve">Key Units / Contact Point</x:t>
        </x:is>
      </x:c>
      <x:c r="D3" s="247" t="inlineStr">
        <x:is>
          <x:t xml:space="preserve">Relationship Strength (1-5)</x:t>
        </x:is>
      </x:c>
      <x:c r="E3" s="247" t="inlineStr">
        <x:is>
          <x:t xml:space="preserve">Sentiment</x:t>
        </x:is>
      </x:c>
      <x:c r="F3" s="247" t="inlineStr">
        <x:is>
          <x:t xml:space="preserve">Open Issues</x:t>
        </x:is>
      </x:c>
      <x:c r="G3" s="247" t="inlineStr">
        <x:is>
          <x:t xml:space="preserve">Pending Requests</x:t>
        </x:is>
      </x:c>
      <x:c r="H3" s="247" t="inlineStr">
        <x:is>
          <x:t xml:space="preserve">Next Engagement</x:t>
        </x:is>
      </x:c>
      <x:c r="I3" s="247" t="inlineStr">
        <x:is>
          <x:t xml:space="preserve">Engagement Owner</x:t>
        </x:is>
      </x:c>
      <x:c r="J3" s="247" t="inlineStr">
        <x:is>
          <x:t xml:space="preserve">Institutional Memory Note</x:t>
        </x:is>
      </x:c>
      <x:c r="K3" s="279" t="inlineStr">
        <x:is>
          <x:t xml:space="preserve">Power (1-5)</x:t>
        </x:is>
      </x:c>
      <x:c r="L3" s="279" t="inlineStr">
        <x:is>
          <x:t xml:space="preserve">Interest (1-5)</x:t>
        </x:is>
      </x:c>
      <x:c r="M3" s="279" t="inlineStr">
        <x:is>
          <x:t xml:space="preserve">Engagement Priority</x:t>
        </x:is>
      </x:c>
      <x:c r="N3" s="279" t="inlineStr">
        <x:is>
          <x:t xml:space="preserve">Key Concerns</x:t>
        </x:is>
      </x:c>
      <x:c r="O3" s="279" t="inlineStr">
        <x:is>
          <x:t xml:space="preserve">Relationship Risk Score</x:t>
        </x:is>
      </x:c>
    </x:row>
    <x:row r="4">
      <x:c r="A4" s="279" t="inlineStr">
        <x:is>
          <x:t xml:space="preserve">MOF</x:t>
        </x:is>
      </x:c>
      <x:c r="B4" s="279" t="inlineStr">
        <x:is>
          <x:t xml:space="preserve">Insurance policy, capital and sector oversight</x:t>
        </x:is>
      </x:c>
      <x:c r="C4" s="279" t="inlineStr">
        <x:is>
          <x:t xml:space="preserve">Insurance policy department / administrative office</x:t>
        </x:is>
      </x:c>
      <x:c r="D4" s="279" t="n">
        <x:v>4</x:v>
      </x:c>
      <x:c r="E4" s="279" t="inlineStr">
        <x:is>
          <x:t xml:space="preserve">Positive</x:t>
        </x:is>
      </x:c>
      <x:c r="F4" s="279" t="inlineStr">
        <x:is>
          <x:t xml:space="preserve">Capital adequacy update; product approval process</x:t>
        </x:is>
      </x:c>
      <x:c r="G4" s="279" t="inlineStr">
        <x:is>
          <x:t xml:space="preserve">Quarterly capital note and market stability briefing</x:t>
        </x:is>
      </x:c>
      <x:c r="H4" s="279" t="inlineStr">
        <x:is>
          <x:t xml:space="preserve">Strategic dialogue next quarter</x:t>
        </x:is>
      </x:c>
      <x:c r="I4" s="279" t="inlineStr">
        <x:is>
          <x:t xml:space="preserve">CEO + Head of Public Affairs</x:t>
        </x:is>
      </x:c>
      <x:c r="J4" s="279" t="inlineStr">
        <x:is>
          <x:t xml:space="preserve">Maintain evidence-based, constructive tone; align with financial stability priorities</x:t>
        </x:is>
      </x:c>
      <x:c r="K4" s="279" t="n">
        <x:v>5</x:v>
      </x:c>
      <x:c r="L4" s="279" t="n">
        <x:v>5</x:v>
      </x:c>
      <x:c r="M4" s="279" t="inlineStr">
        <x:is>
          <x:t xml:space="preserve">Critical</x:t>
        </x:is>
      </x:c>
      <x:c r="N4" s="279" t="inlineStr">
        <x:is>
          <x:t xml:space="preserve">Capital strength, market stability</x:t>
        </x:is>
      </x:c>
      <x:c r="O4" s="279" t="n">
        <x:f>IFERROR(ROUND((K4*L4)/D4,2),0)</x:f>
        <x:v>6.25</x:v>
      </x:c>
    </x:row>
    <x:row r="5">
      <x:c r="A5" s="279" t="inlineStr">
        <x:is>
          <x:t xml:space="preserve">ISA</x:t>
        </x:is>
      </x:c>
      <x:c r="B5" s="279" t="inlineStr">
        <x:is>
          <x:t xml:space="preserve">Insurance supervision, product approval, market conduct</x:t>
        </x:is>
      </x:c>
      <x:c r="C5" s="279" t="inlineStr">
        <x:is>
          <x:t xml:space="preserve">Product approval unit / supervision team</x:t>
        </x:is>
      </x:c>
      <x:c r="D5" s="279" t="n">
        <x:v>3</x:v>
      </x:c>
      <x:c r="E5" s="279" t="inlineStr">
        <x:is>
          <x:t xml:space="preserve">Neutral</x:t>
        </x:is>
      </x:c>
      <x:c r="F5" s="279" t="inlineStr">
        <x:is>
          <x:t xml:space="preserve">Product Q&amp;A; market conduct documentation</x:t>
        </x:is>
      </x:c>
      <x:c r="G5" s="279" t="inlineStr">
        <x:is>
          <x:t xml:space="preserve">Technical clarification on new health rider</x:t>
        </x:is>
      </x:c>
      <x:c r="H5" s="279" t="inlineStr">
        <x:is>
          <x:t xml:space="preserve">Monthly technical session</x:t>
        </x:is>
      </x:c>
      <x:c r="I5" s="279" t="inlineStr">
        <x:is>
          <x:t xml:space="preserve">Legal + Compliance + PA</x:t>
        </x:is>
      </x:c>
      <x:c r="J5" s="279" t="inlineStr">
        <x:is>
          <x:t xml:space="preserve">Operational regulator; documentation quality and timely response matter most</x:t>
        </x:is>
      </x:c>
      <x:c r="K5" s="279" t="n">
        <x:v>5</x:v>
      </x:c>
      <x:c r="L5" s="279" t="n">
        <x:v>5</x:v>
      </x:c>
      <x:c r="M5" s="279" t="inlineStr">
        <x:is>
          <x:t xml:space="preserve">Critical</x:t>
        </x:is>
      </x:c>
      <x:c r="N5" s="279" t="inlineStr">
        <x:is>
          <x:t xml:space="preserve">Market conduct, product transparency</x:t>
        </x:is>
      </x:c>
      <x:c r="O5" s="279" t="n">
        <x:f>IFERROR(ROUND((K5*L5)/D5,2),0)</x:f>
        <x:v>8.33</x:v>
      </x:c>
    </x:row>
    <x:row r="6">
      <x:c r="A6" s="279" t="inlineStr">
        <x:is>
          <x:t xml:space="preserve">IAV</x:t>
        </x:is>
      </x:c>
      <x:c r="B6" s="279" t="inlineStr">
        <x:is>
          <x:t xml:space="preserve">Industry coordination and collective advocacy</x:t>
        </x:is>
      </x:c>
      <x:c r="C6" s="279" t="inlineStr">
        <x:is>
          <x:t xml:space="preserve">Association secretariat / working groups</x:t>
        </x:is>
      </x:c>
      <x:c r="D6" s="279" t="n">
        <x:v>5</x:v>
      </x:c>
      <x:c r="E6" s="279" t="inlineStr">
        <x:is>
          <x:t xml:space="preserve">Positive</x:t>
        </x:is>
      </x:c>
      <x:c r="F6" s="279" t="inlineStr">
        <x:is>
          <x:t xml:space="preserve">Industry position on product approval circular</x:t>
        </x:is>
      </x:c>
      <x:c r="G6" s="279" t="inlineStr">
        <x:is>
          <x:t xml:space="preserve">Input to association policy paper</x:t>
        </x:is>
      </x:c>
      <x:c r="H6" s="279" t="inlineStr">
        <x:is>
          <x:t xml:space="preserve">Join working group this month</x:t>
        </x:is>
      </x:c>
      <x:c r="I6" s="279" t="inlineStr">
        <x:is>
          <x:t xml:space="preserve">Public Affairs</x:t>
        </x:is>
      </x:c>
      <x:c r="J6" s="279" t="inlineStr">
        <x:is>
          <x:t xml:space="preserve">Use industry channel for non-sensitive sector-wide policy points</x:t>
        </x:is>
      </x:c>
      <x:c r="K6" s="279" t="n">
        <x:v>3</x:v>
      </x:c>
      <x:c r="L6" s="279" t="n">
        <x:v>4</x:v>
      </x:c>
      <x:c r="M6" s="279" t="inlineStr">
        <x:is>
          <x:t xml:space="preserve">High</x:t>
        </x:is>
      </x:c>
      <x:c r="N6" s="279" t="inlineStr">
        <x:is>
          <x:t xml:space="preserve">Industry alignment</x:t>
        </x:is>
      </x:c>
      <x:c r="O6" s="279" t="n">
        <x:f>IFERROR(ROUND((K6*L6)/D6,2),0)</x:f>
        <x:v>2.4</x:v>
      </x:c>
    </x:row>
    <x:row r="7">
      <x:c r="A7" s="279" t="inlineStr">
        <x:is>
          <x:t xml:space="preserve">SBV</x:t>
        </x:is>
      </x:c>
      <x:c r="B7" s="279" t="inlineStr">
        <x:is>
          <x:t xml:space="preserve">Cross-sector financial risk and bancassurance conduct</x:t>
        </x:is>
      </x:c>
      <x:c r="C7" s="279" t="inlineStr">
        <x:is>
          <x:t xml:space="preserve">Financial stability / banking supervision interface</x:t>
        </x:is>
      </x:c>
      <x:c r="D7" s="279" t="n">
        <x:v>3</x:v>
      </x:c>
      <x:c r="E7" s="279" t="inlineStr">
        <x:is>
          <x:t xml:space="preserve">Neutral</x:t>
        </x:is>
      </x:c>
      <x:c r="F7" s="279" t="inlineStr">
        <x:is>
          <x:t xml:space="preserve">Bancassurance conduct and bank distribution risk</x:t>
        </x:is>
      </x:c>
      <x:c r="G7" s="279" t="inlineStr">
        <x:is>
          <x:t xml:space="preserve">Industry dialogue via association</x:t>
        </x:is>
      </x:c>
      <x:c r="H7" s="279" t="inlineStr">
        <x:is>
          <x:t xml:space="preserve">Quarterly dialogue</x:t>
        </x:is>
      </x:c>
      <x:c r="I7" s="279" t="inlineStr">
        <x:is>
          <x:t xml:space="preserve">Government Relations Director</x:t>
        </x:is>
      </x:c>
      <x:c r="J7" s="279" t="inlineStr">
        <x:is>
          <x:t xml:space="preserve">Engage on systemic risk and customer protection; avoid narrow company-only framing</x:t>
        </x:is>
      </x:c>
      <x:c r="K7" s="279" t="n">
        <x:v>4</x:v>
      </x:c>
      <x:c r="L7" s="279" t="n">
        <x:v>3</x:v>
      </x:c>
      <x:c r="M7" s="279" t="inlineStr">
        <x:is>
          <x:t xml:space="preserve">High</x:t>
        </x:is>
      </x:c>
      <x:c r="N7" s="279" t="inlineStr">
        <x:is>
          <x:t xml:space="preserve">Bancassurance, system risk</x:t>
        </x:is>
      </x:c>
      <x:c r="O7" s="279" t="n">
        <x:f>IFERROR(ROUND((K7*L7)/D7,2),0)</x:f>
        <x:v>4</x:v>
      </x:c>
    </x:row>
    <x:row r="8">
      <x:c r="A8" s="279" t="inlineStr">
        <x:is>
          <x:t xml:space="preserve">MIC</x:t>
        </x:is>
      </x:c>
      <x:c r="B8" s="279" t="inlineStr">
        <x:is>
          <x:t xml:space="preserve">Data, digital distribution, cybersecurity and data localization</x:t>
        </x:is>
      </x:c>
      <x:c r="C8" s="279" t="inlineStr">
        <x:is>
          <x:t xml:space="preserve">Data policy / cybersecurity consultation channel</x:t>
        </x:is>
      </x:c>
      <x:c r="D8" s="279" t="n">
        <x:v>2</x:v>
      </x:c>
      <x:c r="E8" s="279" t="inlineStr">
        <x:is>
          <x:t xml:space="preserve">Cautious</x:t>
        </x:is>
      </x:c>
      <x:c r="F8" s="279" t="inlineStr">
        <x:is>
          <x:t xml:space="preserve">Data localization and consent requirements</x:t>
        </x:is>
      </x:c>
      <x:c r="G8" s="279" t="inlineStr">
        <x:is>
          <x:t xml:space="preserve">Digital insurance compliance note</x:t>
        </x:is>
      </x:c>
      <x:c r="H8" s="279" t="inlineStr">
        <x:is>
          <x:t xml:space="preserve">Policy roundtable in two months</x:t>
        </x:is>
      </x:c>
      <x:c r="I8" s="279" t="inlineStr">
        <x:is>
          <x:t xml:space="preserve">Digital Policy Lead</x:t>
        </x:is>
      </x:c>
      <x:c r="J8" s="279" t="inlineStr">
        <x:is>
          <x:t xml:space="preserve">Relationship requires more technical credibility and early transparency</x:t>
        </x:is>
      </x:c>
      <x:c r="K8" s="279" t="n">
        <x:v>3</x:v>
      </x:c>
      <x:c r="L8" s="279" t="n">
        <x:v>4</x:v>
      </x:c>
      <x:c r="M8" s="279" t="inlineStr">
        <x:is>
          <x:t xml:space="preserve">Medium</x:t>
        </x:is>
      </x:c>
      <x:c r="N8" s="279" t="inlineStr">
        <x:is>
          <x:t xml:space="preserve">Data privacy and localization</x:t>
        </x:is>
      </x:c>
      <x:c r="O8" s="279" t="n">
        <x:f>IFERROR(ROUND((K8*L8)/D8,2),0)</x:f>
        <x:v>6</x:v>
      </x:c>
    </x:row>
    <x:row r="9">
      <x:c r="A9" s="279" t="inlineStr">
        <x:is>
          <x:t xml:space="preserve">VCA</x:t>
        </x:is>
      </x:c>
      <x:c r="B9" s="279" t="inlineStr">
        <x:is>
          <x:t xml:space="preserve">Consumer protection and complaints oversight</x:t>
        </x:is>
      </x:c>
      <x:c r="C9" s="279" t="inlineStr">
        <x:is>
          <x:t xml:space="preserve">Consumer protection unit</x:t>
        </x:is>
      </x:c>
      <x:c r="D9" s="279" t="n">
        <x:v>3</x:v>
      </x:c>
      <x:c r="E9" s="279" t="inlineStr">
        <x:is>
          <x:t xml:space="preserve">Cautious</x:t>
        </x:is>
      </x:c>
      <x:c r="F9" s="279" t="inlineStr">
        <x:is>
          <x:t xml:space="preserve">Complaint handling transparency; mis-selling concerns</x:t>
        </x:is>
      </x:c>
      <x:c r="G9" s="279" t="inlineStr">
        <x:is>
          <x:t xml:space="preserve">Consumer education and complaint KPI note</x:t>
        </x:is>
      </x:c>
      <x:c r="H9" s="279" t="inlineStr">
        <x:is>
          <x:t xml:space="preserve">Consumer protection briefing</x:t>
        </x:is>
      </x:c>
      <x:c r="I9" s="279" t="inlineStr">
        <x:is>
          <x:t xml:space="preserve">Compliance + PA</x:t>
        </x:is>
      </x:c>
      <x:c r="J9" s="279" t="inlineStr">
        <x:is>
          <x:t xml:space="preserve">Frame as customer protection and transparency agenda</x:t>
        </x:is>
      </x:c>
      <x:c r="K9" s="279" t="n">
        <x:v>4</x:v>
      </x:c>
      <x:c r="L9" s="279" t="n">
        <x:v>4</x:v>
      </x:c>
      <x:c r="M9" s="279" t="inlineStr">
        <x:is>
          <x:t xml:space="preserve">High</x:t>
        </x:is>
      </x:c>
      <x:c r="N9" s="279" t="inlineStr">
        <x:is>
          <x:t xml:space="preserve">Consumer complaints</x:t>
        </x:is>
      </x:c>
      <x:c r="O9" s="279" t="n">
        <x:f>IFERROR(ROUND((K9*L9)/D9,2),0)</x:f>
        <x:v>5.33</x:v>
      </x:c>
    </x:row>
    <x:row r="10">
      <x:c r="A10" s="279" t="n"/>
      <x:c r="B10" s="279" t="n"/>
      <x:c r="C10" s="279" t="n"/>
      <x:c r="D10" s="279" t="n"/>
      <x:c r="E10" s="279" t="n"/>
      <x:c r="F10" s="279" t="n"/>
      <x:c r="G10" s="279" t="n"/>
      <x:c r="H10" s="279" t="n"/>
      <x:c r="I10" s="279" t="n"/>
      <x:c r="J10" s="279" t="n"/>
      <x:c r="K10" s="279" t="n"/>
      <x:c r="L10" s="279" t="n"/>
      <x:c r="M10" s="279" t="n"/>
      <x:c r="N10" s="279" t="n"/>
      <x:c r="O10" s="279" t="n"/>
    </x:row>
    <x:row r="11">
      <x:c r="A11" s="279" t="n"/>
      <x:c r="B11" s="279" t="n"/>
      <x:c r="C11" s="279" t="n"/>
      <x:c r="D11" s="279" t="n"/>
      <x:c r="E11" s="279" t="n"/>
      <x:c r="F11" s="279" t="n"/>
      <x:c r="G11" s="279" t="n"/>
      <x:c r="H11" s="279" t="n"/>
      <x:c r="I11" s="279" t="n"/>
      <x:c r="J11" s="279" t="n"/>
      <x:c r="K11" s="279" t="n"/>
      <x:c r="L11" s="279" t="n"/>
      <x:c r="M11" s="279" t="n"/>
      <x:c r="N11" s="279" t="n"/>
      <x:c r="O11" s="279" t="n"/>
    </x:row>
    <x:row r="12">
      <x:c r="A12" s="279" t="n"/>
      <x:c r="B12" s="279" t="n"/>
      <x:c r="C12" s="279" t="n"/>
      <x:c r="D12" s="279" t="n"/>
      <x:c r="E12" s="279" t="n"/>
      <x:c r="F12" s="279" t="n"/>
      <x:c r="G12" s="279" t="n"/>
      <x:c r="H12" s="279" t="n"/>
      <x:c r="I12" s="279" t="n"/>
      <x:c r="J12" s="279" t="n"/>
      <x:c r="K12" s="279" t="n"/>
      <x:c r="L12" s="279" t="n"/>
      <x:c r="M12" s="279" t="n"/>
      <x:c r="N12" s="279" t="n"/>
      <x:c r="O12" s="279" t="n"/>
    </x:row>
    <x:row r="13">
      <x:c r="A13" s="279" t="n"/>
      <x:c r="B13" s="279" t="n"/>
      <x:c r="C13" s="279" t="n"/>
      <x:c r="D13" s="279" t="n"/>
      <x:c r="E13" s="279" t="n"/>
      <x:c r="F13" s="279" t="n"/>
      <x:c r="G13" s="279" t="n"/>
      <x:c r="H13" s="279" t="n"/>
      <x:c r="I13" s="279" t="n"/>
      <x:c r="J13" s="279" t="n"/>
      <x:c r="K13" s="279" t="n"/>
      <x:c r="L13" s="279" t="n"/>
      <x:c r="M13" s="279" t="n"/>
      <x:c r="N13" s="279" t="n"/>
      <x:c r="O13" s="279" t="n"/>
    </x:row>
    <x:row r="14">
      <x:c r="A14" s="279" t="n"/>
      <x:c r="B14" s="279" t="n"/>
      <x:c r="C14" s="279" t="n"/>
      <x:c r="D14" s="279" t="n"/>
      <x:c r="E14" s="279" t="n"/>
      <x:c r="F14" s="279" t="n"/>
      <x:c r="G14" s="279" t="n"/>
      <x:c r="H14" s="279" t="n"/>
      <x:c r="I14" s="279" t="n"/>
      <x:c r="J14" s="279" t="n"/>
      <x:c r="K14" s="279" t="n"/>
      <x:c r="L14" s="279" t="n"/>
      <x:c r="M14" s="279" t="n"/>
      <x:c r="N14" s="279" t="n"/>
      <x:c r="O14" s="279" t="n"/>
    </x:row>
    <x:row r="15">
      <x:c r="A15" s="279" t="n"/>
      <x:c r="B15" s="279" t="n"/>
      <x:c r="C15" s="279" t="n"/>
      <x:c r="D15" s="279" t="n"/>
      <x:c r="E15" s="279" t="n"/>
      <x:c r="F15" s="279" t="n"/>
      <x:c r="G15" s="279" t="n"/>
      <x:c r="H15" s="279" t="n"/>
      <x:c r="I15" s="279" t="n"/>
      <x:c r="J15" s="279" t="n"/>
      <x:c r="K15" s="279" t="n"/>
      <x:c r="L15" s="279" t="n"/>
      <x:c r="M15" s="279" t="n"/>
      <x:c r="N15" s="279" t="n"/>
      <x:c r="O15" s="279" t="n"/>
    </x:row>
    <x:row r="16">
      <x:c r="A16" s="279" t="n"/>
      <x:c r="B16" s="279" t="n"/>
      <x:c r="C16" s="279" t="n"/>
      <x:c r="D16" s="279" t="n"/>
      <x:c r="E16" s="279" t="n"/>
      <x:c r="F16" s="279" t="n"/>
      <x:c r="G16" s="279" t="n"/>
      <x:c r="H16" s="279" t="n"/>
      <x:c r="I16" s="279" t="n"/>
      <x:c r="J16" s="279" t="n"/>
      <x:c r="K16" s="279" t="n"/>
      <x:c r="L16" s="279" t="n"/>
      <x:c r="M16" s="279" t="n"/>
      <x:c r="N16" s="279" t="n"/>
      <x:c r="O16" s="279" t="n"/>
    </x:row>
    <x:row r="17">
      <x:c r="A17" s="279" t="n"/>
      <x:c r="B17" s="279" t="n"/>
      <x:c r="C17" s="279" t="n"/>
      <x:c r="D17" s="279" t="n"/>
      <x:c r="E17" s="279" t="n"/>
      <x:c r="F17" s="279" t="n"/>
      <x:c r="G17" s="279" t="n"/>
      <x:c r="H17" s="279" t="n"/>
      <x:c r="I17" s="279" t="n"/>
      <x:c r="J17" s="279" t="n"/>
      <x:c r="K17" s="279" t="n"/>
      <x:c r="L17" s="279" t="n"/>
      <x:c r="M17" s="279" t="n"/>
      <x:c r="N17" s="279" t="n"/>
      <x:c r="O17" s="279" t="n"/>
    </x:row>
    <x:row r="18">
      <x:c r="A18" s="279" t="n"/>
      <x:c r="B18" s="279" t="n"/>
      <x:c r="C18" s="279" t="n"/>
      <x:c r="D18" s="279" t="n"/>
      <x:c r="E18" s="279" t="n"/>
      <x:c r="F18" s="279" t="n"/>
      <x:c r="G18" s="279" t="n"/>
      <x:c r="H18" s="279" t="n"/>
      <x:c r="I18" s="279" t="n"/>
      <x:c r="J18" s="279" t="n"/>
      <x:c r="K18" s="279" t="n"/>
      <x:c r="L18" s="279" t="n"/>
      <x:c r="M18" s="279" t="n"/>
      <x:c r="N18" s="279" t="n"/>
      <x:c r="O18" s="279" t="n"/>
    </x:row>
    <x:row r="19">
      <x:c r="A19" s="279" t="n"/>
      <x:c r="B19" s="279" t="n"/>
      <x:c r="C19" s="279" t="n"/>
      <x:c r="D19" s="279" t="n"/>
      <x:c r="E19" s="279" t="n"/>
      <x:c r="F19" s="279" t="n"/>
      <x:c r="G19" s="279" t="n"/>
      <x:c r="H19" s="279" t="n"/>
      <x:c r="I19" s="279" t="n"/>
      <x:c r="J19" s="279" t="n"/>
      <x:c r="K19" s="279" t="n"/>
      <x:c r="L19" s="279" t="n"/>
      <x:c r="M19" s="279" t="n"/>
      <x:c r="N19" s="279" t="n"/>
      <x:c r="O19" s="279" t="n"/>
    </x:row>
    <x:row r="20">
      <x:c r="A20" s="279" t="n"/>
      <x:c r="B20" s="279" t="n"/>
      <x:c r="C20" s="279" t="n"/>
      <x:c r="D20" s="279" t="n"/>
      <x:c r="E20" s="279" t="n"/>
      <x:c r="F20" s="279" t="n"/>
      <x:c r="G20" s="279" t="n"/>
      <x:c r="H20" s="279" t="n"/>
      <x:c r="I20" s="279" t="n"/>
      <x:c r="J20" s="279" t="n"/>
      <x:c r="K20" s="279" t="n"/>
      <x:c r="L20" s="279" t="n"/>
      <x:c r="M20" s="279" t="n"/>
      <x:c r="N20" s="279" t="n"/>
      <x:c r="O20" s="279" t="n"/>
    </x:row>
    <x:row r="21">
      <x:c r="A21" s="279" t="n"/>
      <x:c r="B21" s="279" t="n"/>
      <x:c r="C21" s="279" t="n"/>
      <x:c r="D21" s="279" t="n"/>
      <x:c r="E21" s="279" t="n"/>
      <x:c r="F21" s="279" t="n"/>
      <x:c r="G21" s="279" t="n"/>
      <x:c r="H21" s="279" t="n"/>
      <x:c r="I21" s="279" t="n"/>
      <x:c r="J21" s="279" t="n"/>
      <x:c r="K21" s="279" t="n"/>
      <x:c r="L21" s="279" t="n"/>
      <x:c r="M21" s="279" t="n"/>
      <x:c r="N21" s="279" t="n"/>
      <x:c r="O21" s="279" t="n"/>
    </x:row>
    <x:row r="22">
      <x:c r="A22" s="279" t="n"/>
      <x:c r="B22" s="279" t="n"/>
      <x:c r="C22" s="279" t="n"/>
      <x:c r="D22" s="279" t="n"/>
      <x:c r="E22" s="279" t="n"/>
      <x:c r="F22" s="279" t="n"/>
      <x:c r="G22" s="279" t="n"/>
      <x:c r="H22" s="279" t="n"/>
      <x:c r="I22" s="279" t="n"/>
      <x:c r="J22" s="279" t="n"/>
      <x:c r="K22" s="279" t="n"/>
      <x:c r="L22" s="279" t="n"/>
      <x:c r="M22" s="279" t="n"/>
      <x:c r="N22" s="279" t="n"/>
      <x:c r="O22" s="279" t="n"/>
    </x:row>
    <x:row r="23">
      <x:c r="A23" s="279" t="n"/>
      <x:c r="B23" s="279" t="n"/>
      <x:c r="C23" s="279" t="n"/>
      <x:c r="D23" s="279" t="n"/>
      <x:c r="E23" s="279" t="n"/>
      <x:c r="F23" s="279" t="n"/>
      <x:c r="G23" s="279" t="n"/>
      <x:c r="H23" s="279" t="n"/>
      <x:c r="I23" s="279" t="n"/>
      <x:c r="J23" s="279" t="n"/>
      <x:c r="K23" s="279" t="n"/>
      <x:c r="L23" s="279" t="n"/>
      <x:c r="M23" s="279" t="n"/>
      <x:c r="N23" s="279" t="n"/>
      <x:c r="O23" s="279" t="n"/>
    </x:row>
    <x:row r="24">
      <x:c r="A24" s="279" t="n"/>
      <x:c r="B24" s="279" t="n"/>
      <x:c r="C24" s="279" t="n"/>
      <x:c r="D24" s="279" t="n"/>
      <x:c r="E24" s="279" t="n"/>
      <x:c r="F24" s="279" t="n"/>
      <x:c r="G24" s="279" t="n"/>
      <x:c r="H24" s="279" t="n"/>
      <x:c r="I24" s="279" t="n"/>
      <x:c r="J24" s="279" t="n"/>
      <x:c r="K24" s="279" t="n"/>
      <x:c r="L24" s="279" t="n"/>
      <x:c r="M24" s="279" t="n"/>
      <x:c r="N24" s="279" t="n"/>
      <x:c r="O24" s="279" t="n"/>
    </x:row>
    <x:row r="25">
      <x:c r="A25" s="279" t="n"/>
      <x:c r="B25" s="279" t="n"/>
      <x:c r="C25" s="279" t="n"/>
      <x:c r="D25" s="279" t="n"/>
      <x:c r="E25" s="279" t="n"/>
      <x:c r="F25" s="279" t="n"/>
      <x:c r="G25" s="279" t="n"/>
      <x:c r="H25" s="279" t="n"/>
      <x:c r="I25" s="279" t="n"/>
      <x:c r="J25" s="279" t="n"/>
      <x:c r="K25" s="279" t="n"/>
      <x:c r="L25" s="279" t="n"/>
      <x:c r="M25" s="279" t="n"/>
      <x:c r="N25" s="279" t="n"/>
      <x:c r="O25" s="279" t="n"/>
    </x:row>
    <x:row r="26">
      <x:c r="A26" s="279" t="n"/>
      <x:c r="B26" s="279" t="n"/>
      <x:c r="C26" s="279" t="n"/>
      <x:c r="D26" s="279" t="n"/>
      <x:c r="E26" s="279" t="n"/>
      <x:c r="F26" s="279" t="n"/>
      <x:c r="G26" s="279" t="n"/>
      <x:c r="H26" s="279" t="n"/>
      <x:c r="I26" s="279" t="n"/>
      <x:c r="J26" s="279" t="n"/>
      <x:c r="K26" s="279" t="n"/>
      <x:c r="L26" s="279" t="n"/>
      <x:c r="M26" s="279" t="n"/>
      <x:c r="N26" s="279" t="n"/>
      <x:c r="O26" s="279" t="n"/>
    </x:row>
    <x:row r="27">
      <x:c r="A27" s="279" t="n"/>
      <x:c r="B27" s="279" t="n"/>
      <x:c r="C27" s="279" t="n"/>
      <x:c r="D27" s="279" t="n"/>
      <x:c r="E27" s="279" t="n"/>
      <x:c r="F27" s="279" t="n"/>
      <x:c r="G27" s="279" t="n"/>
      <x:c r="H27" s="279" t="n"/>
      <x:c r="I27" s="279" t="n"/>
      <x:c r="J27" s="279" t="n"/>
      <x:c r="K27" s="279" t="n"/>
      <x:c r="L27" s="279" t="n"/>
      <x:c r="M27" s="279" t="n"/>
      <x:c r="N27" s="279" t="n"/>
      <x:c r="O27" s="279" t="n"/>
    </x:row>
    <x:row r="28">
      <x:c r="A28" s="279" t="n"/>
      <x:c r="B28" s="279" t="n"/>
      <x:c r="C28" s="279" t="n"/>
      <x:c r="D28" s="279" t="n"/>
      <x:c r="E28" s="279" t="n"/>
      <x:c r="F28" s="279" t="n"/>
      <x:c r="G28" s="279" t="n"/>
      <x:c r="H28" s="279" t="n"/>
      <x:c r="I28" s="279" t="n"/>
      <x:c r="J28" s="279" t="n"/>
      <x:c r="K28" s="279" t="n"/>
      <x:c r="L28" s="279" t="n"/>
      <x:c r="M28" s="279" t="n"/>
      <x:c r="N28" s="279" t="n"/>
      <x:c r="O28" s="279" t="n"/>
    </x:row>
    <x:row r="29">
      <x:c r="A29" s="279" t="n"/>
      <x:c r="B29" s="279" t="n"/>
      <x:c r="C29" s="279" t="n"/>
      <x:c r="D29" s="279" t="n"/>
      <x:c r="E29" s="279" t="n"/>
      <x:c r="F29" s="279" t="n"/>
      <x:c r="G29" s="279" t="n"/>
      <x:c r="H29" s="279" t="n"/>
      <x:c r="I29" s="279" t="n"/>
      <x:c r="J29" s="279" t="n"/>
      <x:c r="K29" s="279" t="n"/>
      <x:c r="L29" s="279" t="n"/>
      <x:c r="M29" s="279" t="n"/>
      <x:c r="N29" s="279" t="n"/>
      <x:c r="O29" s="279" t="n"/>
    </x:row>
    <x:row r="30">
      <x:c r="A30" s="279" t="n"/>
      <x:c r="B30" s="279" t="n"/>
      <x:c r="C30" s="279" t="n"/>
      <x:c r="D30" s="279" t="n"/>
      <x:c r="E30" s="279" t="n"/>
      <x:c r="F30" s="279" t="n"/>
      <x:c r="G30" s="279" t="n"/>
      <x:c r="H30" s="279" t="n"/>
      <x:c r="I30" s="279" t="n"/>
      <x:c r="J30" s="279" t="n"/>
      <x:c r="K30" s="279" t="n"/>
      <x:c r="L30" s="279" t="n"/>
      <x:c r="M30" s="279" t="n"/>
      <x:c r="N30" s="279" t="n"/>
      <x:c r="O30" s="279" t="n"/>
    </x:row>
    <x:row r="31">
      <x:c r="A31" s="279" t="n"/>
      <x:c r="B31" s="279" t="n"/>
      <x:c r="C31" s="279" t="n"/>
      <x:c r="D31" s="279" t="n"/>
      <x:c r="E31" s="279" t="n"/>
      <x:c r="F31" s="279" t="n"/>
      <x:c r="G31" s="279" t="n"/>
      <x:c r="H31" s="279" t="n"/>
      <x:c r="I31" s="279" t="n"/>
      <x:c r="J31" s="279" t="n"/>
      <x:c r="K31" s="279" t="n"/>
      <x:c r="L31" s="279" t="n"/>
      <x:c r="M31" s="279" t="n"/>
      <x:c r="N31" s="279" t="n"/>
      <x:c r="O31" s="279" t="n"/>
    </x:row>
    <x:row r="32">
      <x:c r="A32" s="279" t="n"/>
      <x:c r="B32" s="279" t="n"/>
      <x:c r="C32" s="279" t="n"/>
      <x:c r="D32" s="279" t="n"/>
      <x:c r="E32" s="279" t="n"/>
      <x:c r="F32" s="279" t="n"/>
      <x:c r="G32" s="279" t="n"/>
      <x:c r="H32" s="279" t="n"/>
      <x:c r="I32" s="279" t="n"/>
      <x:c r="J32" s="279" t="n"/>
      <x:c r="K32" s="279" t="n"/>
      <x:c r="L32" s="279" t="n"/>
      <x:c r="M32" s="279" t="n"/>
      <x:c r="N32" s="279" t="n"/>
      <x:c r="O32" s="279" t="n"/>
    </x:row>
    <x:row r="33">
      <x:c r="A33" s="279" t="n"/>
      <x:c r="B33" s="279" t="n"/>
      <x:c r="C33" s="279" t="n"/>
      <x:c r="D33" s="279" t="n"/>
      <x:c r="E33" s="279" t="n"/>
      <x:c r="F33" s="279" t="n"/>
      <x:c r="G33" s="279" t="n"/>
      <x:c r="H33" s="279" t="n"/>
      <x:c r="I33" s="279" t="n"/>
      <x:c r="J33" s="279" t="n"/>
      <x:c r="K33" s="279" t="n"/>
      <x:c r="L33" s="279" t="n"/>
      <x:c r="M33" s="279" t="n"/>
      <x:c r="N33" s="279" t="n"/>
      <x:c r="O33" s="279" t="n"/>
    </x:row>
    <x:row r="34">
      <x:c r="A34" s="279" t="n"/>
      <x:c r="B34" s="279" t="n"/>
      <x:c r="C34" s="279" t="n"/>
      <x:c r="D34" s="279" t="n"/>
      <x:c r="E34" s="279" t="n"/>
      <x:c r="F34" s="279" t="n"/>
      <x:c r="G34" s="279" t="n"/>
      <x:c r="H34" s="279" t="n"/>
      <x:c r="I34" s="279" t="n"/>
      <x:c r="J34" s="279" t="n"/>
      <x:c r="K34" s="279" t="n"/>
      <x:c r="L34" s="279" t="n"/>
      <x:c r="M34" s="279" t="n"/>
      <x:c r="N34" s="279" t="n"/>
      <x:c r="O34" s="279" t="n"/>
    </x:row>
    <x:row r="35">
      <x:c r="A35" s="279" t="n"/>
      <x:c r="B35" s="279" t="n"/>
      <x:c r="C35" s="279" t="n"/>
      <x:c r="D35" s="279" t="n"/>
      <x:c r="E35" s="279" t="n"/>
      <x:c r="F35" s="279" t="n"/>
      <x:c r="G35" s="279" t="n"/>
      <x:c r="H35" s="279" t="n"/>
      <x:c r="I35" s="279" t="n"/>
      <x:c r="J35" s="279" t="n"/>
      <x:c r="K35" s="279" t="n"/>
      <x:c r="L35" s="279" t="n"/>
      <x:c r="M35" s="279" t="n"/>
      <x:c r="N35" s="279" t="n"/>
      <x:c r="O35" s="279" t="n"/>
    </x:row>
    <x:row r="36">
      <x:c r="A36" s="279" t="n"/>
      <x:c r="B36" s="279" t="n"/>
      <x:c r="C36" s="279" t="n"/>
      <x:c r="D36" s="279" t="n"/>
      <x:c r="E36" s="279" t="n"/>
      <x:c r="F36" s="279" t="n"/>
      <x:c r="G36" s="279" t="n"/>
      <x:c r="H36" s="279" t="n"/>
      <x:c r="I36" s="279" t="n"/>
      <x:c r="J36" s="279" t="n"/>
      <x:c r="K36" s="279" t="n"/>
      <x:c r="L36" s="279" t="n"/>
      <x:c r="M36" s="279" t="n"/>
      <x:c r="N36" s="279" t="n"/>
      <x:c r="O36" s="279" t="n"/>
    </x:row>
    <x:row r="37">
      <x:c r="A37" s="279" t="n"/>
      <x:c r="B37" s="279" t="n"/>
      <x:c r="C37" s="279" t="n"/>
      <x:c r="D37" s="279" t="n"/>
      <x:c r="E37" s="279" t="n"/>
      <x:c r="F37" s="279" t="n"/>
      <x:c r="G37" s="279" t="n"/>
      <x:c r="H37" s="279" t="n"/>
      <x:c r="I37" s="279" t="n"/>
      <x:c r="J37" s="279" t="n"/>
      <x:c r="K37" s="279" t="n"/>
      <x:c r="L37" s="279" t="n"/>
      <x:c r="M37" s="279" t="n"/>
      <x:c r="N37" s="279" t="n"/>
      <x:c r="O37" s="279" t="n"/>
    </x:row>
    <x:row r="38">
      <x:c r="A38" s="279" t="n"/>
      <x:c r="B38" s="279" t="n"/>
      <x:c r="C38" s="279" t="n"/>
      <x:c r="D38" s="279" t="n"/>
      <x:c r="E38" s="279" t="n"/>
      <x:c r="F38" s="279" t="n"/>
      <x:c r="G38" s="279" t="n"/>
      <x:c r="H38" s="279" t="n"/>
      <x:c r="I38" s="279" t="n"/>
      <x:c r="J38" s="279" t="n"/>
      <x:c r="K38" s="279" t="n"/>
      <x:c r="L38" s="279" t="n"/>
      <x:c r="M38" s="279" t="n"/>
      <x:c r="N38" s="279" t="n"/>
      <x:c r="O38" s="279" t="n"/>
    </x:row>
    <x:row r="39">
      <x:c r="A39" s="279" t="n"/>
      <x:c r="B39" s="279" t="n"/>
      <x:c r="C39" s="279" t="n"/>
      <x:c r="D39" s="279" t="n"/>
      <x:c r="E39" s="279" t="n"/>
      <x:c r="F39" s="279" t="n"/>
      <x:c r="G39" s="279" t="n"/>
      <x:c r="H39" s="279" t="n"/>
      <x:c r="I39" s="279" t="n"/>
      <x:c r="J39" s="279" t="n"/>
      <x:c r="K39" s="279" t="n"/>
      <x:c r="L39" s="279" t="n"/>
      <x:c r="M39" s="279" t="n"/>
      <x:c r="N39" s="279" t="n"/>
      <x:c r="O39" s="279" t="n"/>
    </x:row>
    <x:row r="40">
      <x:c r="A40" s="279" t="n"/>
      <x:c r="B40" s="279" t="n"/>
      <x:c r="C40" s="279" t="n"/>
      <x:c r="D40" s="279" t="n"/>
      <x:c r="E40" s="279" t="n"/>
      <x:c r="F40" s="279" t="n"/>
      <x:c r="G40" s="279" t="n"/>
      <x:c r="H40" s="279" t="n"/>
      <x:c r="I40" s="279" t="n"/>
      <x:c r="J40" s="279" t="n"/>
      <x:c r="K40" s="279" t="n"/>
      <x:c r="L40" s="279" t="n"/>
      <x:c r="M40" s="279" t="n"/>
      <x:c r="N40" s="279" t="n"/>
      <x:c r="O40" s="279" t="n"/>
    </x:row>
    <x:row r="41">
      <x:c r="A41" s="279" t="n"/>
      <x:c r="B41" s="279" t="n"/>
      <x:c r="C41" s="279" t="n"/>
      <x:c r="D41" s="279" t="n"/>
      <x:c r="E41" s="279" t="n"/>
      <x:c r="F41" s="279" t="n"/>
      <x:c r="G41" s="279" t="n"/>
      <x:c r="H41" s="279" t="n"/>
      <x:c r="I41" s="279" t="n"/>
      <x:c r="J41" s="279" t="n"/>
      <x:c r="K41" s="279" t="n"/>
      <x:c r="L41" s="279" t="n"/>
      <x:c r="M41" s="279" t="n"/>
      <x:c r="N41" s="279" t="n"/>
      <x:c r="O41" s="279" t="n"/>
    </x:row>
    <x:row r="42">
      <x:c r="A42" s="279" t="n"/>
      <x:c r="B42" s="279" t="n"/>
      <x:c r="C42" s="279" t="n"/>
      <x:c r="D42" s="279" t="n"/>
      <x:c r="E42" s="279" t="n"/>
      <x:c r="F42" s="279" t="n"/>
      <x:c r="G42" s="279" t="n"/>
      <x:c r="H42" s="279" t="n"/>
      <x:c r="I42" s="279" t="n"/>
      <x:c r="J42" s="279" t="n"/>
      <x:c r="K42" s="279" t="n"/>
      <x:c r="L42" s="279" t="n"/>
      <x:c r="M42" s="279" t="n"/>
      <x:c r="N42" s="279" t="n"/>
      <x:c r="O42" s="279" t="n"/>
    </x:row>
    <x:row r="43">
      <x:c r="A43" s="279" t="n"/>
      <x:c r="B43" s="279" t="n"/>
      <x:c r="C43" s="279" t="n"/>
      <x:c r="D43" s="279" t="n"/>
      <x:c r="E43" s="279" t="n"/>
      <x:c r="F43" s="279" t="n"/>
      <x:c r="G43" s="279" t="n"/>
      <x:c r="H43" s="279" t="n"/>
      <x:c r="I43" s="279" t="n"/>
      <x:c r="J43" s="279" t="n"/>
      <x:c r="K43" s="279" t="n"/>
      <x:c r="L43" s="279" t="n"/>
      <x:c r="M43" s="279" t="n"/>
      <x:c r="N43" s="279" t="n"/>
      <x:c r="O43" s="279" t="n"/>
    </x:row>
    <x:row r="44">
      <x:c r="A44" s="279" t="n"/>
      <x:c r="B44" s="279" t="n"/>
      <x:c r="C44" s="279" t="n"/>
      <x:c r="D44" s="279" t="n"/>
      <x:c r="E44" s="279" t="n"/>
      <x:c r="F44" s="279" t="n"/>
      <x:c r="G44" s="279" t="n"/>
      <x:c r="H44" s="279" t="n"/>
      <x:c r="I44" s="279" t="n"/>
      <x:c r="J44" s="279" t="n"/>
      <x:c r="K44" s="279" t="n"/>
      <x:c r="L44" s="279" t="n"/>
      <x:c r="M44" s="279" t="n"/>
      <x:c r="N44" s="279" t="n"/>
      <x:c r="O44" s="279" t="n"/>
    </x:row>
    <x:row r="45">
      <x:c r="A45" s="279" t="n"/>
      <x:c r="B45" s="279" t="n"/>
      <x:c r="C45" s="279" t="n"/>
      <x:c r="D45" s="279" t="n"/>
      <x:c r="E45" s="279" t="n"/>
      <x:c r="F45" s="279" t="n"/>
      <x:c r="G45" s="279" t="n"/>
      <x:c r="H45" s="279" t="n"/>
      <x:c r="I45" s="279" t="n"/>
      <x:c r="J45" s="279" t="n"/>
      <x:c r="K45" s="279" t="n"/>
      <x:c r="L45" s="279" t="n"/>
      <x:c r="M45" s="279" t="n"/>
      <x:c r="N45" s="279" t="n"/>
      <x:c r="O45" s="279" t="n"/>
    </x:row>
    <x:row r="46">
      <x:c r="A46" s="279" t="n"/>
      <x:c r="B46" s="279" t="n"/>
      <x:c r="C46" s="279" t="n"/>
      <x:c r="D46" s="279" t="n"/>
      <x:c r="E46" s="279" t="n"/>
      <x:c r="F46" s="279" t="n"/>
      <x:c r="G46" s="279" t="n"/>
      <x:c r="H46" s="279" t="n"/>
      <x:c r="I46" s="279" t="n"/>
      <x:c r="J46" s="279" t="n"/>
      <x:c r="K46" s="279" t="n"/>
      <x:c r="L46" s="279" t="n"/>
      <x:c r="M46" s="279" t="n"/>
      <x:c r="N46" s="279" t="n"/>
      <x:c r="O46" s="279" t="n"/>
    </x:row>
    <x:row r="47">
      <x:c r="A47" s="279" t="n"/>
      <x:c r="B47" s="279" t="n"/>
      <x:c r="C47" s="279" t="n"/>
      <x:c r="D47" s="279" t="n"/>
      <x:c r="E47" s="279" t="n"/>
      <x:c r="F47" s="279" t="n"/>
      <x:c r="G47" s="279" t="n"/>
      <x:c r="H47" s="279" t="n"/>
      <x:c r="I47" s="279" t="n"/>
      <x:c r="J47" s="279" t="n"/>
      <x:c r="K47" s="279" t="n"/>
      <x:c r="L47" s="279" t="n"/>
      <x:c r="M47" s="279" t="n"/>
      <x:c r="N47" s="279" t="n"/>
      <x:c r="O47" s="279" t="n"/>
    </x:row>
    <x:row r="48">
      <x:c r="A48" s="279" t="n"/>
      <x:c r="B48" s="279" t="n"/>
      <x:c r="C48" s="279" t="n"/>
      <x:c r="D48" s="279" t="n"/>
      <x:c r="E48" s="279" t="n"/>
      <x:c r="F48" s="279" t="n"/>
      <x:c r="G48" s="279" t="n"/>
      <x:c r="H48" s="279" t="n"/>
      <x:c r="I48" s="279" t="n"/>
      <x:c r="J48" s="279" t="n"/>
      <x:c r="K48" s="279" t="n"/>
      <x:c r="L48" s="279" t="n"/>
      <x:c r="M48" s="279" t="n"/>
      <x:c r="N48" s="279" t="n"/>
      <x:c r="O48" s="279" t="n"/>
    </x:row>
    <x:row r="49">
      <x:c r="A49" s="279" t="n"/>
      <x:c r="B49" s="279" t="n"/>
      <x:c r="C49" s="279" t="n"/>
      <x:c r="D49" s="279" t="n"/>
      <x:c r="E49" s="279" t="n"/>
      <x:c r="F49" s="279" t="n"/>
      <x:c r="G49" s="279" t="n"/>
      <x:c r="H49" s="279" t="n"/>
      <x:c r="I49" s="279" t="n"/>
      <x:c r="J49" s="279" t="n"/>
      <x:c r="K49" s="279" t="n"/>
      <x:c r="L49" s="279" t="n"/>
      <x:c r="M49" s="279" t="n"/>
      <x:c r="N49" s="279" t="n"/>
      <x:c r="O49" s="279" t="n"/>
    </x:row>
    <x:row r="50">
      <x:c r="A50" s="279" t="n"/>
      <x:c r="B50" s="279" t="n"/>
      <x:c r="C50" s="279" t="n"/>
      <x:c r="D50" s="279" t="n"/>
      <x:c r="E50" s="279" t="n"/>
      <x:c r="F50" s="279" t="n"/>
      <x:c r="G50" s="279" t="n"/>
      <x:c r="H50" s="279" t="n"/>
      <x:c r="I50" s="279" t="n"/>
      <x:c r="J50" s="279" t="n"/>
      <x:c r="K50" s="279" t="n"/>
      <x:c r="L50" s="279" t="n"/>
      <x:c r="M50" s="279" t="n"/>
      <x:c r="N50" s="279" t="n"/>
      <x:c r="O50" s="279" t="n"/>
    </x:row>
    <x:row r="51">
      <x:c r="A51" s="279" t="n"/>
      <x:c r="B51" s="279" t="n"/>
      <x:c r="C51" s="279" t="n"/>
      <x:c r="D51" s="279" t="n"/>
      <x:c r="E51" s="279" t="n"/>
      <x:c r="F51" s="279" t="n"/>
      <x:c r="G51" s="279" t="n"/>
      <x:c r="H51" s="279" t="n"/>
      <x:c r="I51" s="279" t="n"/>
      <x:c r="J51" s="279" t="n"/>
      <x:c r="K51" s="279" t="n"/>
      <x:c r="L51" s="279" t="n"/>
      <x:c r="M51" s="279" t="n"/>
      <x:c r="N51" s="279" t="n"/>
      <x:c r="O51" s="279" t="n"/>
    </x:row>
    <x:row r="52">
      <x:c r="A52" s="279" t="n"/>
      <x:c r="B52" s="279" t="n"/>
      <x:c r="C52" s="279" t="n"/>
      <x:c r="D52" s="279" t="n"/>
      <x:c r="E52" s="279" t="n"/>
      <x:c r="F52" s="279" t="n"/>
      <x:c r="G52" s="279" t="n"/>
      <x:c r="H52" s="279" t="n"/>
      <x:c r="I52" s="279" t="n"/>
      <x:c r="J52" s="279" t="n"/>
      <x:c r="K52" s="279" t="n"/>
      <x:c r="L52" s="279" t="n"/>
      <x:c r="M52" s="279" t="n"/>
      <x:c r="N52" s="279" t="n"/>
      <x:c r="O52" s="279" t="n"/>
    </x:row>
    <x:row r="53">
      <x:c r="A53" s="279" t="n"/>
      <x:c r="B53" s="279" t="n"/>
      <x:c r="C53" s="279" t="n"/>
      <x:c r="D53" s="279" t="n"/>
      <x:c r="E53" s="279" t="n"/>
      <x:c r="F53" s="279" t="n"/>
      <x:c r="G53" s="279" t="n"/>
      <x:c r="H53" s="279" t="n"/>
      <x:c r="I53" s="279" t="n"/>
      <x:c r="J53" s="279" t="n"/>
      <x:c r="K53" s="279" t="n"/>
      <x:c r="L53" s="279" t="n"/>
      <x:c r="M53" s="279" t="n"/>
      <x:c r="N53" s="279" t="n"/>
      <x:c r="O53" s="279" t="n"/>
    </x:row>
    <x:row r="54">
      <x:c r="A54" s="279" t="n"/>
      <x:c r="B54" s="279" t="n"/>
      <x:c r="C54" s="279" t="n"/>
      <x:c r="D54" s="279" t="n"/>
      <x:c r="E54" s="279" t="n"/>
      <x:c r="F54" s="279" t="n"/>
      <x:c r="G54" s="279" t="n"/>
      <x:c r="H54" s="279" t="n"/>
      <x:c r="I54" s="279" t="n"/>
      <x:c r="J54" s="279" t="n"/>
      <x:c r="K54" s="279" t="n"/>
      <x:c r="L54" s="279" t="n"/>
      <x:c r="M54" s="279" t="n"/>
      <x:c r="N54" s="279" t="n"/>
      <x:c r="O54" s="279" t="n"/>
    </x:row>
    <x:row r="55">
      <x:c r="A55" s="279" t="n"/>
      <x:c r="B55" s="279" t="n"/>
      <x:c r="C55" s="279" t="n"/>
      <x:c r="D55" s="279" t="n"/>
      <x:c r="E55" s="279" t="n"/>
      <x:c r="F55" s="279" t="n"/>
      <x:c r="G55" s="279" t="n"/>
      <x:c r="H55" s="279" t="n"/>
      <x:c r="I55" s="279" t="n"/>
      <x:c r="J55" s="279" t="n"/>
      <x:c r="K55" s="279" t="n"/>
      <x:c r="L55" s="279" t="n"/>
      <x:c r="M55" s="279" t="n"/>
      <x:c r="N55" s="279" t="n"/>
      <x:c r="O55" s="279" t="n"/>
    </x:row>
    <x:row r="56">
      <x:c r="A56" s="279" t="n"/>
      <x:c r="B56" s="279" t="n"/>
      <x:c r="C56" s="279" t="n"/>
      <x:c r="D56" s="279" t="n"/>
      <x:c r="E56" s="279" t="n"/>
      <x:c r="F56" s="279" t="n"/>
      <x:c r="G56" s="279" t="n"/>
      <x:c r="H56" s="279" t="n"/>
      <x:c r="I56" s="279" t="n"/>
      <x:c r="J56" s="279" t="n"/>
      <x:c r="K56" s="279" t="n"/>
      <x:c r="L56" s="279" t="n"/>
      <x:c r="M56" s="279" t="n"/>
      <x:c r="N56" s="279" t="n"/>
      <x:c r="O56" s="279" t="n"/>
    </x:row>
    <x:row r="57">
      <x:c r="A57" s="279" t="n"/>
      <x:c r="B57" s="279" t="n"/>
      <x:c r="C57" s="279" t="n"/>
      <x:c r="D57" s="279" t="n"/>
      <x:c r="E57" s="279" t="n"/>
      <x:c r="F57" s="279" t="n"/>
      <x:c r="G57" s="279" t="n"/>
      <x:c r="H57" s="279" t="n"/>
      <x:c r="I57" s="279" t="n"/>
      <x:c r="J57" s="279" t="n"/>
      <x:c r="K57" s="279" t="n"/>
      <x:c r="L57" s="279" t="n"/>
      <x:c r="M57" s="279" t="n"/>
      <x:c r="N57" s="279" t="n"/>
      <x:c r="O57" s="279" t="n"/>
    </x:row>
    <x:row r="58">
      <x:c r="A58" s="279" t="n"/>
      <x:c r="B58" s="279" t="n"/>
      <x:c r="C58" s="279" t="n"/>
      <x:c r="D58" s="279" t="n"/>
      <x:c r="E58" s="279" t="n"/>
      <x:c r="F58" s="279" t="n"/>
      <x:c r="G58" s="279" t="n"/>
      <x:c r="H58" s="279" t="n"/>
      <x:c r="I58" s="279" t="n"/>
      <x:c r="J58" s="279" t="n"/>
      <x:c r="K58" s="279" t="n"/>
      <x:c r="L58" s="279" t="n"/>
      <x:c r="M58" s="279" t="n"/>
      <x:c r="N58" s="279" t="n"/>
      <x:c r="O58" s="279" t="n"/>
    </x:row>
    <x:row r="59">
      <x:c r="A59" s="279" t="n"/>
      <x:c r="B59" s="279" t="n"/>
      <x:c r="C59" s="279" t="n"/>
      <x:c r="D59" s="279" t="n"/>
      <x:c r="E59" s="279" t="n"/>
      <x:c r="F59" s="279" t="n"/>
      <x:c r="G59" s="279" t="n"/>
      <x:c r="H59" s="279" t="n"/>
      <x:c r="I59" s="279" t="n"/>
      <x:c r="J59" s="279" t="n"/>
      <x:c r="K59" s="279" t="n"/>
      <x:c r="L59" s="279" t="n"/>
      <x:c r="M59" s="279" t="n"/>
      <x:c r="N59" s="279" t="n"/>
      <x:c r="O59" s="279" t="n"/>
    </x:row>
    <x:row r="60">
      <x:c r="A60" s="279" t="n"/>
      <x:c r="B60" s="279" t="n"/>
      <x:c r="C60" s="279" t="n"/>
      <x:c r="D60" s="279" t="n"/>
      <x:c r="E60" s="279" t="n"/>
      <x:c r="F60" s="279" t="n"/>
      <x:c r="G60" s="279" t="n"/>
      <x:c r="H60" s="279" t="n"/>
      <x:c r="I60" s="279" t="n"/>
      <x:c r="J60" s="279" t="n"/>
      <x:c r="K60" s="279" t="n"/>
      <x:c r="L60" s="279" t="n"/>
      <x:c r="M60" s="279" t="n"/>
      <x:c r="N60" s="279" t="n"/>
      <x:c r="O60" s="279" t="n"/>
    </x:row>
    <x:row r="61">
      <x:c r="A61" s="279" t="n"/>
      <x:c r="B61" s="279" t="n"/>
      <x:c r="C61" s="279" t="n"/>
      <x:c r="D61" s="279" t="n"/>
      <x:c r="E61" s="279" t="n"/>
      <x:c r="F61" s="279" t="n"/>
      <x:c r="G61" s="279" t="n"/>
      <x:c r="H61" s="279" t="n"/>
      <x:c r="I61" s="279" t="n"/>
      <x:c r="J61" s="279" t="n"/>
      <x:c r="K61" s="279" t="n"/>
      <x:c r="L61" s="279" t="n"/>
      <x:c r="M61" s="279" t="n"/>
      <x:c r="N61" s="279" t="n"/>
      <x:c r="O61" s="279" t="n"/>
    </x:row>
    <x:row r="62">
      <x:c r="A62" s="279" t="n"/>
      <x:c r="B62" s="279" t="n"/>
      <x:c r="C62" s="279" t="n"/>
      <x:c r="D62" s="279" t="n"/>
      <x:c r="E62" s="279" t="n"/>
      <x:c r="F62" s="279" t="n"/>
      <x:c r="G62" s="279" t="n"/>
      <x:c r="H62" s="279" t="n"/>
      <x:c r="I62" s="279" t="n"/>
      <x:c r="J62" s="279" t="n"/>
      <x:c r="K62" s="279" t="n"/>
      <x:c r="L62" s="279" t="n"/>
      <x:c r="M62" s="279" t="n"/>
      <x:c r="N62" s="279" t="n"/>
      <x:c r="O62" s="279" t="n"/>
    </x:row>
    <x:row r="63">
      <x:c r="A63" s="279" t="n"/>
      <x:c r="B63" s="279" t="n"/>
      <x:c r="C63" s="279" t="n"/>
      <x:c r="D63" s="279" t="n"/>
      <x:c r="E63" s="279" t="n"/>
      <x:c r="F63" s="279" t="n"/>
      <x:c r="G63" s="279" t="n"/>
      <x:c r="H63" s="279" t="n"/>
      <x:c r="I63" s="279" t="n"/>
      <x:c r="J63" s="279" t="n"/>
      <x:c r="K63" s="279" t="n"/>
      <x:c r="L63" s="279" t="n"/>
      <x:c r="M63" s="279" t="n"/>
      <x:c r="N63" s="279" t="n"/>
      <x:c r="O63" s="279" t="n"/>
    </x:row>
    <x:row r="64">
      <x:c r="A64" s="279" t="n"/>
      <x:c r="B64" s="279" t="n"/>
      <x:c r="C64" s="279" t="n"/>
      <x:c r="D64" s="279" t="n"/>
      <x:c r="E64" s="279" t="n"/>
      <x:c r="F64" s="279" t="n"/>
      <x:c r="G64" s="279" t="n"/>
      <x:c r="H64" s="279" t="n"/>
      <x:c r="I64" s="279" t="n"/>
      <x:c r="J64" s="279" t="n"/>
      <x:c r="K64" s="279" t="n"/>
      <x:c r="L64" s="279" t="n"/>
      <x:c r="M64" s="279" t="n"/>
      <x:c r="N64" s="279" t="n"/>
      <x:c r="O64" s="279" t="n"/>
    </x:row>
    <x:row r="65">
      <x:c r="A65" s="279" t="n"/>
      <x:c r="B65" s="279" t="n"/>
      <x:c r="C65" s="279" t="n"/>
      <x:c r="D65" s="279" t="n"/>
      <x:c r="E65" s="279" t="n"/>
      <x:c r="F65" s="279" t="n"/>
      <x:c r="G65" s="279" t="n"/>
      <x:c r="H65" s="279" t="n"/>
      <x:c r="I65" s="279" t="n"/>
      <x:c r="J65" s="279" t="n"/>
      <x:c r="K65" s="279" t="n"/>
      <x:c r="L65" s="279" t="n"/>
      <x:c r="M65" s="279" t="n"/>
      <x:c r="N65" s="279" t="n"/>
      <x:c r="O65" s="279" t="n"/>
    </x:row>
    <x:row r="66">
      <x:c r="A66" s="279" t="n"/>
      <x:c r="B66" s="279" t="n"/>
      <x:c r="C66" s="279" t="n"/>
      <x:c r="D66" s="279" t="n"/>
      <x:c r="E66" s="279" t="n"/>
      <x:c r="F66" s="279" t="n"/>
      <x:c r="G66" s="279" t="n"/>
      <x:c r="H66" s="279" t="n"/>
      <x:c r="I66" s="279" t="n"/>
      <x:c r="J66" s="279" t="n"/>
      <x:c r="K66" s="279" t="n"/>
      <x:c r="L66" s="279" t="n"/>
      <x:c r="M66" s="279" t="n"/>
      <x:c r="N66" s="279" t="n"/>
      <x:c r="O66" s="279" t="n"/>
    </x:row>
    <x:row r="67">
      <x:c r="A67" s="279" t="n"/>
      <x:c r="B67" s="279" t="n"/>
      <x:c r="C67" s="279" t="n"/>
      <x:c r="D67" s="279" t="n"/>
      <x:c r="E67" s="279" t="n"/>
      <x:c r="F67" s="279" t="n"/>
      <x:c r="G67" s="279" t="n"/>
      <x:c r="H67" s="279" t="n"/>
      <x:c r="I67" s="279" t="n"/>
      <x:c r="J67" s="279" t="n"/>
      <x:c r="K67" s="279" t="n"/>
      <x:c r="L67" s="279" t="n"/>
      <x:c r="M67" s="279" t="n"/>
      <x:c r="N67" s="279" t="n"/>
      <x:c r="O67" s="279" t="n"/>
    </x:row>
    <x:row r="68">
      <x:c r="A68" s="279" t="n"/>
      <x:c r="B68" s="279" t="n"/>
      <x:c r="C68" s="279" t="n"/>
      <x:c r="D68" s="279" t="n"/>
      <x:c r="E68" s="279" t="n"/>
      <x:c r="F68" s="279" t="n"/>
      <x:c r="G68" s="279" t="n"/>
      <x:c r="H68" s="279" t="n"/>
      <x:c r="I68" s="279" t="n"/>
      <x:c r="J68" s="279" t="n"/>
      <x:c r="K68" s="279" t="n"/>
      <x:c r="L68" s="279" t="n"/>
      <x:c r="M68" s="279" t="n"/>
      <x:c r="N68" s="279" t="n"/>
      <x:c r="O68" s="279" t="n"/>
    </x:row>
    <x:row r="69">
      <x:c r="A69" s="279" t="n"/>
      <x:c r="B69" s="279" t="n"/>
      <x:c r="C69" s="279" t="n"/>
      <x:c r="D69" s="279" t="n"/>
      <x:c r="E69" s="279" t="n"/>
      <x:c r="F69" s="279" t="n"/>
      <x:c r="G69" s="279" t="n"/>
      <x:c r="H69" s="279" t="n"/>
      <x:c r="I69" s="279" t="n"/>
      <x:c r="J69" s="279" t="n"/>
      <x:c r="K69" s="279" t="n"/>
      <x:c r="L69" s="279" t="n"/>
      <x:c r="M69" s="279" t="n"/>
      <x:c r="N69" s="279" t="n"/>
      <x:c r="O69" s="279" t="n"/>
    </x:row>
    <x:row r="70">
      <x:c r="A70" s="279" t="n"/>
      <x:c r="B70" s="279" t="n"/>
      <x:c r="C70" s="279" t="n"/>
      <x:c r="D70" s="279" t="n"/>
      <x:c r="E70" s="279" t="n"/>
      <x:c r="F70" s="279" t="n"/>
      <x:c r="G70" s="279" t="n"/>
      <x:c r="H70" s="279" t="n"/>
      <x:c r="I70" s="279" t="n"/>
      <x:c r="J70" s="279" t="n"/>
      <x:c r="K70" s="279" t="n"/>
      <x:c r="L70" s="279" t="n"/>
      <x:c r="M70" s="279" t="n"/>
      <x:c r="N70" s="279" t="n"/>
      <x:c r="O70" s="279" t="n"/>
    </x:row>
    <x:row r="71">
      <x:c r="A71" s="279" t="n"/>
      <x:c r="B71" s="279" t="n"/>
      <x:c r="C71" s="279" t="n"/>
      <x:c r="D71" s="279" t="n"/>
      <x:c r="E71" s="279" t="n"/>
      <x:c r="F71" s="279" t="n"/>
      <x:c r="G71" s="279" t="n"/>
      <x:c r="H71" s="279" t="n"/>
      <x:c r="I71" s="279" t="n"/>
      <x:c r="J71" s="279" t="n"/>
      <x:c r="K71" s="279" t="n"/>
      <x:c r="L71" s="279" t="n"/>
      <x:c r="M71" s="279" t="n"/>
      <x:c r="N71" s="279" t="n"/>
      <x:c r="O71" s="279" t="n"/>
    </x:row>
    <x:row r="72">
      <x:c r="A72" s="279" t="n"/>
      <x:c r="B72" s="279" t="n"/>
      <x:c r="C72" s="279" t="n"/>
      <x:c r="D72" s="279" t="n"/>
      <x:c r="E72" s="279" t="n"/>
      <x:c r="F72" s="279" t="n"/>
      <x:c r="G72" s="279" t="n"/>
      <x:c r="H72" s="279" t="n"/>
      <x:c r="I72" s="279" t="n"/>
      <x:c r="J72" s="279" t="n"/>
      <x:c r="K72" s="279" t="n"/>
      <x:c r="L72" s="279" t="n"/>
      <x:c r="M72" s="279" t="n"/>
      <x:c r="N72" s="279" t="n"/>
      <x:c r="O72" s="279" t="n"/>
    </x:row>
    <x:row r="73">
      <x:c r="A73" s="279" t="n"/>
      <x:c r="B73" s="279" t="n"/>
      <x:c r="C73" s="279" t="n"/>
      <x:c r="D73" s="279" t="n"/>
      <x:c r="E73" s="279" t="n"/>
      <x:c r="F73" s="279" t="n"/>
      <x:c r="G73" s="279" t="n"/>
      <x:c r="H73" s="279" t="n"/>
      <x:c r="I73" s="279" t="n"/>
      <x:c r="J73" s="279" t="n"/>
      <x:c r="K73" s="279" t="n"/>
      <x:c r="L73" s="279" t="n"/>
      <x:c r="M73" s="279" t="n"/>
      <x:c r="N73" s="279" t="n"/>
      <x:c r="O73" s="279" t="n"/>
    </x:row>
    <x:row r="74">
      <x:c r="A74" s="279" t="n"/>
      <x:c r="B74" s="279" t="n"/>
      <x:c r="C74" s="279" t="n"/>
      <x:c r="D74" s="279" t="n"/>
      <x:c r="E74" s="279" t="n"/>
      <x:c r="F74" s="279" t="n"/>
      <x:c r="G74" s="279" t="n"/>
      <x:c r="H74" s="279" t="n"/>
      <x:c r="I74" s="279" t="n"/>
      <x:c r="J74" s="279" t="n"/>
      <x:c r="K74" s="279" t="n"/>
      <x:c r="L74" s="279" t="n"/>
      <x:c r="M74" s="279" t="n"/>
      <x:c r="N74" s="279" t="n"/>
      <x:c r="O74" s="279" t="n"/>
    </x:row>
    <x:row r="75">
      <x:c r="A75" s="279" t="n"/>
      <x:c r="B75" s="279" t="n"/>
      <x:c r="C75" s="279" t="n"/>
      <x:c r="D75" s="279" t="n"/>
      <x:c r="E75" s="279" t="n"/>
      <x:c r="F75" s="279" t="n"/>
      <x:c r="G75" s="279" t="n"/>
      <x:c r="H75" s="279" t="n"/>
      <x:c r="I75" s="279" t="n"/>
      <x:c r="J75" s="279" t="n"/>
      <x:c r="K75" s="279" t="n"/>
      <x:c r="L75" s="279" t="n"/>
      <x:c r="M75" s="279" t="n"/>
      <x:c r="N75" s="279" t="n"/>
      <x:c r="O75" s="279" t="n"/>
    </x:row>
    <x:row r="76">
      <x:c r="A76" s="279" t="n"/>
      <x:c r="B76" s="279" t="n"/>
      <x:c r="C76" s="279" t="n"/>
      <x:c r="D76" s="279" t="n"/>
      <x:c r="E76" s="279" t="n"/>
      <x:c r="F76" s="279" t="n"/>
      <x:c r="G76" s="279" t="n"/>
      <x:c r="H76" s="279" t="n"/>
      <x:c r="I76" s="279" t="n"/>
      <x:c r="J76" s="279" t="n"/>
      <x:c r="K76" s="279" t="n"/>
      <x:c r="L76" s="279" t="n"/>
      <x:c r="M76" s="279" t="n"/>
      <x:c r="N76" s="279" t="n"/>
      <x:c r="O76" s="279" t="n"/>
    </x:row>
    <x:row r="77">
      <x:c r="A77" s="279" t="n"/>
      <x:c r="B77" s="279" t="n"/>
      <x:c r="C77" s="279" t="n"/>
      <x:c r="D77" s="279" t="n"/>
      <x:c r="E77" s="279" t="n"/>
      <x:c r="F77" s="279" t="n"/>
      <x:c r="G77" s="279" t="n"/>
      <x:c r="H77" s="279" t="n"/>
      <x:c r="I77" s="279" t="n"/>
      <x:c r="J77" s="279" t="n"/>
      <x:c r="K77" s="279" t="n"/>
      <x:c r="L77" s="279" t="n"/>
      <x:c r="M77" s="279" t="n"/>
      <x:c r="N77" s="279" t="n"/>
      <x:c r="O77" s="279" t="n"/>
    </x:row>
    <x:row r="78">
      <x:c r="A78" s="279" t="n"/>
      <x:c r="B78" s="279" t="n"/>
      <x:c r="C78" s="279" t="n"/>
      <x:c r="D78" s="279" t="n"/>
      <x:c r="E78" s="279" t="n"/>
      <x:c r="F78" s="279" t="n"/>
      <x:c r="G78" s="279" t="n"/>
      <x:c r="H78" s="279" t="n"/>
      <x:c r="I78" s="279" t="n"/>
      <x:c r="J78" s="279" t="n"/>
      <x:c r="K78" s="279" t="n"/>
      <x:c r="L78" s="279" t="n"/>
      <x:c r="M78" s="279" t="n"/>
      <x:c r="N78" s="279" t="n"/>
      <x:c r="O78" s="279" t="n"/>
    </x:row>
    <x:row r="79">
      <x:c r="A79" s="279" t="n"/>
      <x:c r="B79" s="279" t="n"/>
      <x:c r="C79" s="279" t="n"/>
      <x:c r="D79" s="279" t="n"/>
      <x:c r="E79" s="279" t="n"/>
      <x:c r="F79" s="279" t="n"/>
      <x:c r="G79" s="279" t="n"/>
      <x:c r="H79" s="279" t="n"/>
      <x:c r="I79" s="279" t="n"/>
      <x:c r="J79" s="279" t="n"/>
      <x:c r="K79" s="279" t="n"/>
      <x:c r="L79" s="279" t="n"/>
      <x:c r="M79" s="279" t="n"/>
      <x:c r="N79" s="279" t="n"/>
      <x:c r="O79" s="279" t="n"/>
    </x:row>
    <x:row r="80">
      <x:c r="A80" s="279" t="n"/>
      <x:c r="B80" s="279" t="n"/>
      <x:c r="C80" s="279" t="n"/>
      <x:c r="D80" s="279" t="n"/>
      <x:c r="E80" s="279" t="n"/>
      <x:c r="F80" s="279" t="n"/>
      <x:c r="G80" s="279" t="n"/>
      <x:c r="H80" s="279" t="n"/>
      <x:c r="I80" s="279" t="n"/>
      <x:c r="J80" s="279" t="n"/>
      <x:c r="K80" s="279" t="n"/>
      <x:c r="L80" s="279" t="n"/>
      <x:c r="M80" s="279" t="n"/>
      <x:c r="N80" s="279" t="n"/>
      <x:c r="O80" s="279" t="n"/>
    </x:row>
    <x:row r="81">
      <x:c r="A81" s="279" t="n"/>
      <x:c r="B81" s="279" t="n"/>
      <x:c r="C81" s="279" t="n"/>
      <x:c r="D81" s="279" t="n"/>
      <x:c r="E81" s="279" t="n"/>
      <x:c r="F81" s="279" t="n"/>
      <x:c r="G81" s="279" t="n"/>
      <x:c r="H81" s="279" t="n"/>
      <x:c r="I81" s="279" t="n"/>
      <x:c r="J81" s="279" t="n"/>
      <x:c r="K81" s="279" t="n"/>
      <x:c r="L81" s="279" t="n"/>
      <x:c r="M81" s="279" t="n"/>
      <x:c r="N81" s="279" t="n"/>
      <x:c r="O81" s="279" t="n"/>
    </x:row>
    <x:row r="82">
      <x:c r="A82" s="279" t="n"/>
      <x:c r="B82" s="279" t="n"/>
      <x:c r="C82" s="279" t="n"/>
      <x:c r="D82" s="279" t="n"/>
      <x:c r="E82" s="279" t="n"/>
      <x:c r="F82" s="279" t="n"/>
      <x:c r="G82" s="279" t="n"/>
      <x:c r="H82" s="279" t="n"/>
      <x:c r="I82" s="279" t="n"/>
      <x:c r="J82" s="279" t="n"/>
      <x:c r="K82" s="279" t="n"/>
      <x:c r="L82" s="279" t="n"/>
      <x:c r="M82" s="279" t="n"/>
      <x:c r="N82" s="279" t="n"/>
      <x:c r="O82" s="279" t="n"/>
    </x:row>
    <x:row r="83">
      <x:c r="A83" s="279" t="n"/>
      <x:c r="B83" s="279" t="n"/>
      <x:c r="C83" s="279" t="n"/>
      <x:c r="D83" s="279" t="n"/>
      <x:c r="E83" s="279" t="n"/>
      <x:c r="F83" s="279" t="n"/>
      <x:c r="G83" s="279" t="n"/>
      <x:c r="H83" s="279" t="n"/>
      <x:c r="I83" s="279" t="n"/>
      <x:c r="J83" s="279" t="n"/>
      <x:c r="K83" s="279" t="n"/>
      <x:c r="L83" s="279" t="n"/>
      <x:c r="M83" s="279" t="n"/>
      <x:c r="N83" s="279" t="n"/>
      <x:c r="O83" s="279" t="n"/>
    </x:row>
    <x:row r="84">
      <x:c r="A84" s="279" t="n"/>
      <x:c r="B84" s="279" t="n"/>
      <x:c r="C84" s="279" t="n"/>
      <x:c r="D84" s="279" t="n"/>
      <x:c r="E84" s="279" t="n"/>
      <x:c r="F84" s="279" t="n"/>
      <x:c r="G84" s="279" t="n"/>
      <x:c r="H84" s="279" t="n"/>
      <x:c r="I84" s="279" t="n"/>
      <x:c r="J84" s="279" t="n"/>
      <x:c r="K84" s="279" t="n"/>
      <x:c r="L84" s="279" t="n"/>
      <x:c r="M84" s="279" t="n"/>
      <x:c r="N84" s="279" t="n"/>
      <x:c r="O84" s="279" t="n"/>
    </x:row>
    <x:row r="85">
      <x:c r="A85" s="279" t="n"/>
      <x:c r="B85" s="279" t="n"/>
      <x:c r="C85" s="279" t="n"/>
      <x:c r="D85" s="279" t="n"/>
      <x:c r="E85" s="279" t="n"/>
      <x:c r="F85" s="279" t="n"/>
      <x:c r="G85" s="279" t="n"/>
      <x:c r="H85" s="279" t="n"/>
      <x:c r="I85" s="279" t="n"/>
      <x:c r="J85" s="279" t="n"/>
      <x:c r="K85" s="279" t="n"/>
      <x:c r="L85" s="279" t="n"/>
      <x:c r="M85" s="279" t="n"/>
      <x:c r="N85" s="279" t="n"/>
      <x:c r="O85" s="279" t="n"/>
    </x:row>
    <x:row r="86">
      <x:c r="A86" s="279" t="n"/>
      <x:c r="B86" s="279" t="n"/>
      <x:c r="C86" s="279" t="n"/>
      <x:c r="D86" s="279" t="n"/>
      <x:c r="E86" s="279" t="n"/>
      <x:c r="F86" s="279" t="n"/>
      <x:c r="G86" s="279" t="n"/>
      <x:c r="H86" s="279" t="n"/>
      <x:c r="I86" s="279" t="n"/>
      <x:c r="J86" s="279" t="n"/>
      <x:c r="K86" s="279" t="n"/>
      <x:c r="L86" s="279" t="n"/>
      <x:c r="M86" s="279" t="n"/>
      <x:c r="N86" s="279" t="n"/>
      <x:c r="O86" s="279" t="n"/>
    </x:row>
    <x:row r="87">
      <x:c r="A87" s="279" t="n"/>
      <x:c r="B87" s="279" t="n"/>
      <x:c r="C87" s="279" t="n"/>
      <x:c r="D87" s="279" t="n"/>
      <x:c r="E87" s="279" t="n"/>
      <x:c r="F87" s="279" t="n"/>
      <x:c r="G87" s="279" t="n"/>
      <x:c r="H87" s="279" t="n"/>
      <x:c r="I87" s="279" t="n"/>
      <x:c r="J87" s="279" t="n"/>
      <x:c r="K87" s="279" t="n"/>
      <x:c r="L87" s="279" t="n"/>
      <x:c r="M87" s="279" t="n"/>
      <x:c r="N87" s="279" t="n"/>
      <x:c r="O87" s="279" t="n"/>
    </x:row>
    <x:row r="88">
      <x:c r="A88" s="279" t="n"/>
      <x:c r="B88" s="279" t="n"/>
      <x:c r="C88" s="279" t="n"/>
      <x:c r="D88" s="279" t="n"/>
      <x:c r="E88" s="279" t="n"/>
      <x:c r="F88" s="279" t="n"/>
      <x:c r="G88" s="279" t="n"/>
      <x:c r="H88" s="279" t="n"/>
      <x:c r="I88" s="279" t="n"/>
      <x:c r="J88" s="279" t="n"/>
      <x:c r="K88" s="279" t="n"/>
      <x:c r="L88" s="279" t="n"/>
      <x:c r="M88" s="279" t="n"/>
      <x:c r="N88" s="279" t="n"/>
      <x:c r="O88" s="279" t="n"/>
    </x:row>
    <x:row r="89">
      <x:c r="A89" s="279" t="n"/>
      <x:c r="B89" s="279" t="n"/>
      <x:c r="C89" s="279" t="n"/>
      <x:c r="D89" s="279" t="n"/>
      <x:c r="E89" s="279" t="n"/>
      <x:c r="F89" s="279" t="n"/>
      <x:c r="G89" s="279" t="n"/>
      <x:c r="H89" s="279" t="n"/>
      <x:c r="I89" s="279" t="n"/>
      <x:c r="J89" s="279" t="n"/>
      <x:c r="K89" s="279" t="n"/>
      <x:c r="L89" s="279" t="n"/>
      <x:c r="M89" s="279" t="n"/>
      <x:c r="N89" s="279" t="n"/>
      <x:c r="O89" s="279" t="n"/>
    </x:row>
    <x:row r="90">
      <x:c r="A90" s="279" t="n"/>
      <x:c r="B90" s="279" t="n"/>
      <x:c r="C90" s="279" t="n"/>
      <x:c r="D90" s="279" t="n"/>
      <x:c r="E90" s="279" t="n"/>
      <x:c r="F90" s="279" t="n"/>
      <x:c r="G90" s="279" t="n"/>
      <x:c r="H90" s="279" t="n"/>
      <x:c r="I90" s="279" t="n"/>
      <x:c r="J90" s="279" t="n"/>
      <x:c r="K90" s="279" t="n"/>
      <x:c r="L90" s="279" t="n"/>
      <x:c r="M90" s="279" t="n"/>
      <x:c r="N90" s="279" t="n"/>
      <x:c r="O90" s="279" t="n"/>
    </x:row>
    <x:row r="91">
      <x:c r="A91" s="279" t="n"/>
      <x:c r="B91" s="279" t="n"/>
      <x:c r="C91" s="279" t="n"/>
      <x:c r="D91" s="279" t="n"/>
      <x:c r="E91" s="279" t="n"/>
      <x:c r="F91" s="279" t="n"/>
      <x:c r="G91" s="279" t="n"/>
      <x:c r="H91" s="279" t="n"/>
      <x:c r="I91" s="279" t="n"/>
      <x:c r="J91" s="279" t="n"/>
      <x:c r="K91" s="279" t="n"/>
      <x:c r="L91" s="279" t="n"/>
      <x:c r="M91" s="279" t="n"/>
      <x:c r="N91" s="279" t="n"/>
      <x:c r="O91" s="279" t="n"/>
    </x:row>
    <x:row r="92">
      <x:c r="A92" s="279" t="n"/>
      <x:c r="B92" s="279" t="n"/>
      <x:c r="C92" s="279" t="n"/>
      <x:c r="D92" s="279" t="n"/>
      <x:c r="E92" s="279" t="n"/>
      <x:c r="F92" s="279" t="n"/>
      <x:c r="G92" s="279" t="n"/>
      <x:c r="H92" s="279" t="n"/>
      <x:c r="I92" s="279" t="n"/>
      <x:c r="J92" s="279" t="n"/>
      <x:c r="K92" s="279" t="n"/>
      <x:c r="L92" s="279" t="n"/>
      <x:c r="M92" s="279" t="n"/>
      <x:c r="N92" s="279" t="n"/>
      <x:c r="O92" s="279" t="n"/>
    </x:row>
    <x:row r="93">
      <x:c r="A93" s="279" t="n"/>
      <x:c r="B93" s="279" t="n"/>
      <x:c r="C93" s="279" t="n"/>
      <x:c r="D93" s="279" t="n"/>
      <x:c r="E93" s="279" t="n"/>
      <x:c r="F93" s="279" t="n"/>
      <x:c r="G93" s="279" t="n"/>
      <x:c r="H93" s="279" t="n"/>
      <x:c r="I93" s="279" t="n"/>
      <x:c r="J93" s="279" t="n"/>
      <x:c r="K93" s="279" t="n"/>
      <x:c r="L93" s="279" t="n"/>
      <x:c r="M93" s="279" t="n"/>
      <x:c r="N93" s="279" t="n"/>
      <x:c r="O93" s="279" t="n"/>
    </x:row>
    <x:row r="94">
      <x:c r="A94" s="279" t="n"/>
      <x:c r="B94" s="279" t="n"/>
      <x:c r="C94" s="279" t="n"/>
      <x:c r="D94" s="279" t="n"/>
      <x:c r="E94" s="279" t="n"/>
      <x:c r="F94" s="279" t="n"/>
      <x:c r="G94" s="279" t="n"/>
      <x:c r="H94" s="279" t="n"/>
      <x:c r="I94" s="279" t="n"/>
      <x:c r="J94" s="279" t="n"/>
      <x:c r="K94" s="279" t="n"/>
      <x:c r="L94" s="279" t="n"/>
      <x:c r="M94" s="279" t="n"/>
      <x:c r="N94" s="279" t="n"/>
      <x:c r="O94" s="279" t="n"/>
    </x:row>
    <x:row r="95">
      <x:c r="A95" s="279" t="n"/>
      <x:c r="B95" s="279" t="n"/>
      <x:c r="C95" s="279" t="n"/>
      <x:c r="D95" s="279" t="n"/>
      <x:c r="E95" s="279" t="n"/>
      <x:c r="F95" s="279" t="n"/>
      <x:c r="G95" s="279" t="n"/>
      <x:c r="H95" s="279" t="n"/>
      <x:c r="I95" s="279" t="n"/>
      <x:c r="J95" s="279" t="n"/>
      <x:c r="K95" s="279" t="n"/>
      <x:c r="L95" s="279" t="n"/>
      <x:c r="M95" s="279" t="n"/>
      <x:c r="N95" s="279" t="n"/>
      <x:c r="O95" s="279" t="n"/>
    </x:row>
    <x:row r="96">
      <x:c r="A96" s="279" t="n"/>
      <x:c r="B96" s="279" t="n"/>
      <x:c r="C96" s="279" t="n"/>
      <x:c r="D96" s="279" t="n"/>
      <x:c r="E96" s="279" t="n"/>
      <x:c r="F96" s="279" t="n"/>
      <x:c r="G96" s="279" t="n"/>
      <x:c r="H96" s="279" t="n"/>
      <x:c r="I96" s="279" t="n"/>
      <x:c r="J96" s="279" t="n"/>
      <x:c r="K96" s="279" t="n"/>
      <x:c r="L96" s="279" t="n"/>
      <x:c r="M96" s="279" t="n"/>
      <x:c r="N96" s="279" t="n"/>
      <x:c r="O96" s="279" t="n"/>
    </x:row>
    <x:row r="97">
      <x:c r="A97" s="279" t="n"/>
      <x:c r="B97" s="279" t="n"/>
      <x:c r="C97" s="279" t="n"/>
      <x:c r="D97" s="279" t="n"/>
      <x:c r="E97" s="279" t="n"/>
      <x:c r="F97" s="279" t="n"/>
      <x:c r="G97" s="279" t="n"/>
      <x:c r="H97" s="279" t="n"/>
      <x:c r="I97" s="279" t="n"/>
      <x:c r="J97" s="279" t="n"/>
      <x:c r="K97" s="279" t="n"/>
      <x:c r="L97" s="279" t="n"/>
      <x:c r="M97" s="279" t="n"/>
      <x:c r="N97" s="279" t="n"/>
      <x:c r="O97" s="279" t="n"/>
    </x:row>
    <x:row r="98">
      <x:c r="A98" s="279" t="n"/>
      <x:c r="B98" s="279" t="n"/>
      <x:c r="C98" s="279" t="n"/>
      <x:c r="D98" s="279" t="n"/>
      <x:c r="E98" s="279" t="n"/>
      <x:c r="F98" s="279" t="n"/>
      <x:c r="G98" s="279" t="n"/>
      <x:c r="H98" s="279" t="n"/>
      <x:c r="I98" s="279" t="n"/>
      <x:c r="J98" s="279" t="n"/>
      <x:c r="K98" s="279" t="n"/>
      <x:c r="L98" s="279" t="n"/>
      <x:c r="M98" s="279" t="n"/>
      <x:c r="N98" s="279" t="n"/>
      <x:c r="O98" s="279" t="n"/>
    </x:row>
    <x:row r="99">
      <x:c r="A99" s="279" t="n"/>
      <x:c r="B99" s="279" t="n"/>
      <x:c r="C99" s="279" t="n"/>
      <x:c r="D99" s="279" t="n"/>
      <x:c r="E99" s="279" t="n"/>
      <x:c r="F99" s="279" t="n"/>
      <x:c r="G99" s="279" t="n"/>
      <x:c r="H99" s="279" t="n"/>
      <x:c r="I99" s="279" t="n"/>
      <x:c r="J99" s="279" t="n"/>
      <x:c r="K99" s="279" t="n"/>
      <x:c r="L99" s="279" t="n"/>
      <x:c r="M99" s="279" t="n"/>
      <x:c r="N99" s="279" t="n"/>
      <x:c r="O99" s="279" t="n"/>
    </x:row>
    <x:row r="100">
      <x:c r="A100" s="279" t="n"/>
      <x:c r="B100" s="279" t="n"/>
      <x:c r="C100" s="279" t="n"/>
      <x:c r="D100" s="279" t="n"/>
      <x:c r="E100" s="279" t="n"/>
      <x:c r="F100" s="279" t="n"/>
      <x:c r="G100" s="279" t="n"/>
      <x:c r="H100" s="279" t="n"/>
      <x:c r="I100" s="279" t="n"/>
      <x:c r="J100" s="279" t="n"/>
      <x:c r="K100" s="279" t="n"/>
      <x:c r="L100" s="279" t="n"/>
      <x:c r="M100" s="279" t="n"/>
      <x:c r="N100" s="279" t="n"/>
      <x:c r="O100" s="279" t="n"/>
    </x:row>
    <x:row r="101">
      <x:c r="A101" s="279" t="n"/>
      <x:c r="B101" s="279" t="n"/>
      <x:c r="C101" s="279" t="n"/>
      <x:c r="D101" s="279" t="n"/>
      <x:c r="E101" s="279" t="n"/>
      <x:c r="F101" s="279" t="n"/>
      <x:c r="G101" s="279" t="n"/>
      <x:c r="H101" s="279" t="n"/>
      <x:c r="I101" s="279" t="n"/>
      <x:c r="J101" s="279" t="n"/>
      <x:c r="K101" s="279" t="n"/>
      <x:c r="L101" s="279" t="n"/>
      <x:c r="M101" s="279" t="n"/>
      <x:c r="N101" s="279" t="n"/>
      <x:c r="O101" s="279" t="n"/>
    </x:row>
    <x:row r="102">
      <x:c r="A102" s="279" t="n"/>
      <x:c r="B102" s="279" t="n"/>
      <x:c r="C102" s="279" t="n"/>
      <x:c r="D102" s="279" t="n"/>
      <x:c r="E102" s="279" t="n"/>
      <x:c r="F102" s="279" t="n"/>
      <x:c r="G102" s="279" t="n"/>
      <x:c r="H102" s="279" t="n"/>
      <x:c r="I102" s="279" t="n"/>
      <x:c r="J102" s="279" t="n"/>
      <x:c r="K102" s="279" t="n"/>
      <x:c r="L102" s="279" t="n"/>
      <x:c r="M102" s="279" t="n"/>
      <x:c r="N102" s="279" t="n"/>
      <x:c r="O102" s="279" t="n"/>
    </x:row>
    <x:row r="103">
      <x:c r="A103" s="279" t="n"/>
      <x:c r="B103" s="279" t="n"/>
      <x:c r="C103" s="279" t="n"/>
      <x:c r="D103" s="279" t="n"/>
      <x:c r="E103" s="279" t="n"/>
      <x:c r="F103" s="279" t="n"/>
      <x:c r="G103" s="279" t="n"/>
      <x:c r="H103" s="279" t="n"/>
      <x:c r="I103" s="279" t="n"/>
      <x:c r="J103" s="279" t="n"/>
      <x:c r="K103" s="279" t="n"/>
      <x:c r="L103" s="279" t="n"/>
      <x:c r="M103" s="279" t="n"/>
      <x:c r="N103" s="279" t="n"/>
      <x:c r="O103" s="279" t="n"/>
    </x:row>
    <x:row r="104">
      <x:c r="A104" s="279" t="n"/>
      <x:c r="B104" s="279" t="n"/>
      <x:c r="C104" s="279" t="n"/>
      <x:c r="D104" s="279" t="n"/>
      <x:c r="E104" s="279" t="n"/>
      <x:c r="F104" s="279" t="n"/>
      <x:c r="G104" s="279" t="n"/>
      <x:c r="H104" s="279" t="n"/>
      <x:c r="I104" s="279" t="n"/>
      <x:c r="J104" s="279" t="n"/>
      <x:c r="K104" s="279" t="n"/>
      <x:c r="L104" s="279" t="n"/>
      <x:c r="M104" s="279" t="n"/>
      <x:c r="N104" s="279" t="n"/>
      <x:c r="O104" s="279" t="n"/>
    </x:row>
    <x:row r="105">
      <x:c r="A105" s="279" t="n"/>
      <x:c r="B105" s="279" t="n"/>
      <x:c r="C105" s="279" t="n"/>
      <x:c r="D105" s="279" t="n"/>
      <x:c r="E105" s="279" t="n"/>
      <x:c r="F105" s="279" t="n"/>
      <x:c r="G105" s="279" t="n"/>
      <x:c r="H105" s="279" t="n"/>
      <x:c r="I105" s="279" t="n"/>
      <x:c r="J105" s="279" t="n"/>
      <x:c r="K105" s="279" t="n"/>
      <x:c r="L105" s="279" t="n"/>
      <x:c r="M105" s="279" t="n"/>
      <x:c r="N105" s="279" t="n"/>
      <x:c r="O105" s="279" t="n"/>
    </x:row>
    <x:row r="106">
      <x:c r="A106" s="279" t="n"/>
      <x:c r="B106" s="279" t="n"/>
      <x:c r="C106" s="279" t="n"/>
      <x:c r="D106" s="279" t="n"/>
      <x:c r="E106" s="279" t="n"/>
      <x:c r="F106" s="279" t="n"/>
      <x:c r="G106" s="279" t="n"/>
      <x:c r="H106" s="279" t="n"/>
      <x:c r="I106" s="279" t="n"/>
      <x:c r="J106" s="279" t="n"/>
      <x:c r="K106" s="279" t="n"/>
      <x:c r="L106" s="279" t="n"/>
      <x:c r="M106" s="279" t="n"/>
      <x:c r="N106" s="279" t="n"/>
      <x:c r="O106" s="279" t="n"/>
    </x:row>
    <x:row r="107">
      <x:c r="A107" s="279" t="n"/>
      <x:c r="B107" s="279" t="n"/>
      <x:c r="C107" s="279" t="n"/>
      <x:c r="D107" s="279" t="n"/>
      <x:c r="E107" s="279" t="n"/>
      <x:c r="F107" s="279" t="n"/>
      <x:c r="G107" s="279" t="n"/>
      <x:c r="H107" s="279" t="n"/>
      <x:c r="I107" s="279" t="n"/>
      <x:c r="J107" s="279" t="n"/>
      <x:c r="K107" s="279" t="n"/>
      <x:c r="L107" s="279" t="n"/>
      <x:c r="M107" s="279" t="n"/>
      <x:c r="N107" s="279" t="n"/>
      <x:c r="O107" s="279" t="n"/>
    </x:row>
    <x:row r="108">
      <x:c r="A108" s="279" t="n"/>
      <x:c r="B108" s="279" t="n"/>
      <x:c r="C108" s="279" t="n"/>
      <x:c r="D108" s="279" t="n"/>
      <x:c r="E108" s="279" t="n"/>
      <x:c r="F108" s="279" t="n"/>
      <x:c r="G108" s="279" t="n"/>
      <x:c r="H108" s="279" t="n"/>
      <x:c r="I108" s="279" t="n"/>
      <x:c r="J108" s="279" t="n"/>
      <x:c r="K108" s="279" t="n"/>
      <x:c r="L108" s="279" t="n"/>
      <x:c r="M108" s="279" t="n"/>
      <x:c r="N108" s="279" t="n"/>
      <x:c r="O108" s="279" t="n"/>
    </x:row>
    <x:row r="109">
      <x:c r="A109" s="279" t="n"/>
      <x:c r="B109" s="279" t="n"/>
      <x:c r="C109" s="279" t="n"/>
      <x:c r="D109" s="279" t="n"/>
      <x:c r="E109" s="279" t="n"/>
      <x:c r="F109" s="279" t="n"/>
      <x:c r="G109" s="279" t="n"/>
      <x:c r="H109" s="279" t="n"/>
      <x:c r="I109" s="279" t="n"/>
      <x:c r="J109" s="279" t="n"/>
      <x:c r="K109" s="279" t="n"/>
      <x:c r="L109" s="279" t="n"/>
      <x:c r="M109" s="279" t="n"/>
      <x:c r="N109" s="279" t="n"/>
      <x:c r="O109" s="279" t="n"/>
    </x:row>
    <x:row r="110">
      <x:c r="A110" s="279" t="n"/>
      <x:c r="B110" s="279" t="n"/>
      <x:c r="C110" s="279" t="n"/>
      <x:c r="D110" s="279" t="n"/>
      <x:c r="E110" s="279" t="n"/>
      <x:c r="F110" s="279" t="n"/>
      <x:c r="G110" s="279" t="n"/>
      <x:c r="H110" s="279" t="n"/>
      <x:c r="I110" s="279" t="n"/>
      <x:c r="J110" s="279" t="n"/>
      <x:c r="K110" s="279" t="n"/>
      <x:c r="L110" s="279" t="n"/>
      <x:c r="M110" s="279" t="n"/>
      <x:c r="N110" s="279" t="n"/>
      <x:c r="O110" s="279" t="n"/>
    </x:row>
    <x:row r="111">
      <x:c r="A111" s="279" t="n"/>
      <x:c r="B111" s="279" t="n"/>
      <x:c r="C111" s="279" t="n"/>
      <x:c r="D111" s="279" t="n"/>
      <x:c r="E111" s="279" t="n"/>
      <x:c r="F111" s="279" t="n"/>
      <x:c r="G111" s="279" t="n"/>
      <x:c r="H111" s="279" t="n"/>
      <x:c r="I111" s="279" t="n"/>
      <x:c r="J111" s="279" t="n"/>
      <x:c r="K111" s="279" t="n"/>
      <x:c r="L111" s="279" t="n"/>
      <x:c r="M111" s="279" t="n"/>
      <x:c r="N111" s="279" t="n"/>
      <x:c r="O111" s="279" t="n"/>
    </x:row>
    <x:row r="112">
      <x:c r="A112" s="279" t="n"/>
      <x:c r="B112" s="279" t="n"/>
      <x:c r="C112" s="279" t="n"/>
      <x:c r="D112" s="279" t="n"/>
      <x:c r="E112" s="279" t="n"/>
      <x:c r="F112" s="279" t="n"/>
      <x:c r="G112" s="279" t="n"/>
      <x:c r="H112" s="279" t="n"/>
      <x:c r="I112" s="279" t="n"/>
      <x:c r="J112" s="279" t="n"/>
      <x:c r="K112" s="279" t="n"/>
      <x:c r="L112" s="279" t="n"/>
      <x:c r="M112" s="279" t="n"/>
      <x:c r="N112" s="279" t="n"/>
      <x:c r="O112" s="279" t="n"/>
    </x:row>
    <x:row r="113">
      <x:c r="A113" s="279" t="n"/>
      <x:c r="B113" s="279" t="n"/>
      <x:c r="C113" s="279" t="n"/>
      <x:c r="D113" s="279" t="n"/>
      <x:c r="E113" s="279" t="n"/>
      <x:c r="F113" s="279" t="n"/>
      <x:c r="G113" s="279" t="n"/>
      <x:c r="H113" s="279" t="n"/>
      <x:c r="I113" s="279" t="n"/>
      <x:c r="J113" s="279" t="n"/>
      <x:c r="K113" s="279" t="n"/>
      <x:c r="L113" s="279" t="n"/>
      <x:c r="M113" s="279" t="n"/>
      <x:c r="N113" s="279" t="n"/>
      <x:c r="O113" s="279" t="n"/>
    </x:row>
    <x:row r="114">
      <x:c r="A114" s="279" t="n"/>
      <x:c r="B114" s="279" t="n"/>
      <x:c r="C114" s="279" t="n"/>
      <x:c r="D114" s="279" t="n"/>
      <x:c r="E114" s="279" t="n"/>
      <x:c r="F114" s="279" t="n"/>
      <x:c r="G114" s="279" t="n"/>
      <x:c r="H114" s="279" t="n"/>
      <x:c r="I114" s="279" t="n"/>
      <x:c r="J114" s="279" t="n"/>
      <x:c r="K114" s="279" t="n"/>
      <x:c r="L114" s="279" t="n"/>
      <x:c r="M114" s="279" t="n"/>
      <x:c r="N114" s="279" t="n"/>
      <x:c r="O114" s="279" t="n"/>
    </x:row>
    <x:row r="115">
      <x:c r="A115" s="279" t="n"/>
      <x:c r="B115" s="279" t="n"/>
      <x:c r="C115" s="279" t="n"/>
      <x:c r="D115" s="279" t="n"/>
      <x:c r="E115" s="279" t="n"/>
      <x:c r="F115" s="279" t="n"/>
      <x:c r="G115" s="279" t="n"/>
      <x:c r="H115" s="279" t="n"/>
      <x:c r="I115" s="279" t="n"/>
      <x:c r="J115" s="279" t="n"/>
      <x:c r="K115" s="279" t="n"/>
      <x:c r="L115" s="279" t="n"/>
      <x:c r="M115" s="279" t="n"/>
      <x:c r="N115" s="279" t="n"/>
      <x:c r="O115" s="279" t="n"/>
    </x:row>
    <x:row r="116">
      <x:c r="A116" s="279" t="n"/>
      <x:c r="B116" s="279" t="n"/>
      <x:c r="C116" s="279" t="n"/>
      <x:c r="D116" s="279" t="n"/>
      <x:c r="E116" s="279" t="n"/>
      <x:c r="F116" s="279" t="n"/>
      <x:c r="G116" s="279" t="n"/>
      <x:c r="H116" s="279" t="n"/>
      <x:c r="I116" s="279" t="n"/>
      <x:c r="J116" s="279" t="n"/>
      <x:c r="K116" s="279" t="n"/>
      <x:c r="L116" s="279" t="n"/>
      <x:c r="M116" s="279" t="n"/>
      <x:c r="N116" s="279" t="n"/>
      <x:c r="O116" s="279" t="n"/>
    </x:row>
    <x:row r="117">
      <x:c r="A117" s="279" t="n"/>
      <x:c r="B117" s="279" t="n"/>
      <x:c r="C117" s="279" t="n"/>
      <x:c r="D117" s="279" t="n"/>
      <x:c r="E117" s="279" t="n"/>
      <x:c r="F117" s="279" t="n"/>
      <x:c r="G117" s="279" t="n"/>
      <x:c r="H117" s="279" t="n"/>
      <x:c r="I117" s="279" t="n"/>
      <x:c r="J117" s="279" t="n"/>
      <x:c r="K117" s="279" t="n"/>
      <x:c r="L117" s="279" t="n"/>
      <x:c r="M117" s="279" t="n"/>
      <x:c r="N117" s="279" t="n"/>
      <x:c r="O117" s="279" t="n"/>
    </x:row>
    <x:row r="118">
      <x:c r="A118" s="279" t="n"/>
      <x:c r="B118" s="279" t="n"/>
      <x:c r="C118" s="279" t="n"/>
      <x:c r="D118" s="279" t="n"/>
      <x:c r="E118" s="279" t="n"/>
      <x:c r="F118" s="279" t="n"/>
      <x:c r="G118" s="279" t="n"/>
      <x:c r="H118" s="279" t="n"/>
      <x:c r="I118" s="279" t="n"/>
      <x:c r="J118" s="279" t="n"/>
      <x:c r="K118" s="279" t="n"/>
      <x:c r="L118" s="279" t="n"/>
      <x:c r="M118" s="279" t="n"/>
      <x:c r="N118" s="279" t="n"/>
      <x:c r="O118" s="279" t="n"/>
    </x:row>
    <x:row r="119">
      <x:c r="A119" s="279" t="n"/>
      <x:c r="B119" s="279" t="n"/>
      <x:c r="C119" s="279" t="n"/>
      <x:c r="D119" s="279" t="n"/>
      <x:c r="E119" s="279" t="n"/>
      <x:c r="F119" s="279" t="n"/>
      <x:c r="G119" s="279" t="n"/>
      <x:c r="H119" s="279" t="n"/>
      <x:c r="I119" s="279" t="n"/>
      <x:c r="J119" s="279" t="n"/>
      <x:c r="K119" s="279" t="n"/>
      <x:c r="L119" s="279" t="n"/>
      <x:c r="M119" s="279" t="n"/>
      <x:c r="N119" s="279" t="n"/>
      <x:c r="O119" s="279" t="n"/>
    </x:row>
    <x:row r="120">
      <x:c r="A120" s="279" t="n"/>
      <x:c r="B120" s="279" t="n"/>
      <x:c r="C120" s="279" t="n"/>
      <x:c r="D120" s="279" t="n"/>
      <x:c r="E120" s="279" t="n"/>
      <x:c r="F120" s="279" t="n"/>
      <x:c r="G120" s="279" t="n"/>
      <x:c r="H120" s="279" t="n"/>
      <x:c r="I120" s="279" t="n"/>
      <x:c r="J120" s="279" t="n"/>
      <x:c r="K120" s="279" t="n"/>
      <x:c r="L120" s="279" t="n"/>
      <x:c r="M120" s="279" t="n"/>
      <x:c r="N120" s="279" t="n"/>
      <x:c r="O120" s="279" t="n"/>
    </x:row>
    <x:row r="121">
      <x:c r="A121" s="279" t="n"/>
      <x:c r="B121" s="279" t="n"/>
      <x:c r="C121" s="279" t="n"/>
      <x:c r="D121" s="279" t="n"/>
      <x:c r="E121" s="279" t="n"/>
      <x:c r="F121" s="279" t="n"/>
      <x:c r="G121" s="279" t="n"/>
      <x:c r="H121" s="279" t="n"/>
      <x:c r="I121" s="279" t="n"/>
      <x:c r="J121" s="279" t="n"/>
      <x:c r="K121" s="279" t="n"/>
      <x:c r="L121" s="279" t="n"/>
      <x:c r="M121" s="279" t="n"/>
      <x:c r="N121" s="279" t="n"/>
      <x:c r="O121" s="279" t="n"/>
    </x:row>
    <x:row r="122">
      <x:c r="A122" s="279" t="n"/>
      <x:c r="B122" s="279" t="n"/>
      <x:c r="C122" s="279" t="n"/>
      <x:c r="D122" s="279" t="n"/>
      <x:c r="E122" s="279" t="n"/>
      <x:c r="F122" s="279" t="n"/>
      <x:c r="G122" s="279" t="n"/>
      <x:c r="H122" s="279" t="n"/>
      <x:c r="I122" s="279" t="n"/>
      <x:c r="J122" s="279" t="n"/>
      <x:c r="K122" s="279" t="n"/>
      <x:c r="L122" s="279" t="n"/>
      <x:c r="M122" s="279" t="n"/>
      <x:c r="N122" s="279" t="n"/>
      <x:c r="O122" s="279" t="n"/>
    </x:row>
    <x:row r="123">
      <x:c r="A123" s="279" t="n"/>
      <x:c r="B123" s="279" t="n"/>
      <x:c r="C123" s="279" t="n"/>
      <x:c r="D123" s="279" t="n"/>
      <x:c r="E123" s="279" t="n"/>
      <x:c r="F123" s="279" t="n"/>
      <x:c r="G123" s="279" t="n"/>
      <x:c r="H123" s="279" t="n"/>
      <x:c r="I123" s="279" t="n"/>
      <x:c r="J123" s="279" t="n"/>
      <x:c r="K123" s="279" t="n"/>
      <x:c r="L123" s="279" t="n"/>
      <x:c r="M123" s="279" t="n"/>
      <x:c r="N123" s="279" t="n"/>
      <x:c r="O123" s="279" t="n"/>
    </x:row>
    <x:row r="124">
      <x:c r="A124" s="279" t="n"/>
      <x:c r="B124" s="279" t="n"/>
      <x:c r="C124" s="279" t="n"/>
      <x:c r="D124" s="279" t="n"/>
      <x:c r="E124" s="279" t="n"/>
      <x:c r="F124" s="279" t="n"/>
      <x:c r="G124" s="279" t="n"/>
      <x:c r="H124" s="279" t="n"/>
      <x:c r="I124" s="279" t="n"/>
      <x:c r="J124" s="279" t="n"/>
      <x:c r="K124" s="279" t="n"/>
      <x:c r="L124" s="279" t="n"/>
      <x:c r="M124" s="279" t="n"/>
      <x:c r="N124" s="279" t="n"/>
      <x:c r="O124" s="279" t="n"/>
    </x:row>
    <x:row r="125">
      <x:c r="A125" s="279" t="n"/>
      <x:c r="B125" s="279" t="n"/>
      <x:c r="C125" s="279" t="n"/>
      <x:c r="D125" s="279" t="n"/>
      <x:c r="E125" s="279" t="n"/>
      <x:c r="F125" s="279" t="n"/>
      <x:c r="G125" s="279" t="n"/>
      <x:c r="H125" s="279" t="n"/>
      <x:c r="I125" s="279" t="n"/>
      <x:c r="J125" s="279" t="n"/>
      <x:c r="K125" s="279" t="n"/>
      <x:c r="L125" s="279" t="n"/>
      <x:c r="M125" s="279" t="n"/>
      <x:c r="N125" s="279" t="n"/>
      <x:c r="O125" s="279" t="n"/>
    </x:row>
    <x:row r="126">
      <x:c r="A126" s="279" t="n"/>
      <x:c r="B126" s="279" t="n"/>
      <x:c r="C126" s="279" t="n"/>
      <x:c r="D126" s="279" t="n"/>
      <x:c r="E126" s="279" t="n"/>
      <x:c r="F126" s="279" t="n"/>
      <x:c r="G126" s="279" t="n"/>
      <x:c r="H126" s="279" t="n"/>
      <x:c r="I126" s="279" t="n"/>
      <x:c r="J126" s="279" t="n"/>
      <x:c r="K126" s="279" t="n"/>
      <x:c r="L126" s="279" t="n"/>
      <x:c r="M126" s="279" t="n"/>
      <x:c r="N126" s="279" t="n"/>
      <x:c r="O126" s="279" t="n"/>
    </x:row>
    <x:row r="127">
      <x:c r="A127" s="279" t="n"/>
      <x:c r="B127" s="279" t="n"/>
      <x:c r="C127" s="279" t="n"/>
      <x:c r="D127" s="279" t="n"/>
      <x:c r="E127" s="279" t="n"/>
      <x:c r="F127" s="279" t="n"/>
      <x:c r="G127" s="279" t="n"/>
      <x:c r="H127" s="279" t="n"/>
      <x:c r="I127" s="279" t="n"/>
      <x:c r="J127" s="279" t="n"/>
      <x:c r="K127" s="279" t="n"/>
      <x:c r="L127" s="279" t="n"/>
      <x:c r="M127" s="279" t="n"/>
      <x:c r="N127" s="279" t="n"/>
      <x:c r="O127" s="279" t="n"/>
    </x:row>
    <x:row r="128">
      <x:c r="A128" s="279" t="n"/>
      <x:c r="B128" s="279" t="n"/>
      <x:c r="C128" s="279" t="n"/>
      <x:c r="D128" s="279" t="n"/>
      <x:c r="E128" s="279" t="n"/>
      <x:c r="F128" s="279" t="n"/>
      <x:c r="G128" s="279" t="n"/>
      <x:c r="H128" s="279" t="n"/>
      <x:c r="I128" s="279" t="n"/>
      <x:c r="J128" s="279" t="n"/>
      <x:c r="K128" s="279" t="n"/>
      <x:c r="L128" s="279" t="n"/>
      <x:c r="M128" s="279" t="n"/>
      <x:c r="N128" s="279" t="n"/>
      <x:c r="O128" s="279" t="n"/>
    </x:row>
    <x:row r="129">
      <x:c r="A129" s="279" t="n"/>
      <x:c r="B129" s="279" t="n"/>
      <x:c r="C129" s="279" t="n"/>
      <x:c r="D129" s="279" t="n"/>
      <x:c r="E129" s="279" t="n"/>
      <x:c r="F129" s="279" t="n"/>
      <x:c r="G129" s="279" t="n"/>
      <x:c r="H129" s="279" t="n"/>
      <x:c r="I129" s="279" t="n"/>
      <x:c r="J129" s="279" t="n"/>
      <x:c r="K129" s="279" t="n"/>
      <x:c r="L129" s="279" t="n"/>
      <x:c r="M129" s="279" t="n"/>
      <x:c r="N129" s="279" t="n"/>
      <x:c r="O129" s="279" t="n"/>
    </x:row>
    <x:row r="130">
      <x:c r="A130" s="279" t="n"/>
      <x:c r="B130" s="279" t="n"/>
      <x:c r="C130" s="279" t="n"/>
      <x:c r="D130" s="279" t="n"/>
      <x:c r="E130" s="279" t="n"/>
      <x:c r="F130" s="279" t="n"/>
      <x:c r="G130" s="279" t="n"/>
      <x:c r="H130" s="279" t="n"/>
      <x:c r="I130" s="279" t="n"/>
      <x:c r="J130" s="279" t="n"/>
      <x:c r="K130" s="279" t="n"/>
      <x:c r="L130" s="279" t="n"/>
      <x:c r="M130" s="279" t="n"/>
      <x:c r="N130" s="279" t="n"/>
      <x:c r="O130" s="279" t="n"/>
    </x:row>
    <x:row r="131">
      <x:c r="A131" s="279" t="n"/>
      <x:c r="B131" s="279" t="n"/>
      <x:c r="C131" s="279" t="n"/>
      <x:c r="D131" s="279" t="n"/>
      <x:c r="E131" s="279" t="n"/>
      <x:c r="F131" s="279" t="n"/>
      <x:c r="G131" s="279" t="n"/>
      <x:c r="H131" s="279" t="n"/>
      <x:c r="I131" s="279" t="n"/>
      <x:c r="J131" s="279" t="n"/>
      <x:c r="K131" s="279" t="n"/>
      <x:c r="L131" s="279" t="n"/>
      <x:c r="M131" s="279" t="n"/>
      <x:c r="N131" s="279" t="n"/>
      <x:c r="O131" s="279" t="n"/>
    </x:row>
    <x:row r="132">
      <x:c r="A132" s="279" t="n"/>
      <x:c r="B132" s="279" t="n"/>
      <x:c r="C132" s="279" t="n"/>
      <x:c r="D132" s="279" t="n"/>
      <x:c r="E132" s="279" t="n"/>
      <x:c r="F132" s="279" t="n"/>
      <x:c r="G132" s="279" t="n"/>
      <x:c r="H132" s="279" t="n"/>
      <x:c r="I132" s="279" t="n"/>
      <x:c r="J132" s="279" t="n"/>
      <x:c r="K132" s="279" t="n"/>
      <x:c r="L132" s="279" t="n"/>
      <x:c r="M132" s="279" t="n"/>
      <x:c r="N132" s="279" t="n"/>
      <x:c r="O132" s="279" t="n"/>
    </x:row>
    <x:row r="133">
      <x:c r="A133" s="279" t="n"/>
      <x:c r="B133" s="279" t="n"/>
      <x:c r="C133" s="279" t="n"/>
      <x:c r="D133" s="279" t="n"/>
      <x:c r="E133" s="279" t="n"/>
      <x:c r="F133" s="279" t="n"/>
      <x:c r="G133" s="279" t="n"/>
      <x:c r="H133" s="279" t="n"/>
      <x:c r="I133" s="279" t="n"/>
      <x:c r="J133" s="279" t="n"/>
      <x:c r="K133" s="279" t="n"/>
      <x:c r="L133" s="279" t="n"/>
      <x:c r="M133" s="279" t="n"/>
      <x:c r="N133" s="279" t="n"/>
      <x:c r="O133" s="279" t="n"/>
    </x:row>
    <x:row r="134">
      <x:c r="A134" s="279" t="n"/>
      <x:c r="B134" s="279" t="n"/>
      <x:c r="C134" s="279" t="n"/>
      <x:c r="D134" s="279" t="n"/>
      <x:c r="E134" s="279" t="n"/>
      <x:c r="F134" s="279" t="n"/>
      <x:c r="G134" s="279" t="n"/>
      <x:c r="H134" s="279" t="n"/>
      <x:c r="I134" s="279" t="n"/>
      <x:c r="J134" s="279" t="n"/>
      <x:c r="K134" s="279" t="n"/>
      <x:c r="L134" s="279" t="n"/>
      <x:c r="M134" s="279" t="n"/>
      <x:c r="N134" s="279" t="n"/>
      <x:c r="O134" s="279" t="n"/>
    </x:row>
    <x:row r="135">
      <x:c r="A135" s="279" t="n"/>
      <x:c r="B135" s="279" t="n"/>
      <x:c r="C135" s="279" t="n"/>
      <x:c r="D135" s="279" t="n"/>
      <x:c r="E135" s="279" t="n"/>
      <x:c r="F135" s="279" t="n"/>
      <x:c r="G135" s="279" t="n"/>
      <x:c r="H135" s="279" t="n"/>
      <x:c r="I135" s="279" t="n"/>
      <x:c r="J135" s="279" t="n"/>
      <x:c r="K135" s="279" t="n"/>
      <x:c r="L135" s="279" t="n"/>
      <x:c r="M135" s="279" t="n"/>
      <x:c r="N135" s="279" t="n"/>
      <x:c r="O135" s="279" t="n"/>
    </x:row>
    <x:row r="136">
      <x:c r="A136" s="279" t="n"/>
      <x:c r="B136" s="279" t="n"/>
      <x:c r="C136" s="279" t="n"/>
      <x:c r="D136" s="279" t="n"/>
      <x:c r="E136" s="279" t="n"/>
      <x:c r="F136" s="279" t="n"/>
      <x:c r="G136" s="279" t="n"/>
      <x:c r="H136" s="279" t="n"/>
      <x:c r="I136" s="279" t="n"/>
      <x:c r="J136" s="279" t="n"/>
      <x:c r="K136" s="279" t="n"/>
      <x:c r="L136" s="279" t="n"/>
      <x:c r="M136" s="279" t="n"/>
      <x:c r="N136" s="279" t="n"/>
      <x:c r="O136" s="279" t="n"/>
    </x:row>
    <x:row r="137">
      <x:c r="A137" s="279" t="n"/>
      <x:c r="B137" s="279" t="n"/>
      <x:c r="C137" s="279" t="n"/>
      <x:c r="D137" s="279" t="n"/>
      <x:c r="E137" s="279" t="n"/>
      <x:c r="F137" s="279" t="n"/>
      <x:c r="G137" s="279" t="n"/>
      <x:c r="H137" s="279" t="n"/>
      <x:c r="I137" s="279" t="n"/>
      <x:c r="J137" s="279" t="n"/>
      <x:c r="K137" s="279" t="n"/>
      <x:c r="L137" s="279" t="n"/>
      <x:c r="M137" s="279" t="n"/>
      <x:c r="N137" s="279" t="n"/>
      <x:c r="O137" s="279" t="n"/>
    </x:row>
    <x:row r="138">
      <x:c r="A138" s="279" t="n"/>
      <x:c r="B138" s="279" t="n"/>
      <x:c r="C138" s="279" t="n"/>
      <x:c r="D138" s="279" t="n"/>
      <x:c r="E138" s="279" t="n"/>
      <x:c r="F138" s="279" t="n"/>
      <x:c r="G138" s="279" t="n"/>
      <x:c r="H138" s="279" t="n"/>
      <x:c r="I138" s="279" t="n"/>
      <x:c r="J138" s="279" t="n"/>
      <x:c r="K138" s="279" t="n"/>
      <x:c r="L138" s="279" t="n"/>
      <x:c r="M138" s="279" t="n"/>
      <x:c r="N138" s="279" t="n"/>
      <x:c r="O138" s="279" t="n"/>
    </x:row>
    <x:row r="139">
      <x:c r="A139" s="279" t="n"/>
      <x:c r="B139" s="279" t="n"/>
      <x:c r="C139" s="279" t="n"/>
      <x:c r="D139" s="279" t="n"/>
      <x:c r="E139" s="279" t="n"/>
      <x:c r="F139" s="279" t="n"/>
      <x:c r="G139" s="279" t="n"/>
      <x:c r="H139" s="279" t="n"/>
      <x:c r="I139" s="279" t="n"/>
      <x:c r="J139" s="279" t="n"/>
      <x:c r="K139" s="279" t="n"/>
      <x:c r="L139" s="279" t="n"/>
      <x:c r="M139" s="279" t="n"/>
      <x:c r="N139" s="279" t="n"/>
      <x:c r="O139" s="279" t="n"/>
    </x:row>
    <x:row r="140">
      <x:c r="A140" s="279" t="n"/>
      <x:c r="B140" s="279" t="n"/>
      <x:c r="C140" s="279" t="n"/>
      <x:c r="D140" s="279" t="n"/>
      <x:c r="E140" s="279" t="n"/>
      <x:c r="F140" s="279" t="n"/>
      <x:c r="G140" s="279" t="n"/>
      <x:c r="H140" s="279" t="n"/>
      <x:c r="I140" s="279" t="n"/>
      <x:c r="J140" s="279" t="n"/>
      <x:c r="K140" s="279" t="n"/>
      <x:c r="L140" s="279" t="n"/>
      <x:c r="M140" s="279" t="n"/>
      <x:c r="N140" s="279" t="n"/>
      <x:c r="O140" s="279" t="n"/>
    </x:row>
    <x:row r="141">
      <x:c r="A141" s="279" t="n"/>
      <x:c r="B141" s="279" t="n"/>
      <x:c r="C141" s="279" t="n"/>
      <x:c r="D141" s="279" t="n"/>
      <x:c r="E141" s="279" t="n"/>
      <x:c r="F141" s="279" t="n"/>
      <x:c r="G141" s="279" t="n"/>
      <x:c r="H141" s="279" t="n"/>
      <x:c r="I141" s="279" t="n"/>
      <x:c r="J141" s="279" t="n"/>
      <x:c r="K141" s="279" t="n"/>
      <x:c r="L141" s="279" t="n"/>
      <x:c r="M141" s="279" t="n"/>
      <x:c r="N141" s="279" t="n"/>
      <x:c r="O141" s="279" t="n"/>
    </x:row>
    <x:row r="142">
      <x:c r="A142" s="279" t="n"/>
      <x:c r="B142" s="279" t="n"/>
      <x:c r="C142" s="279" t="n"/>
      <x:c r="D142" s="279" t="n"/>
      <x:c r="E142" s="279" t="n"/>
      <x:c r="F142" s="279" t="n"/>
      <x:c r="G142" s="279" t="n"/>
      <x:c r="H142" s="279" t="n"/>
      <x:c r="I142" s="279" t="n"/>
      <x:c r="J142" s="279" t="n"/>
      <x:c r="K142" s="279" t="n"/>
      <x:c r="L142" s="279" t="n"/>
      <x:c r="M142" s="279" t="n"/>
      <x:c r="N142" s="279" t="n"/>
      <x:c r="O142" s="279" t="n"/>
    </x:row>
    <x:row r="143">
      <x:c r="A143" s="279" t="n"/>
      <x:c r="B143" s="279" t="n"/>
      <x:c r="C143" s="279" t="n"/>
      <x:c r="D143" s="279" t="n"/>
      <x:c r="E143" s="279" t="n"/>
      <x:c r="F143" s="279" t="n"/>
      <x:c r="G143" s="279" t="n"/>
      <x:c r="H143" s="279" t="n"/>
      <x:c r="I143" s="279" t="n"/>
      <x:c r="J143" s="279" t="n"/>
      <x:c r="K143" s="279" t="n"/>
      <x:c r="L143" s="279" t="n"/>
      <x:c r="M143" s="279" t="n"/>
      <x:c r="N143" s="279" t="n"/>
      <x:c r="O143" s="279" t="n"/>
    </x:row>
    <x:row r="144">
      <x:c r="A144" s="279" t="n"/>
      <x:c r="B144" s="279" t="n"/>
      <x:c r="C144" s="279" t="n"/>
      <x:c r="D144" s="279" t="n"/>
      <x:c r="E144" s="279" t="n"/>
      <x:c r="F144" s="279" t="n"/>
      <x:c r="G144" s="279" t="n"/>
      <x:c r="H144" s="279" t="n"/>
      <x:c r="I144" s="279" t="n"/>
      <x:c r="J144" s="279" t="n"/>
      <x:c r="K144" s="279" t="n"/>
      <x:c r="L144" s="279" t="n"/>
      <x:c r="M144" s="279" t="n"/>
      <x:c r="N144" s="279" t="n"/>
      <x:c r="O144" s="279" t="n"/>
    </x:row>
    <x:row r="145">
      <x:c r="A145" s="279" t="n"/>
      <x:c r="B145" s="279" t="n"/>
      <x:c r="C145" s="279" t="n"/>
      <x:c r="D145" s="279" t="n"/>
      <x:c r="E145" s="279" t="n"/>
      <x:c r="F145" s="279" t="n"/>
      <x:c r="G145" s="279" t="n"/>
      <x:c r="H145" s="279" t="n"/>
      <x:c r="I145" s="279" t="n"/>
      <x:c r="J145" s="279" t="n"/>
      <x:c r="K145" s="279" t="n"/>
      <x:c r="L145" s="279" t="n"/>
      <x:c r="M145" s="279" t="n"/>
      <x:c r="N145" s="279" t="n"/>
      <x:c r="O145" s="279" t="n"/>
    </x:row>
    <x:row r="146">
      <x:c r="A146" s="279" t="n"/>
      <x:c r="B146" s="279" t="n"/>
      <x:c r="C146" s="279" t="n"/>
      <x:c r="D146" s="279" t="n"/>
      <x:c r="E146" s="279" t="n"/>
      <x:c r="F146" s="279" t="n"/>
      <x:c r="G146" s="279" t="n"/>
      <x:c r="H146" s="279" t="n"/>
      <x:c r="I146" s="279" t="n"/>
      <x:c r="J146" s="279" t="n"/>
      <x:c r="K146" s="279" t="n"/>
      <x:c r="L146" s="279" t="n"/>
      <x:c r="M146" s="279" t="n"/>
      <x:c r="N146" s="279" t="n"/>
      <x:c r="O146" s="279" t="n"/>
    </x:row>
    <x:row r="147">
      <x:c r="A147" s="279" t="n"/>
      <x:c r="B147" s="279" t="n"/>
      <x:c r="C147" s="279" t="n"/>
      <x:c r="D147" s="279" t="n"/>
      <x:c r="E147" s="279" t="n"/>
      <x:c r="F147" s="279" t="n"/>
      <x:c r="G147" s="279" t="n"/>
      <x:c r="H147" s="279" t="n"/>
      <x:c r="I147" s="279" t="n"/>
      <x:c r="J147" s="279" t="n"/>
      <x:c r="K147" s="279" t="n"/>
      <x:c r="L147" s="279" t="n"/>
      <x:c r="M147" s="279" t="n"/>
      <x:c r="N147" s="279" t="n"/>
      <x:c r="O147" s="279" t="n"/>
    </x:row>
    <x:row r="148">
      <x:c r="A148" s="279" t="n"/>
      <x:c r="B148" s="279" t="n"/>
      <x:c r="C148" s="279" t="n"/>
      <x:c r="D148" s="279" t="n"/>
      <x:c r="E148" s="279" t="n"/>
      <x:c r="F148" s="279" t="n"/>
      <x:c r="G148" s="279" t="n"/>
      <x:c r="H148" s="279" t="n"/>
      <x:c r="I148" s="279" t="n"/>
      <x:c r="J148" s="279" t="n"/>
      <x:c r="K148" s="279" t="n"/>
      <x:c r="L148" s="279" t="n"/>
      <x:c r="M148" s="279" t="n"/>
      <x:c r="N148" s="279" t="n"/>
      <x:c r="O148" s="279" t="n"/>
    </x:row>
    <x:row r="149">
      <x:c r="A149" s="279" t="n"/>
      <x:c r="B149" s="279" t="n"/>
      <x:c r="C149" s="279" t="n"/>
      <x:c r="D149" s="279" t="n"/>
      <x:c r="E149" s="279" t="n"/>
      <x:c r="F149" s="279" t="n"/>
      <x:c r="G149" s="279" t="n"/>
      <x:c r="H149" s="279" t="n"/>
      <x:c r="I149" s="279" t="n"/>
      <x:c r="J149" s="279" t="n"/>
      <x:c r="K149" s="279" t="n"/>
      <x:c r="L149" s="279" t="n"/>
      <x:c r="M149" s="279" t="n"/>
      <x:c r="N149" s="279" t="n"/>
      <x:c r="O149" s="279" t="n"/>
    </x:row>
    <x:row r="150">
      <x:c r="A150" s="279" t="n"/>
      <x:c r="B150" s="279" t="n"/>
      <x:c r="C150" s="279" t="n"/>
      <x:c r="D150" s="279" t="n"/>
      <x:c r="E150" s="279" t="n"/>
      <x:c r="F150" s="279" t="n"/>
      <x:c r="G150" s="279" t="n"/>
      <x:c r="H150" s="279" t="n"/>
      <x:c r="I150" s="279" t="n"/>
      <x:c r="J150" s="279" t="n"/>
      <x:c r="K150" s="279" t="n"/>
      <x:c r="L150" s="279" t="n"/>
      <x:c r="M150" s="279" t="n"/>
      <x:c r="N150" s="279" t="n"/>
      <x:c r="O150" s="279" t="n"/>
    </x:row>
    <x:row r="151">
      <x:c r="A151" s="279" t="n"/>
      <x:c r="B151" s="279" t="n"/>
      <x:c r="C151" s="279" t="n"/>
      <x:c r="D151" s="279" t="n"/>
      <x:c r="E151" s="279" t="n"/>
      <x:c r="F151" s="279" t="n"/>
      <x:c r="G151" s="279" t="n"/>
      <x:c r="H151" s="279" t="n"/>
      <x:c r="I151" s="279" t="n"/>
      <x:c r="J151" s="279" t="n"/>
      <x:c r="K151" s="279" t="n"/>
      <x:c r="L151" s="279" t="n"/>
      <x:c r="M151" s="279" t="n"/>
      <x:c r="N151" s="279" t="n"/>
      <x:c r="O151" s="279" t="n"/>
    </x:row>
    <x:row r="152">
      <x:c r="A152" s="279" t="n"/>
      <x:c r="B152" s="279" t="n"/>
      <x:c r="C152" s="279" t="n"/>
      <x:c r="D152" s="279" t="n"/>
      <x:c r="E152" s="279" t="n"/>
      <x:c r="F152" s="279" t="n"/>
      <x:c r="G152" s="279" t="n"/>
      <x:c r="H152" s="279" t="n"/>
      <x:c r="I152" s="279" t="n"/>
      <x:c r="J152" s="279" t="n"/>
      <x:c r="K152" s="279" t="n"/>
      <x:c r="L152" s="279" t="n"/>
      <x:c r="M152" s="279" t="n"/>
      <x:c r="N152" s="279" t="n"/>
      <x:c r="O152" s="279" t="n"/>
    </x:row>
    <x:row r="153">
      <x:c r="A153" s="279" t="n"/>
      <x:c r="B153" s="279" t="n"/>
      <x:c r="C153" s="279" t="n"/>
      <x:c r="D153" s="279" t="n"/>
      <x:c r="E153" s="279" t="n"/>
      <x:c r="F153" s="279" t="n"/>
      <x:c r="G153" s="279" t="n"/>
      <x:c r="H153" s="279" t="n"/>
      <x:c r="I153" s="279" t="n"/>
      <x:c r="J153" s="279" t="n"/>
      <x:c r="K153" s="279" t="n"/>
      <x:c r="L153" s="279" t="n"/>
      <x:c r="M153" s="279" t="n"/>
      <x:c r="N153" s="279" t="n"/>
      <x:c r="O153" s="279" t="n"/>
    </x:row>
    <x:row r="154">
      <x:c r="A154" s="279" t="n"/>
      <x:c r="B154" s="279" t="n"/>
      <x:c r="C154" s="279" t="n"/>
      <x:c r="D154" s="279" t="n"/>
      <x:c r="E154" s="279" t="n"/>
      <x:c r="F154" s="279" t="n"/>
      <x:c r="G154" s="279" t="n"/>
      <x:c r="H154" s="279" t="n"/>
      <x:c r="I154" s="279" t="n"/>
      <x:c r="J154" s="279" t="n"/>
      <x:c r="K154" s="279" t="n"/>
      <x:c r="L154" s="279" t="n"/>
      <x:c r="M154" s="279" t="n"/>
      <x:c r="N154" s="279" t="n"/>
      <x:c r="O154" s="279" t="n"/>
    </x:row>
    <x:row r="155">
      <x:c r="A155" s="279" t="n"/>
      <x:c r="B155" s="279" t="n"/>
      <x:c r="C155" s="279" t="n"/>
      <x:c r="D155" s="279" t="n"/>
      <x:c r="E155" s="279" t="n"/>
      <x:c r="F155" s="279" t="n"/>
      <x:c r="G155" s="279" t="n"/>
      <x:c r="H155" s="279" t="n"/>
      <x:c r="I155" s="279" t="n"/>
      <x:c r="J155" s="279" t="n"/>
      <x:c r="K155" s="279" t="n"/>
      <x:c r="L155" s="279" t="n"/>
      <x:c r="M155" s="279" t="n"/>
      <x:c r="N155" s="279" t="n"/>
      <x:c r="O155" s="279" t="n"/>
    </x:row>
    <x:row r="156">
      <x:c r="A156" s="279" t="n"/>
      <x:c r="B156" s="279" t="n"/>
      <x:c r="C156" s="279" t="n"/>
      <x:c r="D156" s="279" t="n"/>
      <x:c r="E156" s="279" t="n"/>
      <x:c r="F156" s="279" t="n"/>
      <x:c r="G156" s="279" t="n"/>
      <x:c r="H156" s="279" t="n"/>
      <x:c r="I156" s="279" t="n"/>
      <x:c r="J156" s="279" t="n"/>
      <x:c r="K156" s="279" t="n"/>
      <x:c r="L156" s="279" t="n"/>
      <x:c r="M156" s="279" t="n"/>
      <x:c r="N156" s="279" t="n"/>
      <x:c r="O156" s="279" t="n"/>
    </x:row>
    <x:row r="157">
      <x:c r="A157" s="279" t="n"/>
      <x:c r="B157" s="279" t="n"/>
      <x:c r="C157" s="279" t="n"/>
      <x:c r="D157" s="279" t="n"/>
      <x:c r="E157" s="279" t="n"/>
      <x:c r="F157" s="279" t="n"/>
      <x:c r="G157" s="279" t="n"/>
      <x:c r="H157" s="279" t="n"/>
      <x:c r="I157" s="279" t="n"/>
      <x:c r="J157" s="279" t="n"/>
      <x:c r="K157" s="279" t="n"/>
      <x:c r="L157" s="279" t="n"/>
      <x:c r="M157" s="279" t="n"/>
      <x:c r="N157" s="279" t="n"/>
      <x:c r="O157" s="279" t="n"/>
    </x:row>
    <x:row r="158">
      <x:c r="A158" s="279" t="n"/>
      <x:c r="B158" s="279" t="n"/>
      <x:c r="C158" s="279" t="n"/>
      <x:c r="D158" s="279" t="n"/>
      <x:c r="E158" s="279" t="n"/>
      <x:c r="F158" s="279" t="n"/>
      <x:c r="G158" s="279" t="n"/>
      <x:c r="H158" s="279" t="n"/>
      <x:c r="I158" s="279" t="n"/>
      <x:c r="J158" s="279" t="n"/>
      <x:c r="K158" s="279" t="n"/>
      <x:c r="L158" s="279" t="n"/>
      <x:c r="M158" s="279" t="n"/>
      <x:c r="N158" s="279" t="n"/>
      <x:c r="O158" s="279" t="n"/>
    </x:row>
    <x:row r="159">
      <x:c r="A159" s="279" t="n"/>
      <x:c r="B159" s="279" t="n"/>
      <x:c r="C159" s="279" t="n"/>
      <x:c r="D159" s="279" t="n"/>
      <x:c r="E159" s="279" t="n"/>
      <x:c r="F159" s="279" t="n"/>
      <x:c r="G159" s="279" t="n"/>
      <x:c r="H159" s="279" t="n"/>
      <x:c r="I159" s="279" t="n"/>
      <x:c r="J159" s="279" t="n"/>
      <x:c r="K159" s="279" t="n"/>
      <x:c r="L159" s="279" t="n"/>
      <x:c r="M159" s="279" t="n"/>
      <x:c r="N159" s="279" t="n"/>
      <x:c r="O159" s="279" t="n"/>
    </x:row>
    <x:row r="160">
      <x:c r="A160" s="279" t="n"/>
      <x:c r="B160" s="279" t="n"/>
      <x:c r="C160" s="279" t="n"/>
      <x:c r="D160" s="279" t="n"/>
      <x:c r="E160" s="279" t="n"/>
      <x:c r="F160" s="279" t="n"/>
      <x:c r="G160" s="279" t="n"/>
      <x:c r="H160" s="279" t="n"/>
      <x:c r="I160" s="279" t="n"/>
      <x:c r="J160" s="279" t="n"/>
      <x:c r="K160" s="279" t="n"/>
      <x:c r="L160" s="279" t="n"/>
      <x:c r="M160" s="279" t="n"/>
      <x:c r="N160" s="279" t="n"/>
      <x:c r="O160" s="279" t="n"/>
    </x:row>
    <x:row r="161">
      <x:c r="A161" s="279" t="n"/>
      <x:c r="B161" s="279" t="n"/>
      <x:c r="C161" s="279" t="n"/>
      <x:c r="D161" s="279" t="n"/>
      <x:c r="E161" s="279" t="n"/>
      <x:c r="F161" s="279" t="n"/>
      <x:c r="G161" s="279" t="n"/>
      <x:c r="H161" s="279" t="n"/>
      <x:c r="I161" s="279" t="n"/>
      <x:c r="J161" s="279" t="n"/>
      <x:c r="K161" s="279" t="n"/>
      <x:c r="L161" s="279" t="n"/>
      <x:c r="M161" s="279" t="n"/>
      <x:c r="N161" s="279" t="n"/>
      <x:c r="O161" s="279" t="n"/>
    </x:row>
    <x:row r="162">
      <x:c r="A162" s="279" t="n"/>
      <x:c r="B162" s="279" t="n"/>
      <x:c r="C162" s="279" t="n"/>
      <x:c r="D162" s="279" t="n"/>
      <x:c r="E162" s="279" t="n"/>
      <x:c r="F162" s="279" t="n"/>
      <x:c r="G162" s="279" t="n"/>
      <x:c r="H162" s="279" t="n"/>
      <x:c r="I162" s="279" t="n"/>
      <x:c r="J162" s="279" t="n"/>
      <x:c r="K162" s="279" t="n"/>
      <x:c r="L162" s="279" t="n"/>
      <x:c r="M162" s="279" t="n"/>
      <x:c r="N162" s="279" t="n"/>
      <x:c r="O162" s="279" t="n"/>
    </x:row>
    <x:row r="163">
      <x:c r="A163" s="279" t="n"/>
      <x:c r="B163" s="279" t="n"/>
      <x:c r="C163" s="279" t="n"/>
      <x:c r="D163" s="279" t="n"/>
      <x:c r="E163" s="279" t="n"/>
      <x:c r="F163" s="279" t="n"/>
      <x:c r="G163" s="279" t="n"/>
      <x:c r="H163" s="279" t="n"/>
      <x:c r="I163" s="279" t="n"/>
      <x:c r="J163" s="279" t="n"/>
      <x:c r="K163" s="279" t="n"/>
      <x:c r="L163" s="279" t="n"/>
      <x:c r="M163" s="279" t="n"/>
      <x:c r="N163" s="279" t="n"/>
      <x:c r="O163" s="279" t="n"/>
    </x:row>
    <x:row r="164">
      <x:c r="A164" s="279" t="n"/>
      <x:c r="B164" s="279" t="n"/>
      <x:c r="C164" s="279" t="n"/>
      <x:c r="D164" s="279" t="n"/>
      <x:c r="E164" s="279" t="n"/>
      <x:c r="F164" s="279" t="n"/>
      <x:c r="G164" s="279" t="n"/>
      <x:c r="H164" s="279" t="n"/>
      <x:c r="I164" s="279" t="n"/>
      <x:c r="J164" s="279" t="n"/>
      <x:c r="K164" s="279" t="n"/>
      <x:c r="L164" s="279" t="n"/>
      <x:c r="M164" s="279" t="n"/>
      <x:c r="N164" s="279" t="n"/>
      <x:c r="O164" s="279" t="n"/>
    </x:row>
    <x:row r="165">
      <x:c r="A165" s="279" t="n"/>
      <x:c r="B165" s="279" t="n"/>
      <x:c r="C165" s="279" t="n"/>
      <x:c r="D165" s="279" t="n"/>
      <x:c r="E165" s="279" t="n"/>
      <x:c r="F165" s="279" t="n"/>
      <x:c r="G165" s="279" t="n"/>
      <x:c r="H165" s="279" t="n"/>
      <x:c r="I165" s="279" t="n"/>
      <x:c r="J165" s="279" t="n"/>
      <x:c r="K165" s="279" t="n"/>
      <x:c r="L165" s="279" t="n"/>
      <x:c r="M165" s="279" t="n"/>
      <x:c r="N165" s="279" t="n"/>
      <x:c r="O165" s="279" t="n"/>
    </x:row>
    <x:row r="166">
      <x:c r="A166" s="279" t="n"/>
      <x:c r="B166" s="279" t="n"/>
      <x:c r="C166" s="279" t="n"/>
      <x:c r="D166" s="279" t="n"/>
      <x:c r="E166" s="279" t="n"/>
      <x:c r="F166" s="279" t="n"/>
      <x:c r="G166" s="279" t="n"/>
      <x:c r="H166" s="279" t="n"/>
      <x:c r="I166" s="279" t="n"/>
      <x:c r="J166" s="279" t="n"/>
      <x:c r="K166" s="279" t="n"/>
      <x:c r="L166" s="279" t="n"/>
      <x:c r="M166" s="279" t="n"/>
      <x:c r="N166" s="279" t="n"/>
      <x:c r="O166" s="279" t="n"/>
    </x:row>
    <x:row r="167">
      <x:c r="A167" s="279" t="n"/>
      <x:c r="B167" s="279" t="n"/>
      <x:c r="C167" s="279" t="n"/>
      <x:c r="D167" s="279" t="n"/>
      <x:c r="E167" s="279" t="n"/>
      <x:c r="F167" s="279" t="n"/>
      <x:c r="G167" s="279" t="n"/>
      <x:c r="H167" s="279" t="n"/>
      <x:c r="I167" s="279" t="n"/>
      <x:c r="J167" s="279" t="n"/>
      <x:c r="K167" s="279" t="n"/>
      <x:c r="L167" s="279" t="n"/>
      <x:c r="M167" s="279" t="n"/>
      <x:c r="N167" s="279" t="n"/>
      <x:c r="O167" s="279" t="n"/>
    </x:row>
    <x:row r="168">
      <x:c r="A168" s="279" t="n"/>
      <x:c r="B168" s="279" t="n"/>
      <x:c r="C168" s="279" t="n"/>
      <x:c r="D168" s="279" t="n"/>
      <x:c r="E168" s="279" t="n"/>
      <x:c r="F168" s="279" t="n"/>
      <x:c r="G168" s="279" t="n"/>
      <x:c r="H168" s="279" t="n"/>
      <x:c r="I168" s="279" t="n"/>
      <x:c r="J168" s="279" t="n"/>
      <x:c r="K168" s="279" t="n"/>
      <x:c r="L168" s="279" t="n"/>
      <x:c r="M168" s="279" t="n"/>
      <x:c r="N168" s="279" t="n"/>
      <x:c r="O168" s="279" t="n"/>
    </x:row>
    <x:row r="169">
      <x:c r="A169" s="279" t="n"/>
      <x:c r="B169" s="279" t="n"/>
      <x:c r="C169" s="279" t="n"/>
      <x:c r="D169" s="279" t="n"/>
      <x:c r="E169" s="279" t="n"/>
      <x:c r="F169" s="279" t="n"/>
      <x:c r="G169" s="279" t="n"/>
      <x:c r="H169" s="279" t="n"/>
      <x:c r="I169" s="279" t="n"/>
      <x:c r="J169" s="279" t="n"/>
      <x:c r="K169" s="279" t="n"/>
      <x:c r="L169" s="279" t="n"/>
      <x:c r="M169" s="279" t="n"/>
      <x:c r="N169" s="279" t="n"/>
      <x:c r="O169" s="279" t="n"/>
    </x:row>
    <x:row r="170">
      <x:c r="A170" s="279" t="n"/>
      <x:c r="B170" s="279" t="n"/>
      <x:c r="C170" s="279" t="n"/>
      <x:c r="D170" s="279" t="n"/>
      <x:c r="E170" s="279" t="n"/>
      <x:c r="F170" s="279" t="n"/>
      <x:c r="G170" s="279" t="n"/>
      <x:c r="H170" s="279" t="n"/>
      <x:c r="I170" s="279" t="n"/>
      <x:c r="J170" s="279" t="n"/>
      <x:c r="K170" s="279" t="n"/>
      <x:c r="L170" s="279" t="n"/>
      <x:c r="M170" s="279" t="n"/>
      <x:c r="N170" s="279" t="n"/>
      <x:c r="O170" s="279" t="n"/>
    </x:row>
    <x:row r="171">
      <x:c r="A171" s="279" t="n"/>
      <x:c r="B171" s="279" t="n"/>
      <x:c r="C171" s="279" t="n"/>
      <x:c r="D171" s="279" t="n"/>
      <x:c r="E171" s="279" t="n"/>
      <x:c r="F171" s="279" t="n"/>
      <x:c r="G171" s="279" t="n"/>
      <x:c r="H171" s="279" t="n"/>
      <x:c r="I171" s="279" t="n"/>
      <x:c r="J171" s="279" t="n"/>
      <x:c r="K171" s="279" t="n"/>
      <x:c r="L171" s="279" t="n"/>
      <x:c r="M171" s="279" t="n"/>
      <x:c r="N171" s="279" t="n"/>
      <x:c r="O171" s="279" t="n"/>
    </x:row>
    <x:row r="172">
      <x:c r="A172" s="279" t="n"/>
      <x:c r="B172" s="279" t="n"/>
      <x:c r="C172" s="279" t="n"/>
      <x:c r="D172" s="279" t="n"/>
      <x:c r="E172" s="279" t="n"/>
      <x:c r="F172" s="279" t="n"/>
      <x:c r="G172" s="279" t="n"/>
      <x:c r="H172" s="279" t="n"/>
      <x:c r="I172" s="279" t="n"/>
      <x:c r="J172" s="279" t="n"/>
      <x:c r="K172" s="279" t="n"/>
      <x:c r="L172" s="279" t="n"/>
      <x:c r="M172" s="279" t="n"/>
      <x:c r="N172" s="279" t="n"/>
      <x:c r="O172" s="279" t="n"/>
    </x:row>
    <x:row r="173">
      <x:c r="A173" s="279" t="n"/>
      <x:c r="B173" s="279" t="n"/>
      <x:c r="C173" s="279" t="n"/>
      <x:c r="D173" s="279" t="n"/>
      <x:c r="E173" s="279" t="n"/>
      <x:c r="F173" s="279" t="n"/>
      <x:c r="G173" s="279" t="n"/>
      <x:c r="H173" s="279" t="n"/>
      <x:c r="I173" s="279" t="n"/>
      <x:c r="J173" s="279" t="n"/>
      <x:c r="K173" s="279" t="n"/>
      <x:c r="L173" s="279" t="n"/>
      <x:c r="M173" s="279" t="n"/>
      <x:c r="N173" s="279" t="n"/>
      <x:c r="O173" s="279" t="n"/>
    </x:row>
    <x:row r="174">
      <x:c r="A174" s="279" t="n"/>
      <x:c r="B174" s="279" t="n"/>
      <x:c r="C174" s="279" t="n"/>
      <x:c r="D174" s="279" t="n"/>
      <x:c r="E174" s="279" t="n"/>
      <x:c r="F174" s="279" t="n"/>
      <x:c r="G174" s="279" t="n"/>
      <x:c r="H174" s="279" t="n"/>
      <x:c r="I174" s="279" t="n"/>
      <x:c r="J174" s="279" t="n"/>
      <x:c r="K174" s="279" t="n"/>
      <x:c r="L174" s="279" t="n"/>
      <x:c r="M174" s="279" t="n"/>
      <x:c r="N174" s="279" t="n"/>
      <x:c r="O174" s="279" t="n"/>
    </x:row>
    <x:row r="175">
      <x:c r="A175" s="279" t="n"/>
      <x:c r="B175" s="279" t="n"/>
      <x:c r="C175" s="279" t="n"/>
      <x:c r="D175" s="279" t="n"/>
      <x:c r="E175" s="279" t="n"/>
      <x:c r="F175" s="279" t="n"/>
      <x:c r="G175" s="279" t="n"/>
      <x:c r="H175" s="279" t="n"/>
      <x:c r="I175" s="279" t="n"/>
      <x:c r="J175" s="279" t="n"/>
      <x:c r="K175" s="279" t="n"/>
      <x:c r="L175" s="279" t="n"/>
      <x:c r="M175" s="279" t="n"/>
      <x:c r="N175" s="279" t="n"/>
      <x:c r="O175" s="279" t="n"/>
    </x:row>
    <x:row r="176">
      <x:c r="A176" s="279" t="n"/>
      <x:c r="B176" s="279" t="n"/>
      <x:c r="C176" s="279" t="n"/>
      <x:c r="D176" s="279" t="n"/>
      <x:c r="E176" s="279" t="n"/>
      <x:c r="F176" s="279" t="n"/>
      <x:c r="G176" s="279" t="n"/>
      <x:c r="H176" s="279" t="n"/>
      <x:c r="I176" s="279" t="n"/>
      <x:c r="J176" s="279" t="n"/>
      <x:c r="K176" s="279" t="n"/>
      <x:c r="L176" s="279" t="n"/>
      <x:c r="M176" s="279" t="n"/>
      <x:c r="N176" s="279" t="n"/>
      <x:c r="O176" s="279" t="n"/>
    </x:row>
    <x:row r="177">
      <x:c r="A177" s="279" t="n"/>
      <x:c r="B177" s="279" t="n"/>
      <x:c r="C177" s="279" t="n"/>
      <x:c r="D177" s="279" t="n"/>
      <x:c r="E177" s="279" t="n"/>
      <x:c r="F177" s="279" t="n"/>
      <x:c r="G177" s="279" t="n"/>
      <x:c r="H177" s="279" t="n"/>
      <x:c r="I177" s="279" t="n"/>
      <x:c r="J177" s="279" t="n"/>
      <x:c r="K177" s="279" t="n"/>
      <x:c r="L177" s="279" t="n"/>
      <x:c r="M177" s="279" t="n"/>
      <x:c r="N177" s="279" t="n"/>
      <x:c r="O177" s="279" t="n"/>
    </x:row>
    <x:row r="178">
      <x:c r="A178" s="279" t="n"/>
      <x:c r="B178" s="279" t="n"/>
      <x:c r="C178" s="279" t="n"/>
      <x:c r="D178" s="279" t="n"/>
      <x:c r="E178" s="279" t="n"/>
      <x:c r="F178" s="279" t="n"/>
      <x:c r="G178" s="279" t="n"/>
      <x:c r="H178" s="279" t="n"/>
      <x:c r="I178" s="279" t="n"/>
      <x:c r="J178" s="279" t="n"/>
      <x:c r="K178" s="279" t="n"/>
      <x:c r="L178" s="279" t="n"/>
      <x:c r="M178" s="279" t="n"/>
      <x:c r="N178" s="279" t="n"/>
      <x:c r="O178" s="279" t="n"/>
    </x:row>
    <x:row r="179">
      <x:c r="A179" s="279" t="n"/>
      <x:c r="B179" s="279" t="n"/>
      <x:c r="C179" s="279" t="n"/>
      <x:c r="D179" s="279" t="n"/>
      <x:c r="E179" s="279" t="n"/>
      <x:c r="F179" s="279" t="n"/>
      <x:c r="G179" s="279" t="n"/>
      <x:c r="H179" s="279" t="n"/>
      <x:c r="I179" s="279" t="n"/>
      <x:c r="J179" s="279" t="n"/>
      <x:c r="K179" s="279" t="n"/>
      <x:c r="L179" s="279" t="n"/>
      <x:c r="M179" s="279" t="n"/>
      <x:c r="N179" s="279" t="n"/>
      <x:c r="O179" s="279" t="n"/>
    </x:row>
    <x:row r="180">
      <x:c r="A180" s="279" t="n"/>
      <x:c r="B180" s="279" t="n"/>
      <x:c r="C180" s="279" t="n"/>
      <x:c r="D180" s="279" t="n"/>
      <x:c r="E180" s="279" t="n"/>
      <x:c r="F180" s="279" t="n"/>
      <x:c r="G180" s="279" t="n"/>
      <x:c r="H180" s="279" t="n"/>
      <x:c r="I180" s="279" t="n"/>
      <x:c r="J180" s="279" t="n"/>
      <x:c r="K180" s="279" t="n"/>
      <x:c r="L180" s="279" t="n"/>
      <x:c r="M180" s="279" t="n"/>
      <x:c r="N180" s="279" t="n"/>
      <x:c r="O180" s="279" t="n"/>
    </x:row>
    <x:row r="181">
      <x:c r="A181" s="279" t="n"/>
      <x:c r="B181" s="279" t="n"/>
      <x:c r="C181" s="279" t="n"/>
      <x:c r="D181" s="279" t="n"/>
      <x:c r="E181" s="279" t="n"/>
      <x:c r="F181" s="279" t="n"/>
      <x:c r="G181" s="279" t="n"/>
      <x:c r="H181" s="279" t="n"/>
      <x:c r="I181" s="279" t="n"/>
      <x:c r="J181" s="279" t="n"/>
      <x:c r="K181" s="279" t="n"/>
      <x:c r="L181" s="279" t="n"/>
      <x:c r="M181" s="279" t="n"/>
      <x:c r="N181" s="279" t="n"/>
      <x:c r="O181" s="279" t="n"/>
    </x:row>
    <x:row r="182">
      <x:c r="A182" s="279" t="n"/>
      <x:c r="B182" s="279" t="n"/>
      <x:c r="C182" s="279" t="n"/>
      <x:c r="D182" s="279" t="n"/>
      <x:c r="E182" s="279" t="n"/>
      <x:c r="F182" s="279" t="n"/>
      <x:c r="G182" s="279" t="n"/>
      <x:c r="H182" s="279" t="n"/>
      <x:c r="I182" s="279" t="n"/>
      <x:c r="J182" s="279" t="n"/>
      <x:c r="K182" s="279" t="n"/>
      <x:c r="L182" s="279" t="n"/>
      <x:c r="M182" s="279" t="n"/>
      <x:c r="N182" s="279" t="n"/>
      <x:c r="O182" s="279" t="n"/>
    </x:row>
    <x:row r="183">
      <x:c r="A183" s="279" t="n"/>
      <x:c r="B183" s="279" t="n"/>
      <x:c r="C183" s="279" t="n"/>
      <x:c r="D183" s="279" t="n"/>
      <x:c r="E183" s="279" t="n"/>
      <x:c r="F183" s="279" t="n"/>
      <x:c r="G183" s="279" t="n"/>
      <x:c r="H183" s="279" t="n"/>
      <x:c r="I183" s="279" t="n"/>
      <x:c r="J183" s="279" t="n"/>
      <x:c r="K183" s="279" t="n"/>
      <x:c r="L183" s="279" t="n"/>
      <x:c r="M183" s="279" t="n"/>
      <x:c r="N183" s="279" t="n"/>
      <x:c r="O183" s="279" t="n"/>
    </x:row>
    <x:row r="184">
      <x:c r="A184" s="279" t="n"/>
      <x:c r="B184" s="279" t="n"/>
      <x:c r="C184" s="279" t="n"/>
      <x:c r="D184" s="279" t="n"/>
      <x:c r="E184" s="279" t="n"/>
      <x:c r="F184" s="279" t="n"/>
      <x:c r="G184" s="279" t="n"/>
      <x:c r="H184" s="279" t="n"/>
      <x:c r="I184" s="279" t="n"/>
      <x:c r="J184" s="279" t="n"/>
      <x:c r="K184" s="279" t="n"/>
      <x:c r="L184" s="279" t="n"/>
      <x:c r="M184" s="279" t="n"/>
      <x:c r="N184" s="279" t="n"/>
      <x:c r="O184" s="279" t="n"/>
    </x:row>
    <x:row r="185">
      <x:c r="A185" s="279" t="n"/>
      <x:c r="B185" s="279" t="n"/>
      <x:c r="C185" s="279" t="n"/>
      <x:c r="D185" s="279" t="n"/>
      <x:c r="E185" s="279" t="n"/>
      <x:c r="F185" s="279" t="n"/>
      <x:c r="G185" s="279" t="n"/>
      <x:c r="H185" s="279" t="n"/>
      <x:c r="I185" s="279" t="n"/>
      <x:c r="J185" s="279" t="n"/>
      <x:c r="K185" s="279" t="n"/>
      <x:c r="L185" s="279" t="n"/>
      <x:c r="M185" s="279" t="n"/>
      <x:c r="N185" s="279" t="n"/>
      <x:c r="O185" s="279" t="n"/>
    </x:row>
    <x:row r="186">
      <x:c r="A186" s="279" t="n"/>
      <x:c r="B186" s="279" t="n"/>
      <x:c r="C186" s="279" t="n"/>
      <x:c r="D186" s="279" t="n"/>
      <x:c r="E186" s="279" t="n"/>
      <x:c r="F186" s="279" t="n"/>
      <x:c r="G186" s="279" t="n"/>
      <x:c r="H186" s="279" t="n"/>
      <x:c r="I186" s="279" t="n"/>
      <x:c r="J186" s="279" t="n"/>
      <x:c r="K186" s="279" t="n"/>
      <x:c r="L186" s="279" t="n"/>
      <x:c r="M186" s="279" t="n"/>
      <x:c r="N186" s="279" t="n"/>
      <x:c r="O186" s="279" t="n"/>
    </x:row>
    <x:row r="187">
      <x:c r="A187" s="279" t="n"/>
      <x:c r="B187" s="279" t="n"/>
      <x:c r="C187" s="279" t="n"/>
      <x:c r="D187" s="279" t="n"/>
      <x:c r="E187" s="279" t="n"/>
      <x:c r="F187" s="279" t="n"/>
      <x:c r="G187" s="279" t="n"/>
      <x:c r="H187" s="279" t="n"/>
      <x:c r="I187" s="279" t="n"/>
      <x:c r="J187" s="279" t="n"/>
      <x:c r="K187" s="279" t="n"/>
      <x:c r="L187" s="279" t="n"/>
      <x:c r="M187" s="279" t="n"/>
      <x:c r="N187" s="279" t="n"/>
      <x:c r="O187" s="279" t="n"/>
    </x:row>
    <x:row r="188">
      <x:c r="A188" s="279" t="n"/>
      <x:c r="B188" s="279" t="n"/>
      <x:c r="C188" s="279" t="n"/>
      <x:c r="D188" s="279" t="n"/>
      <x:c r="E188" s="279" t="n"/>
      <x:c r="F188" s="279" t="n"/>
      <x:c r="G188" s="279" t="n"/>
      <x:c r="H188" s="279" t="n"/>
      <x:c r="I188" s="279" t="n"/>
      <x:c r="J188" s="279" t="n"/>
      <x:c r="K188" s="279" t="n"/>
      <x:c r="L188" s="279" t="n"/>
      <x:c r="M188" s="279" t="n"/>
      <x:c r="N188" s="279" t="n"/>
      <x:c r="O188" s="279" t="n"/>
    </x:row>
    <x:row r="189">
      <x:c r="A189" s="279" t="n"/>
      <x:c r="B189" s="279" t="n"/>
      <x:c r="C189" s="279" t="n"/>
      <x:c r="D189" s="279" t="n"/>
      <x:c r="E189" s="279" t="n"/>
      <x:c r="F189" s="279" t="n"/>
      <x:c r="G189" s="279" t="n"/>
      <x:c r="H189" s="279" t="n"/>
      <x:c r="I189" s="279" t="n"/>
      <x:c r="J189" s="279" t="n"/>
      <x:c r="K189" s="279" t="n"/>
      <x:c r="L189" s="279" t="n"/>
      <x:c r="M189" s="279" t="n"/>
      <x:c r="N189" s="279" t="n"/>
      <x:c r="O189" s="279" t="n"/>
    </x:row>
    <x:row r="190">
      <x:c r="A190" s="279" t="n"/>
      <x:c r="B190" s="279" t="n"/>
      <x:c r="C190" s="279" t="n"/>
      <x:c r="D190" s="279" t="n"/>
      <x:c r="E190" s="279" t="n"/>
      <x:c r="F190" s="279" t="n"/>
      <x:c r="G190" s="279" t="n"/>
      <x:c r="H190" s="279" t="n"/>
      <x:c r="I190" s="279" t="n"/>
      <x:c r="J190" s="279" t="n"/>
      <x:c r="K190" s="279" t="n"/>
      <x:c r="L190" s="279" t="n"/>
      <x:c r="M190" s="279" t="n"/>
      <x:c r="N190" s="279" t="n"/>
      <x:c r="O190" s="279" t="n"/>
    </x:row>
    <x:row r="191">
      <x:c r="A191" s="279" t="n"/>
      <x:c r="B191" s="279" t="n"/>
      <x:c r="C191" s="279" t="n"/>
      <x:c r="D191" s="279" t="n"/>
      <x:c r="E191" s="279" t="n"/>
      <x:c r="F191" s="279" t="n"/>
      <x:c r="G191" s="279" t="n"/>
      <x:c r="H191" s="279" t="n"/>
      <x:c r="I191" s="279" t="n"/>
      <x:c r="J191" s="279" t="n"/>
      <x:c r="K191" s="279" t="n"/>
      <x:c r="L191" s="279" t="n"/>
      <x:c r="M191" s="279" t="n"/>
      <x:c r="N191" s="279" t="n"/>
      <x:c r="O191" s="279" t="n"/>
    </x:row>
    <x:row r="192">
      <x:c r="A192" s="279" t="n"/>
      <x:c r="B192" s="279" t="n"/>
      <x:c r="C192" s="279" t="n"/>
      <x:c r="D192" s="279" t="n"/>
      <x:c r="E192" s="279" t="n"/>
      <x:c r="F192" s="279" t="n"/>
      <x:c r="G192" s="279" t="n"/>
      <x:c r="H192" s="279" t="n"/>
      <x:c r="I192" s="279" t="n"/>
      <x:c r="J192" s="279" t="n"/>
      <x:c r="K192" s="279" t="n"/>
      <x:c r="L192" s="279" t="n"/>
      <x:c r="M192" s="279" t="n"/>
      <x:c r="N192" s="279" t="n"/>
      <x:c r="O192" s="279" t="n"/>
    </x:row>
    <x:row r="193">
      <x:c r="A193" s="279" t="n"/>
      <x:c r="B193" s="279" t="n"/>
      <x:c r="C193" s="279" t="n"/>
      <x:c r="D193" s="279" t="n"/>
      <x:c r="E193" s="279" t="n"/>
      <x:c r="F193" s="279" t="n"/>
      <x:c r="G193" s="279" t="n"/>
      <x:c r="H193" s="279" t="n"/>
      <x:c r="I193" s="279" t="n"/>
      <x:c r="J193" s="279" t="n"/>
      <x:c r="K193" s="279" t="n"/>
      <x:c r="L193" s="279" t="n"/>
      <x:c r="M193" s="279" t="n"/>
      <x:c r="N193" s="279" t="n"/>
      <x:c r="O193" s="279" t="n"/>
    </x:row>
    <x:row r="194">
      <x:c r="A194" s="279" t="n"/>
      <x:c r="B194" s="279" t="n"/>
      <x:c r="C194" s="279" t="n"/>
      <x:c r="D194" s="279" t="n"/>
      <x:c r="E194" s="279" t="n"/>
      <x:c r="F194" s="279" t="n"/>
      <x:c r="G194" s="279" t="n"/>
      <x:c r="H194" s="279" t="n"/>
      <x:c r="I194" s="279" t="n"/>
      <x:c r="J194" s="279" t="n"/>
      <x:c r="K194" s="279" t="n"/>
      <x:c r="L194" s="279" t="n"/>
      <x:c r="M194" s="279" t="n"/>
      <x:c r="N194" s="279" t="n"/>
      <x:c r="O194" s="279" t="n"/>
    </x:row>
    <x:row r="195">
      <x:c r="A195" s="279" t="n"/>
      <x:c r="B195" s="279" t="n"/>
      <x:c r="C195" s="279" t="n"/>
      <x:c r="D195" s="279" t="n"/>
      <x:c r="E195" s="279" t="n"/>
      <x:c r="F195" s="279" t="n"/>
      <x:c r="G195" s="279" t="n"/>
      <x:c r="H195" s="279" t="n"/>
      <x:c r="I195" s="279" t="n"/>
      <x:c r="J195" s="279" t="n"/>
      <x:c r="K195" s="279" t="n"/>
      <x:c r="L195" s="279" t="n"/>
      <x:c r="M195" s="279" t="n"/>
      <x:c r="N195" s="279" t="n"/>
      <x:c r="O195" s="279" t="n"/>
    </x:row>
    <x:row r="196">
      <x:c r="A196" s="279" t="n"/>
      <x:c r="B196" s="279" t="n"/>
      <x:c r="C196" s="279" t="n"/>
      <x:c r="D196" s="279" t="n"/>
      <x:c r="E196" s="279" t="n"/>
      <x:c r="F196" s="279" t="n"/>
      <x:c r="G196" s="279" t="n"/>
      <x:c r="H196" s="279" t="n"/>
      <x:c r="I196" s="279" t="n"/>
      <x:c r="J196" s="279" t="n"/>
      <x:c r="K196" s="279" t="n"/>
      <x:c r="L196" s="279" t="n"/>
      <x:c r="M196" s="279" t="n"/>
      <x:c r="N196" s="279" t="n"/>
      <x:c r="O196" s="279" t="n"/>
    </x:row>
    <x:row r="197">
      <x:c r="A197" s="279" t="n"/>
      <x:c r="B197" s="279" t="n"/>
      <x:c r="C197" s="279" t="n"/>
      <x:c r="D197" s="279" t="n"/>
      <x:c r="E197" s="279" t="n"/>
      <x:c r="F197" s="279" t="n"/>
      <x:c r="G197" s="279" t="n"/>
      <x:c r="H197" s="279" t="n"/>
      <x:c r="I197" s="279" t="n"/>
      <x:c r="J197" s="279" t="n"/>
      <x:c r="K197" s="279" t="n"/>
      <x:c r="L197" s="279" t="n"/>
      <x:c r="M197" s="279" t="n"/>
      <x:c r="N197" s="279" t="n"/>
      <x:c r="O197" s="279" t="n"/>
    </x:row>
    <x:row r="198">
      <x:c r="A198" s="279" t="n"/>
      <x:c r="B198" s="279" t="n"/>
      <x:c r="C198" s="279" t="n"/>
      <x:c r="D198" s="279" t="n"/>
      <x:c r="E198" s="279" t="n"/>
      <x:c r="F198" s="279" t="n"/>
      <x:c r="G198" s="279" t="n"/>
      <x:c r="H198" s="279" t="n"/>
      <x:c r="I198" s="279" t="n"/>
      <x:c r="J198" s="279" t="n"/>
      <x:c r="K198" s="279" t="n"/>
      <x:c r="L198" s="279" t="n"/>
      <x:c r="M198" s="279" t="n"/>
      <x:c r="N198" s="279" t="n"/>
      <x:c r="O198" s="279" t="n"/>
    </x:row>
    <x:row r="199">
      <x:c r="A199" s="279" t="n"/>
      <x:c r="B199" s="279" t="n"/>
      <x:c r="C199" s="279" t="n"/>
      <x:c r="D199" s="279" t="n"/>
      <x:c r="E199" s="279" t="n"/>
      <x:c r="F199" s="279" t="n"/>
      <x:c r="G199" s="279" t="n"/>
      <x:c r="H199" s="279" t="n"/>
      <x:c r="I199" s="279" t="n"/>
      <x:c r="J199" s="279" t="n"/>
      <x:c r="K199" s="279" t="n"/>
      <x:c r="L199" s="279" t="n"/>
      <x:c r="M199" s="279" t="n"/>
      <x:c r="N199" s="279" t="n"/>
      <x:c r="O199" s="279" t="n"/>
    </x:row>
    <x:row r="200">
      <x:c r="A200" s="279" t="n"/>
      <x:c r="B200" s="279" t="n"/>
      <x:c r="C200" s="279" t="n"/>
      <x:c r="D200" s="279" t="n"/>
      <x:c r="E200" s="279" t="n"/>
      <x:c r="F200" s="279" t="n"/>
      <x:c r="G200" s="279" t="n"/>
      <x:c r="H200" s="279" t="n"/>
      <x:c r="I200" s="279" t="n"/>
      <x:c r="J200" s="279" t="n"/>
      <x:c r="K200" s="279" t="n"/>
      <x:c r="L200" s="279" t="n"/>
      <x:c r="M200" s="279" t="n"/>
      <x:c r="N200" s="279" t="n"/>
      <x:c r="O200" s="279" t="n"/>
    </x:row>
    <x:row r="201">
      <x:c r="A201" s="279" t="n"/>
      <x:c r="B201" s="279" t="n"/>
      <x:c r="C201" s="279" t="n"/>
      <x:c r="D201" s="279" t="n"/>
      <x:c r="E201" s="279" t="n"/>
      <x:c r="F201" s="279" t="n"/>
      <x:c r="G201" s="279" t="n"/>
      <x:c r="H201" s="279" t="n"/>
      <x:c r="I201" s="279" t="n"/>
      <x:c r="J201" s="279" t="n"/>
      <x:c r="K201" s="279" t="n"/>
      <x:c r="L201" s="279" t="n"/>
      <x:c r="M201" s="279" t="n"/>
      <x:c r="N201" s="279" t="n"/>
      <x:c r="O201" s="279" t="n"/>
    </x:row>
    <x:row r="202">
      <x:c r="A202" s="279" t="inlineStr">
        <x:is>
          <x:t xml:space="preserve">Consolidation Note</x:t>
        </x:is>
      </x:c>
      <x:c r="B202" s="279" t="inlineStr">
        <x:is>
          <x:t xml:space="preserve">Merged Relationship_Intelligence into Regulator_CRM. Relationship_Intelligence sheet removed.</x:t>
        </x:is>
      </x:c>
      <x:c r="C202" s="279" t="n"/>
      <x:c r="D202" s="279" t="n"/>
      <x:c r="E202" s="279" t="n"/>
      <x:c r="F202" s="279" t="n"/>
      <x:c r="G202" s="279" t="n"/>
      <x:c r="H202" s="279" t="n"/>
      <x:c r="I202" s="279" t="n"/>
      <x:c r="J202" s="279" t="n"/>
      <x:c r="K202" s="279" t="n"/>
      <x:c r="L202" s="279" t="n"/>
      <x:c r="M202" s="279" t="n"/>
      <x:c r="N202" s="279" t="n"/>
      <x:c r="O202" s="279" t="n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b0267d79877749c9"/>
  </x:tableParts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35.66999816894531" style="265" customWidth="1"/>
    <x:col min="2" max="2" width="8.609999656677246" style="265" customWidth="1"/>
    <x:col min="3" max="3" width="86.2699966430664" style="265" customWidth="1"/>
    <x:col min="4" max="4" width="87.3499984741211" style="265" customWidth="1"/>
    <x:col min="5" max="5" width="56.119998931884766" style="265" customWidth="1"/>
    <x:col min="6" max="6" width="35.66999816894531" style="265" customWidth="1"/>
    <x:col min="7" max="7" width="61.369998931884766" style="265" customWidth="1"/>
    <x:col min="8" max="8" width="14.130000114440918" style="265" customWidth="1"/>
    <x:col min="9" max="9" width="23.010000228881836" style="265" customWidth="1"/>
    <x:col min="10" max="10" width="17.5" style="265" customWidth="1"/>
  </x:cols>
  <x:sheetData>
    <x:row r="1" s="265" customFormat="1" ht="28" customHeight="1">
      <x:c r="A1" s="136" t="inlineStr">
        <x:is>
          <x:t xml:space="preserve">Regulatory Knowledge Base AI-lite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</x:row>
    <x:row r="2">
      <x:c r="A2" s="271" t="n"/>
      <x:c r="B2" s="271" t="n"/>
      <x:c r="C2" s="271" t="n"/>
      <x:c r="D2" s="271" t="n"/>
      <x:c r="E2" s="271" t="n"/>
      <x:c r="F2" s="271" t="n"/>
      <x:c r="G2" s="271" t="n"/>
      <x:c r="H2" s="271" t="n"/>
      <x:c r="I2" s="271" t="n"/>
      <x:c r="J2" s="271" t="n"/>
    </x:row>
    <x:row r="3">
      <x:c r="A3" s="194" t="inlineStr">
        <x:is>
          <x:t xml:space="preserve">Topic / Regulation</x:t>
        </x:is>
      </x:c>
      <x:c r="B3" s="194" t="inlineStr">
        <x:is>
          <x:t xml:space="preserve">Agency</x:t>
        </x:is>
      </x:c>
      <x:c r="C3" s="194" t="inlineStr">
        <x:is>
          <x:t xml:space="preserve">Summary</x:t>
        </x:is>
      </x:c>
      <x:c r="D3" s="194" t="inlineStr">
        <x:is>
          <x:t xml:space="preserve">Key Obligations</x:t>
        </x:is>
      </x:c>
      <x:c r="E3" s="194" t="inlineStr">
        <x:is>
          <x:t xml:space="preserve">Impact on Manulife</x:t>
        </x:is>
      </x:c>
      <x:c r="F3" s="194" t="inlineStr">
        <x:is>
          <x:t xml:space="preserve">Affected Departments</x:t>
        </x:is>
      </x:c>
      <x:c r="G3" s="194" t="inlineStr">
        <x:is>
          <x:t xml:space="preserve">Required Actions</x:t>
        </x:is>
      </x:c>
      <x:c r="H3" s="194" t="inlineStr">
        <x:is>
          <x:t xml:space="preserve">Status</x:t>
        </x:is>
      </x:c>
      <x:c r="I3" s="194" t="inlineStr">
        <x:is>
          <x:t xml:space="preserve">Owner</x:t>
        </x:is>
      </x:c>
      <x:c r="J3" s="194" t="inlineStr">
        <x:is>
          <x:t xml:space="preserve">Review Frequency</x:t>
        </x:is>
      </x:c>
    </x:row>
    <x:row r="4">
      <x:c r="A4" s="271" t="inlineStr">
        <x:is>
          <x:t xml:space="preserve">Insurance Law / Amended Insurance Law</x:t>
        </x:is>
      </x:c>
      <x:c r="B4" s="271" t="inlineStr">
        <x:is>
          <x:t xml:space="preserve">MOF / ISA</x:t>
        </x:is>
      </x:c>
      <x:c r="C4" s="271" t="inlineStr">
        <x:is>
          <x:t xml:space="preserve">Core legal framework for insurance business, licensing, solvency, distribution and product obligations.</x:t>
        </x:is>
      </x:c>
      <x:c r="D4" s="271" t="inlineStr">
        <x:is>
          <x:t xml:space="preserve">Maintain licensed activities, solvency discipline, product compliance and market conduct standards.</x:t>
        </x:is>
      </x:c>
      <x:c r="E4" s="271" t="inlineStr">
        <x:is>
          <x:t xml:space="preserve">High impact on products, capital, reporting and distribution.</x:t>
        </x:is>
      </x:c>
      <x:c r="F4" s="271" t="inlineStr">
        <x:is>
          <x:t xml:space="preserve">Legal; Compliance; Finance; Product; Agency</x:t>
        </x:is>
      </x:c>
      <x:c r="G4" s="271" t="inlineStr">
        <x:is>
          <x:t xml:space="preserve">Maintain obligations register; update internal policies; train business owners.</x:t>
        </x:is>
      </x:c>
      <x:c r="H4" s="271" t="inlineStr">
        <x:is>
          <x:t xml:space="preserve">Active</x:t>
        </x:is>
      </x:c>
      <x:c r="I4" s="271" t="inlineStr">
        <x:is>
          <x:t xml:space="preserve">Legal + PA</x:t>
        </x:is>
      </x:c>
      <x:c r="J4" s="271" t="inlineStr">
        <x:is>
          <x:t xml:space="preserve">Quarterly</x:t>
        </x:is>
      </x:c>
    </x:row>
    <x:row r="5">
      <x:c r="A5" s="271" t="inlineStr">
        <x:is>
          <x:t xml:space="preserve">Circular on Product Approval Process</x:t>
        </x:is>
      </x:c>
      <x:c r="B5" s="271" t="inlineStr">
        <x:is>
          <x:t xml:space="preserve">ISA</x:t>
        </x:is>
      </x:c>
      <x:c r="C5" s="271" t="inlineStr">
        <x:is>
          <x:t xml:space="preserve">Expected guidance tightening product filing, Q&amp;A, disclosure and customer suitability documentation.</x:t>
        </x:is>
      </x:c>
      <x:c r="D5" s="271" t="inlineStr">
        <x:is>
          <x:t xml:space="preserve">Provide complete product dossier, customer disclosure evidence and timely responses to regulator questions.</x:t>
        </x:is>
      </x:c>
      <x:c r="E5" s="271" t="inlineStr">
        <x:is>
          <x:t xml:space="preserve">High impact on product launch timeline and internal approval process.</x:t>
        </x:is>
      </x:c>
      <x:c r="F5" s="271" t="inlineStr">
        <x:is>
          <x:t xml:space="preserve">Product; Legal; Compliance; PA</x:t>
        </x:is>
      </x:c>
      <x:c r="G5" s="271" t="inlineStr">
        <x:is>
          <x:t xml:space="preserve">Create product approval checklist and regulator Q&amp;A tracker.</x:t>
        </x:is>
      </x:c>
      <x:c r="H5" s="271" t="inlineStr">
        <x:is>
          <x:t xml:space="preserve">Monitoring</x:t>
        </x:is>
      </x:c>
      <x:c r="I5" s="271" t="inlineStr">
        <x:is>
          <x:t xml:space="preserve">Product + PA</x:t>
        </x:is>
      </x:c>
      <x:c r="J5" s="271" t="inlineStr">
        <x:is>
          <x:t xml:space="preserve">Monthly</x:t>
        </x:is>
      </x:c>
    </x:row>
    <x:row r="6">
      <x:c r="A6" s="271" t="inlineStr">
        <x:is>
          <x:t xml:space="preserve">Bancassurance Conduct Guidance</x:t>
        </x:is>
      </x:c>
      <x:c r="B6" s="271" t="inlineStr">
        <x:is>
          <x:t xml:space="preserve">SBV / MOF</x:t>
        </x:is>
      </x:c>
      <x:c r="C6" s="271" t="inlineStr">
        <x:is>
          <x:t xml:space="preserve">Guidance likely focused on sales practices, transparency and customer consent in bank distribution.</x:t>
        </x:is>
      </x:c>
      <x:c r="D6" s="271" t="inlineStr">
        <x:is>
          <x:t xml:space="preserve">Improve sales governance, disclosure and complaint handling evidence.</x:t>
        </x:is>
      </x:c>
      <x:c r="E6" s="271" t="inlineStr">
        <x:is>
          <x:t xml:space="preserve">High impact on bancassurance revenue, conduct risk and reputation.</x:t>
        </x:is>
      </x:c>
      <x:c r="F6" s="271" t="inlineStr">
        <x:is>
          <x:t xml:space="preserve">Bancassurance; Compliance; Legal; PA</x:t>
        </x:is>
      </x:c>
      <x:c r="G6" s="271" t="inlineStr">
        <x:is>
          <x:t xml:space="preserve">Prepare industry input; strengthen sales conduct monitoring.</x:t>
        </x:is>
      </x:c>
      <x:c r="H6" s="271" t="inlineStr">
        <x:is>
          <x:t xml:space="preserve">Drafting</x:t>
        </x:is>
      </x:c>
      <x:c r="I6" s="271" t="inlineStr">
        <x:is>
          <x:t xml:space="preserve">Bancassurance + Compliance</x:t>
        </x:is>
      </x:c>
      <x:c r="J6" s="271" t="inlineStr">
        <x:is>
          <x:t xml:space="preserve">Monthly</x:t>
        </x:is>
      </x:c>
    </x:row>
    <x:row r="7">
      <x:c r="A7" s="271" t="inlineStr">
        <x:is>
          <x:t xml:space="preserve">Personal Data Protection / Data Localization</x:t>
        </x:is>
      </x:c>
      <x:c r="B7" s="271" t="inlineStr">
        <x:is>
          <x:t xml:space="preserve">MIC</x:t>
        </x:is>
      </x:c>
      <x:c r="C7" s="271" t="inlineStr">
        <x:is>
          <x:t xml:space="preserve">Rules on consent, data processing, cross-border transfer and storage obligations.</x:t>
        </x:is>
      </x:c>
      <x:c r="D7" s="271" t="inlineStr">
        <x:is>
          <x:t xml:space="preserve">Maintain consent records, privacy notices and controls over data sharing.</x:t>
        </x:is>
      </x:c>
      <x:c r="E7" s="271" t="inlineStr">
        <x:is>
          <x:t xml:space="preserve">Medium-high impact on digital sales and customer data operations.</x:t>
        </x:is>
      </x:c>
      <x:c r="F7" s="271" t="inlineStr">
        <x:is>
          <x:t xml:space="preserve">IT; Digital; Legal; Compliance; PA</x:t>
        </x:is>
      </x:c>
      <x:c r="G7" s="271" t="inlineStr">
        <x:is>
          <x:t xml:space="preserve">Map data flows; prepare compliance note for regulator engagement.</x:t>
        </x:is>
      </x:c>
      <x:c r="H7" s="271" t="inlineStr">
        <x:is>
          <x:t xml:space="preserve">Implementation</x:t>
        </x:is>
      </x:c>
      <x:c r="I7" s="271" t="inlineStr">
        <x:is>
          <x:t xml:space="preserve">Digital + Legal</x:t>
        </x:is>
      </x:c>
      <x:c r="J7" s="271" t="inlineStr">
        <x:is>
          <x:t xml:space="preserve">Monthly</x:t>
        </x:is>
      </x:c>
    </x:row>
    <x:row r="8">
      <x:c r="A8" s="271" t="inlineStr">
        <x:is>
          <x:t xml:space="preserve">Consumer Protection Requirements</x:t>
        </x:is>
      </x:c>
      <x:c r="B8" s="271" t="inlineStr">
        <x:is>
          <x:t xml:space="preserve">VCA / ISA</x:t>
        </x:is>
      </x:c>
      <x:c r="C8" s="271" t="inlineStr">
        <x:is>
          <x:t xml:space="preserve">Rules and expectations around complaint transparency, mis-selling prevention and fair customer treatment.</x:t>
        </x:is>
      </x:c>
      <x:c r="D8" s="271" t="inlineStr">
        <x:is>
          <x:t xml:space="preserve">Maintain complaint records, remediation evidence and transparent customer communication.</x:t>
        </x:is>
      </x:c>
      <x:c r="E8" s="271" t="inlineStr">
        <x:is>
          <x:t xml:space="preserve">High reputation impact and can trigger regulatory scrutiny.</x:t>
        </x:is>
      </x:c>
      <x:c r="F8" s="271" t="inlineStr">
        <x:is>
          <x:t xml:space="preserve">Compliance; Operations; Agency; PA</x:t>
        </x:is>
      </x:c>
      <x:c r="G8" s="271" t="inlineStr">
        <x:is>
          <x:t xml:space="preserve">Build customer complaint dashboard and regulator-ready remediation pack.</x:t>
        </x:is>
      </x:c>
      <x:c r="H8" s="271" t="inlineStr">
        <x:is>
          <x:t xml:space="preserve">Effective soon</x:t>
        </x:is>
      </x:c>
      <x:c r="I8" s="271" t="inlineStr">
        <x:is>
          <x:t xml:space="preserve">Compliance + PA</x:t>
        </x:is>
      </x:c>
      <x:c r="J8" s="271" t="inlineStr">
        <x:is>
          <x:t xml:space="preserve">Monthly</x:t>
        </x:is>
      </x:c>
    </x:row>
    <x:row r="9">
      <x:c r="A9" s="271" t="inlineStr">
        <x:is>
          <x:t xml:space="preserve">ESG Disclosure for Insurers</x:t>
        </x:is>
      </x:c>
      <x:c r="B9" s="271" t="inlineStr">
        <x:is>
          <x:t xml:space="preserve">MOF</x:t>
        </x:is>
      </x:c>
      <x:c r="C9" s="271" t="inlineStr">
        <x:is>
          <x:t xml:space="preserve">Emerging expectation for sustainability disclosure, responsible investment and social contribution reporting.</x:t>
        </x:is>
      </x:c>
      <x:c r="D9" s="271" t="inlineStr">
        <x:is>
          <x:t xml:space="preserve">Collect ESG data and align disclosures with group and local expectations.</x:t>
        </x:is>
      </x:c>
      <x:c r="E9" s="271" t="inlineStr">
        <x:is>
          <x:t xml:space="preserve">Medium impact; opportunity to strengthen legitimacy.</x:t>
        </x:is>
      </x:c>
      <x:c r="F9" s="271" t="inlineStr">
        <x:is>
          <x:t xml:space="preserve">Finance; Investment; Sustainability; PA</x:t>
        </x:is>
      </x:c>
      <x:c r="G9" s="271" t="inlineStr">
        <x:is>
          <x:t xml:space="preserve">Prepare baseline ESG disclosure template.</x:t>
        </x:is>
      </x:c>
      <x:c r="H9" s="271" t="inlineStr">
        <x:is>
          <x:t xml:space="preserve">Early consultation</x:t>
        </x:is>
      </x:c>
      <x:c r="I9" s="271" t="inlineStr">
        <x:is>
          <x:t xml:space="preserve">Finance + PA</x:t>
        </x:is>
      </x:c>
      <x:c r="J9" s="271" t="inlineStr">
        <x:is>
          <x:t xml:space="preserve">Quarterly</x:t>
        </x:is>
      </x:c>
    </x:row>
    <x:row r="10">
      <x:c r="A10" s="271" t="n"/>
      <x:c r="B10" s="271" t="n"/>
      <x:c r="C10" s="271" t="n"/>
      <x:c r="D10" s="271" t="n"/>
      <x:c r="E10" s="271" t="n"/>
      <x:c r="F10" s="271" t="n"/>
      <x:c r="G10" s="271" t="n"/>
      <x:c r="H10" s="271" t="n"/>
      <x:c r="I10" s="271" t="n"/>
      <x:c r="J10" s="271" t="n"/>
    </x:row>
    <x:row r="11">
      <x:c r="A11" s="271" t="n"/>
      <x:c r="B11" s="271" t="n"/>
      <x:c r="C11" s="271" t="n"/>
      <x:c r="D11" s="271" t="n"/>
      <x:c r="E11" s="271" t="n"/>
      <x:c r="F11" s="271" t="n"/>
      <x:c r="G11" s="271" t="n"/>
      <x:c r="H11" s="271" t="n"/>
      <x:c r="I11" s="271" t="n"/>
      <x:c r="J11" s="271" t="n"/>
    </x:row>
    <x:row r="12">
      <x:c r="A12" s="271" t="n"/>
      <x:c r="B12" s="271" t="n"/>
      <x:c r="C12" s="271" t="n"/>
      <x:c r="D12" s="271" t="n"/>
      <x:c r="E12" s="271" t="n"/>
      <x:c r="F12" s="271" t="n"/>
      <x:c r="G12" s="271" t="n"/>
      <x:c r="H12" s="271" t="n"/>
      <x:c r="I12" s="271" t="n"/>
      <x:c r="J12" s="271" t="n"/>
    </x:row>
    <x:row r="13">
      <x:c r="A13" s="271" t="n"/>
      <x:c r="B13" s="271" t="n"/>
      <x:c r="C13" s="271" t="n"/>
      <x:c r="D13" s="271" t="n"/>
      <x:c r="E13" s="271" t="n"/>
      <x:c r="F13" s="271" t="n"/>
      <x:c r="G13" s="271" t="n"/>
      <x:c r="H13" s="271" t="n"/>
      <x:c r="I13" s="271" t="n"/>
      <x:c r="J13" s="271" t="n"/>
    </x:row>
    <x:row r="14">
      <x:c r="A14" s="271" t="n"/>
      <x:c r="B14" s="271" t="n"/>
      <x:c r="C14" s="271" t="n"/>
      <x:c r="D14" s="271" t="n"/>
      <x:c r="E14" s="271" t="n"/>
      <x:c r="F14" s="271" t="n"/>
      <x:c r="G14" s="271" t="n"/>
      <x:c r="H14" s="271" t="n"/>
      <x:c r="I14" s="271" t="n"/>
      <x:c r="J14" s="271" t="n"/>
    </x:row>
    <x:row r="15">
      <x:c r="A15" s="271" t="n"/>
      <x:c r="B15" s="271" t="n"/>
      <x:c r="C15" s="271" t="n"/>
      <x:c r="D15" s="271" t="n"/>
      <x:c r="E15" s="271" t="n"/>
      <x:c r="F15" s="271" t="n"/>
      <x:c r="G15" s="271" t="n"/>
      <x:c r="H15" s="271" t="n"/>
      <x:c r="I15" s="271" t="n"/>
      <x:c r="J15" s="271" t="n"/>
    </x:row>
    <x:row r="16">
      <x:c r="A16" s="271" t="n"/>
      <x:c r="B16" s="271" t="n"/>
      <x:c r="C16" s="271" t="n"/>
      <x:c r="D16" s="271" t="n"/>
      <x:c r="E16" s="271" t="n"/>
      <x:c r="F16" s="271" t="n"/>
      <x:c r="G16" s="271" t="n"/>
      <x:c r="H16" s="271" t="n"/>
      <x:c r="I16" s="271" t="n"/>
      <x:c r="J16" s="271" t="n"/>
    </x:row>
    <x:row r="17">
      <x:c r="A17" s="271" t="n"/>
      <x:c r="B17" s="271" t="n"/>
      <x:c r="C17" s="271" t="n"/>
      <x:c r="D17" s="271" t="n"/>
      <x:c r="E17" s="271" t="n"/>
      <x:c r="F17" s="271" t="n"/>
      <x:c r="G17" s="271" t="n"/>
      <x:c r="H17" s="271" t="n"/>
      <x:c r="I17" s="271" t="n"/>
      <x:c r="J17" s="271" t="n"/>
    </x:row>
    <x:row r="18">
      <x:c r="A18" s="271" t="n"/>
      <x:c r="B18" s="271" t="n"/>
      <x:c r="C18" s="271" t="n"/>
      <x:c r="D18" s="271" t="n"/>
      <x:c r="E18" s="271" t="n"/>
      <x:c r="F18" s="271" t="n"/>
      <x:c r="G18" s="271" t="n"/>
      <x:c r="H18" s="271" t="n"/>
      <x:c r="I18" s="271" t="n"/>
      <x:c r="J18" s="271" t="n"/>
    </x:row>
    <x:row r="19">
      <x:c r="A19" s="271" t="n"/>
      <x:c r="B19" s="271" t="n"/>
      <x:c r="C19" s="271" t="n"/>
      <x:c r="D19" s="271" t="n"/>
      <x:c r="E19" s="271" t="n"/>
      <x:c r="F19" s="271" t="n"/>
      <x:c r="G19" s="271" t="n"/>
      <x:c r="H19" s="271" t="n"/>
      <x:c r="I19" s="271" t="n"/>
      <x:c r="J19" s="271" t="n"/>
    </x:row>
    <x:row r="20">
      <x:c r="A20" s="271" t="n"/>
      <x:c r="B20" s="271" t="n"/>
      <x:c r="C20" s="271" t="n"/>
      <x:c r="D20" s="271" t="n"/>
      <x:c r="E20" s="271" t="n"/>
      <x:c r="F20" s="271" t="n"/>
      <x:c r="G20" s="271" t="n"/>
      <x:c r="H20" s="271" t="n"/>
      <x:c r="I20" s="271" t="n"/>
      <x:c r="J20" s="271" t="n"/>
    </x:row>
    <x:row r="21">
      <x:c r="A21" s="271" t="n"/>
      <x:c r="B21" s="271" t="n"/>
      <x:c r="C21" s="271" t="n"/>
      <x:c r="D21" s="271" t="n"/>
      <x:c r="E21" s="271" t="n"/>
      <x:c r="F21" s="271" t="n"/>
      <x:c r="G21" s="271" t="n"/>
      <x:c r="H21" s="271" t="n"/>
      <x:c r="I21" s="271" t="n"/>
      <x:c r="J21" s="271" t="n"/>
    </x:row>
    <x:row r="22">
      <x:c r="A22" s="271" t="n"/>
      <x:c r="B22" s="271" t="n"/>
      <x:c r="C22" s="271" t="n"/>
      <x:c r="D22" s="271" t="n"/>
      <x:c r="E22" s="271" t="n"/>
      <x:c r="F22" s="271" t="n"/>
      <x:c r="G22" s="271" t="n"/>
      <x:c r="H22" s="271" t="n"/>
      <x:c r="I22" s="271" t="n"/>
      <x:c r="J22" s="271" t="n"/>
    </x:row>
    <x:row r="23">
      <x:c r="A23" s="271" t="n"/>
      <x:c r="B23" s="271" t="n"/>
      <x:c r="C23" s="271" t="n"/>
      <x:c r="D23" s="271" t="n"/>
      <x:c r="E23" s="271" t="n"/>
      <x:c r="F23" s="271" t="n"/>
      <x:c r="G23" s="271" t="n"/>
      <x:c r="H23" s="271" t="n"/>
      <x:c r="I23" s="271" t="n"/>
      <x:c r="J23" s="271" t="n"/>
    </x:row>
    <x:row r="24">
      <x:c r="A24" s="271" t="n"/>
      <x:c r="B24" s="271" t="n"/>
      <x:c r="C24" s="271" t="n"/>
      <x:c r="D24" s="271" t="n"/>
      <x:c r="E24" s="271" t="n"/>
      <x:c r="F24" s="271" t="n"/>
      <x:c r="G24" s="271" t="n"/>
      <x:c r="H24" s="271" t="n"/>
      <x:c r="I24" s="271" t="n"/>
      <x:c r="J24" s="271" t="n"/>
    </x:row>
    <x:row r="25">
      <x:c r="A25" s="271" t="n"/>
      <x:c r="B25" s="271" t="n"/>
      <x:c r="C25" s="271" t="n"/>
      <x:c r="D25" s="271" t="n"/>
      <x:c r="E25" s="271" t="n"/>
      <x:c r="F25" s="271" t="n"/>
      <x:c r="G25" s="271" t="n"/>
      <x:c r="H25" s="271" t="n"/>
      <x:c r="I25" s="271" t="n"/>
      <x:c r="J25" s="271" t="n"/>
    </x:row>
    <x:row r="26">
      <x:c r="A26" s="271" t="n"/>
      <x:c r="B26" s="271" t="n"/>
      <x:c r="C26" s="271" t="n"/>
      <x:c r="D26" s="271" t="n"/>
      <x:c r="E26" s="271" t="n"/>
      <x:c r="F26" s="271" t="n"/>
      <x:c r="G26" s="271" t="n"/>
      <x:c r="H26" s="271" t="n"/>
      <x:c r="I26" s="271" t="n"/>
      <x:c r="J26" s="271" t="n"/>
    </x:row>
    <x:row r="27">
      <x:c r="A27" s="271" t="n"/>
      <x:c r="B27" s="271" t="n"/>
      <x:c r="C27" s="271" t="n"/>
      <x:c r="D27" s="271" t="n"/>
      <x:c r="E27" s="271" t="n"/>
      <x:c r="F27" s="271" t="n"/>
      <x:c r="G27" s="271" t="n"/>
      <x:c r="H27" s="271" t="n"/>
      <x:c r="I27" s="271" t="n"/>
      <x:c r="J27" s="271" t="n"/>
    </x:row>
    <x:row r="28">
      <x:c r="A28" s="271" t="n"/>
      <x:c r="B28" s="271" t="n"/>
      <x:c r="C28" s="271" t="n"/>
      <x:c r="D28" s="271" t="n"/>
      <x:c r="E28" s="271" t="n"/>
      <x:c r="F28" s="271" t="n"/>
      <x:c r="G28" s="271" t="n"/>
      <x:c r="H28" s="271" t="n"/>
      <x:c r="I28" s="271" t="n"/>
      <x:c r="J28" s="271" t="n"/>
    </x:row>
    <x:row r="29">
      <x:c r="A29" s="271" t="n"/>
      <x:c r="B29" s="271" t="n"/>
      <x:c r="C29" s="271" t="n"/>
      <x:c r="D29" s="271" t="n"/>
      <x:c r="E29" s="271" t="n"/>
      <x:c r="F29" s="271" t="n"/>
      <x:c r="G29" s="271" t="n"/>
      <x:c r="H29" s="271" t="n"/>
      <x:c r="I29" s="271" t="n"/>
      <x:c r="J29" s="271" t="n"/>
    </x:row>
    <x:row r="30">
      <x:c r="A30" s="271" t="n"/>
      <x:c r="B30" s="271" t="n"/>
      <x:c r="C30" s="271" t="n"/>
      <x:c r="D30" s="271" t="n"/>
      <x:c r="E30" s="271" t="n"/>
      <x:c r="F30" s="271" t="n"/>
      <x:c r="G30" s="271" t="n"/>
      <x:c r="H30" s="271" t="n"/>
      <x:c r="I30" s="271" t="n"/>
      <x:c r="J30" s="271" t="n"/>
    </x:row>
    <x:row r="31">
      <x:c r="A31" s="271" t="n"/>
      <x:c r="B31" s="271" t="n"/>
      <x:c r="C31" s="271" t="n"/>
      <x:c r="D31" s="271" t="n"/>
      <x:c r="E31" s="271" t="n"/>
      <x:c r="F31" s="271" t="n"/>
      <x:c r="G31" s="271" t="n"/>
      <x:c r="H31" s="271" t="n"/>
      <x:c r="I31" s="271" t="n"/>
      <x:c r="J31" s="271" t="n"/>
    </x:row>
    <x:row r="32">
      <x:c r="A32" s="271" t="n"/>
      <x:c r="B32" s="271" t="n"/>
      <x:c r="C32" s="271" t="n"/>
      <x:c r="D32" s="271" t="n"/>
      <x:c r="E32" s="271" t="n"/>
      <x:c r="F32" s="271" t="n"/>
      <x:c r="G32" s="271" t="n"/>
      <x:c r="H32" s="271" t="n"/>
      <x:c r="I32" s="271" t="n"/>
      <x:c r="J32" s="271" t="n"/>
    </x:row>
    <x:row r="33">
      <x:c r="A33" s="271" t="n"/>
      <x:c r="B33" s="271" t="n"/>
      <x:c r="C33" s="271" t="n"/>
      <x:c r="D33" s="271" t="n"/>
      <x:c r="E33" s="271" t="n"/>
      <x:c r="F33" s="271" t="n"/>
      <x:c r="G33" s="271" t="n"/>
      <x:c r="H33" s="271" t="n"/>
      <x:c r="I33" s="271" t="n"/>
      <x:c r="J33" s="271" t="n"/>
    </x:row>
    <x:row r="34">
      <x:c r="A34" s="271" t="n"/>
      <x:c r="B34" s="271" t="n"/>
      <x:c r="C34" s="271" t="n"/>
      <x:c r="D34" s="271" t="n"/>
      <x:c r="E34" s="271" t="n"/>
      <x:c r="F34" s="271" t="n"/>
      <x:c r="G34" s="271" t="n"/>
      <x:c r="H34" s="271" t="n"/>
      <x:c r="I34" s="271" t="n"/>
      <x:c r="J34" s="271" t="n"/>
    </x:row>
    <x:row r="35">
      <x:c r="A35" s="271" t="n"/>
      <x:c r="B35" s="271" t="n"/>
      <x:c r="C35" s="271" t="n"/>
      <x:c r="D35" s="271" t="n"/>
      <x:c r="E35" s="271" t="n"/>
      <x:c r="F35" s="271" t="n"/>
      <x:c r="G35" s="271" t="n"/>
      <x:c r="H35" s="271" t="n"/>
      <x:c r="I35" s="271" t="n"/>
      <x:c r="J35" s="271" t="n"/>
    </x:row>
    <x:row r="36">
      <x:c r="A36" s="271" t="n"/>
      <x:c r="B36" s="271" t="n"/>
      <x:c r="C36" s="271" t="n"/>
      <x:c r="D36" s="271" t="n"/>
      <x:c r="E36" s="271" t="n"/>
      <x:c r="F36" s="271" t="n"/>
      <x:c r="G36" s="271" t="n"/>
      <x:c r="H36" s="271" t="n"/>
      <x:c r="I36" s="271" t="n"/>
      <x:c r="J36" s="271" t="n"/>
    </x:row>
    <x:row r="37">
      <x:c r="A37" s="271" t="n"/>
      <x:c r="B37" s="271" t="n"/>
      <x:c r="C37" s="271" t="n"/>
      <x:c r="D37" s="271" t="n"/>
      <x:c r="E37" s="271" t="n"/>
      <x:c r="F37" s="271" t="n"/>
      <x:c r="G37" s="271" t="n"/>
      <x:c r="H37" s="271" t="n"/>
      <x:c r="I37" s="271" t="n"/>
      <x:c r="J37" s="271" t="n"/>
    </x:row>
    <x:row r="38">
      <x:c r="A38" s="271" t="n"/>
      <x:c r="B38" s="271" t="n"/>
      <x:c r="C38" s="271" t="n"/>
      <x:c r="D38" s="271" t="n"/>
      <x:c r="E38" s="271" t="n"/>
      <x:c r="F38" s="271" t="n"/>
      <x:c r="G38" s="271" t="n"/>
      <x:c r="H38" s="271" t="n"/>
      <x:c r="I38" s="271" t="n"/>
      <x:c r="J38" s="271" t="n"/>
    </x:row>
    <x:row r="39">
      <x:c r="A39" s="271" t="n"/>
      <x:c r="B39" s="271" t="n"/>
      <x:c r="C39" s="271" t="n"/>
      <x:c r="D39" s="271" t="n"/>
      <x:c r="E39" s="271" t="n"/>
      <x:c r="F39" s="271" t="n"/>
      <x:c r="G39" s="271" t="n"/>
      <x:c r="H39" s="271" t="n"/>
      <x:c r="I39" s="271" t="n"/>
      <x:c r="J39" s="271" t="n"/>
    </x:row>
    <x:row r="40">
      <x:c r="A40" s="271" t="n"/>
      <x:c r="B40" s="271" t="n"/>
      <x:c r="C40" s="271" t="n"/>
      <x:c r="D40" s="271" t="n"/>
      <x:c r="E40" s="271" t="n"/>
      <x:c r="F40" s="271" t="n"/>
      <x:c r="G40" s="271" t="n"/>
      <x:c r="H40" s="271" t="n"/>
      <x:c r="I40" s="271" t="n"/>
      <x:c r="J40" s="271" t="n"/>
    </x:row>
    <x:row r="41">
      <x:c r="A41" s="271" t="n"/>
      <x:c r="B41" s="271" t="n"/>
      <x:c r="C41" s="271" t="n"/>
      <x:c r="D41" s="271" t="n"/>
      <x:c r="E41" s="271" t="n"/>
      <x:c r="F41" s="271" t="n"/>
      <x:c r="G41" s="271" t="n"/>
      <x:c r="H41" s="271" t="n"/>
      <x:c r="I41" s="271" t="n"/>
      <x:c r="J41" s="271" t="n"/>
    </x:row>
    <x:row r="42">
      <x:c r="A42" s="271" t="n"/>
      <x:c r="B42" s="271" t="n"/>
      <x:c r="C42" s="271" t="n"/>
      <x:c r="D42" s="271" t="n"/>
      <x:c r="E42" s="271" t="n"/>
      <x:c r="F42" s="271" t="n"/>
      <x:c r="G42" s="271" t="n"/>
      <x:c r="H42" s="271" t="n"/>
      <x:c r="I42" s="271" t="n"/>
      <x:c r="J42" s="271" t="n"/>
    </x:row>
    <x:row r="43">
      <x:c r="A43" s="271" t="n"/>
      <x:c r="B43" s="271" t="n"/>
      <x:c r="C43" s="271" t="n"/>
      <x:c r="D43" s="271" t="n"/>
      <x:c r="E43" s="271" t="n"/>
      <x:c r="F43" s="271" t="n"/>
      <x:c r="G43" s="271" t="n"/>
      <x:c r="H43" s="271" t="n"/>
      <x:c r="I43" s="271" t="n"/>
      <x:c r="J43" s="271" t="n"/>
    </x:row>
    <x:row r="44">
      <x:c r="A44" s="271" t="n"/>
      <x:c r="B44" s="271" t="n"/>
      <x:c r="C44" s="271" t="n"/>
      <x:c r="D44" s="271" t="n"/>
      <x:c r="E44" s="271" t="n"/>
      <x:c r="F44" s="271" t="n"/>
      <x:c r="G44" s="271" t="n"/>
      <x:c r="H44" s="271" t="n"/>
      <x:c r="I44" s="271" t="n"/>
      <x:c r="J44" s="271" t="n"/>
    </x:row>
    <x:row r="45">
      <x:c r="A45" s="271" t="n"/>
      <x:c r="B45" s="271" t="n"/>
      <x:c r="C45" s="271" t="n"/>
      <x:c r="D45" s="271" t="n"/>
      <x:c r="E45" s="271" t="n"/>
      <x:c r="F45" s="271" t="n"/>
      <x:c r="G45" s="271" t="n"/>
      <x:c r="H45" s="271" t="n"/>
      <x:c r="I45" s="271" t="n"/>
      <x:c r="J45" s="271" t="n"/>
    </x:row>
    <x:row r="46">
      <x:c r="A46" s="271" t="n"/>
      <x:c r="B46" s="271" t="n"/>
      <x:c r="C46" s="271" t="n"/>
      <x:c r="D46" s="271" t="n"/>
      <x:c r="E46" s="271" t="n"/>
      <x:c r="F46" s="271" t="n"/>
      <x:c r="G46" s="271" t="n"/>
      <x:c r="H46" s="271" t="n"/>
      <x:c r="I46" s="271" t="n"/>
      <x:c r="J46" s="271" t="n"/>
    </x:row>
    <x:row r="47">
      <x:c r="A47" s="271" t="n"/>
      <x:c r="B47" s="271" t="n"/>
      <x:c r="C47" s="271" t="n"/>
      <x:c r="D47" s="271" t="n"/>
      <x:c r="E47" s="271" t="n"/>
      <x:c r="F47" s="271" t="n"/>
      <x:c r="G47" s="271" t="n"/>
      <x:c r="H47" s="271" t="n"/>
      <x:c r="I47" s="271" t="n"/>
      <x:c r="J47" s="271" t="n"/>
    </x:row>
    <x:row r="48">
      <x:c r="A48" s="271" t="n"/>
      <x:c r="B48" s="271" t="n"/>
      <x:c r="C48" s="271" t="n"/>
      <x:c r="D48" s="271" t="n"/>
      <x:c r="E48" s="271" t="n"/>
      <x:c r="F48" s="271" t="n"/>
      <x:c r="G48" s="271" t="n"/>
      <x:c r="H48" s="271" t="n"/>
      <x:c r="I48" s="271" t="n"/>
      <x:c r="J48" s="271" t="n"/>
    </x:row>
    <x:row r="49">
      <x:c r="A49" s="271" t="n"/>
      <x:c r="B49" s="271" t="n"/>
      <x:c r="C49" s="271" t="n"/>
      <x:c r="D49" s="271" t="n"/>
      <x:c r="E49" s="271" t="n"/>
      <x:c r="F49" s="271" t="n"/>
      <x:c r="G49" s="271" t="n"/>
      <x:c r="H49" s="271" t="n"/>
      <x:c r="I49" s="271" t="n"/>
      <x:c r="J49" s="271" t="n"/>
    </x:row>
    <x:row r="50">
      <x:c r="A50" s="271" t="n"/>
      <x:c r="B50" s="271" t="n"/>
      <x:c r="C50" s="271" t="n"/>
      <x:c r="D50" s="271" t="n"/>
      <x:c r="E50" s="271" t="n"/>
      <x:c r="F50" s="271" t="n"/>
      <x:c r="G50" s="271" t="n"/>
      <x:c r="H50" s="271" t="n"/>
      <x:c r="I50" s="271" t="n"/>
      <x:c r="J50" s="271" t="n"/>
    </x:row>
    <x:row r="51">
      <x:c r="A51" s="271" t="n"/>
      <x:c r="B51" s="271" t="n"/>
      <x:c r="C51" s="271" t="n"/>
      <x:c r="D51" s="271" t="n"/>
      <x:c r="E51" s="271" t="n"/>
      <x:c r="F51" s="271" t="n"/>
      <x:c r="G51" s="271" t="n"/>
      <x:c r="H51" s="271" t="n"/>
      <x:c r="I51" s="271" t="n"/>
      <x:c r="J51" s="271" t="n"/>
    </x:row>
    <x:row r="52">
      <x:c r="A52" s="271" t="n"/>
      <x:c r="B52" s="271" t="n"/>
      <x:c r="C52" s="271" t="n"/>
      <x:c r="D52" s="271" t="n"/>
      <x:c r="E52" s="271" t="n"/>
      <x:c r="F52" s="271" t="n"/>
      <x:c r="G52" s="271" t="n"/>
      <x:c r="H52" s="271" t="n"/>
      <x:c r="I52" s="271" t="n"/>
      <x:c r="J52" s="271" t="n"/>
    </x:row>
    <x:row r="53">
      <x:c r="A53" s="271" t="n"/>
      <x:c r="B53" s="271" t="n"/>
      <x:c r="C53" s="271" t="n"/>
      <x:c r="D53" s="271" t="n"/>
      <x:c r="E53" s="271" t="n"/>
      <x:c r="F53" s="271" t="n"/>
      <x:c r="G53" s="271" t="n"/>
      <x:c r="H53" s="271" t="n"/>
      <x:c r="I53" s="271" t="n"/>
      <x:c r="J53" s="271" t="n"/>
    </x:row>
    <x:row r="54">
      <x:c r="A54" s="271" t="n"/>
      <x:c r="B54" s="271" t="n"/>
      <x:c r="C54" s="271" t="n"/>
      <x:c r="D54" s="271" t="n"/>
      <x:c r="E54" s="271" t="n"/>
      <x:c r="F54" s="271" t="n"/>
      <x:c r="G54" s="271" t="n"/>
      <x:c r="H54" s="271" t="n"/>
      <x:c r="I54" s="271" t="n"/>
      <x:c r="J54" s="271" t="n"/>
    </x:row>
    <x:row r="55">
      <x:c r="A55" s="271" t="n"/>
      <x:c r="B55" s="271" t="n"/>
      <x:c r="C55" s="271" t="n"/>
      <x:c r="D55" s="271" t="n"/>
      <x:c r="E55" s="271" t="n"/>
      <x:c r="F55" s="271" t="n"/>
      <x:c r="G55" s="271" t="n"/>
      <x:c r="H55" s="271" t="n"/>
      <x:c r="I55" s="271" t="n"/>
      <x:c r="J55" s="271" t="n"/>
    </x:row>
    <x:row r="56">
      <x:c r="A56" s="271" t="n"/>
      <x:c r="B56" s="271" t="n"/>
      <x:c r="C56" s="271" t="n"/>
      <x:c r="D56" s="271" t="n"/>
      <x:c r="E56" s="271" t="n"/>
      <x:c r="F56" s="271" t="n"/>
      <x:c r="G56" s="271" t="n"/>
      <x:c r="H56" s="271" t="n"/>
      <x:c r="I56" s="271" t="n"/>
      <x:c r="J56" s="271" t="n"/>
    </x:row>
    <x:row r="57">
      <x:c r="A57" s="271" t="n"/>
      <x:c r="B57" s="271" t="n"/>
      <x:c r="C57" s="271" t="n"/>
      <x:c r="D57" s="271" t="n"/>
      <x:c r="E57" s="271" t="n"/>
      <x:c r="F57" s="271" t="n"/>
      <x:c r="G57" s="271" t="n"/>
      <x:c r="H57" s="271" t="n"/>
      <x:c r="I57" s="271" t="n"/>
      <x:c r="J57" s="271" t="n"/>
    </x:row>
    <x:row r="58">
      <x:c r="A58" s="271" t="n"/>
      <x:c r="B58" s="271" t="n"/>
      <x:c r="C58" s="271" t="n"/>
      <x:c r="D58" s="271" t="n"/>
      <x:c r="E58" s="271" t="n"/>
      <x:c r="F58" s="271" t="n"/>
      <x:c r="G58" s="271" t="n"/>
      <x:c r="H58" s="271" t="n"/>
      <x:c r="I58" s="271" t="n"/>
      <x:c r="J58" s="271" t="n"/>
    </x:row>
    <x:row r="59">
      <x:c r="A59" s="271" t="n"/>
      <x:c r="B59" s="271" t="n"/>
      <x:c r="C59" s="271" t="n"/>
      <x:c r="D59" s="271" t="n"/>
      <x:c r="E59" s="271" t="n"/>
      <x:c r="F59" s="271" t="n"/>
      <x:c r="G59" s="271" t="n"/>
      <x:c r="H59" s="271" t="n"/>
      <x:c r="I59" s="271" t="n"/>
      <x:c r="J59" s="271" t="n"/>
    </x:row>
    <x:row r="60">
      <x:c r="A60" s="271" t="n"/>
      <x:c r="B60" s="271" t="n"/>
      <x:c r="C60" s="271" t="n"/>
      <x:c r="D60" s="271" t="n"/>
      <x:c r="E60" s="271" t="n"/>
      <x:c r="F60" s="271" t="n"/>
      <x:c r="G60" s="271" t="n"/>
      <x:c r="H60" s="271" t="n"/>
      <x:c r="I60" s="271" t="n"/>
      <x:c r="J60" s="271" t="n"/>
    </x:row>
    <x:row r="61">
      <x:c r="A61" s="271" t="n"/>
      <x:c r="B61" s="271" t="n"/>
      <x:c r="C61" s="271" t="n"/>
      <x:c r="D61" s="271" t="n"/>
      <x:c r="E61" s="271" t="n"/>
      <x:c r="F61" s="271" t="n"/>
      <x:c r="G61" s="271" t="n"/>
      <x:c r="H61" s="271" t="n"/>
      <x:c r="I61" s="271" t="n"/>
      <x:c r="J61" s="271" t="n"/>
    </x:row>
    <x:row r="62">
      <x:c r="A62" s="271" t="n"/>
      <x:c r="B62" s="271" t="n"/>
      <x:c r="C62" s="271" t="n"/>
      <x:c r="D62" s="271" t="n"/>
      <x:c r="E62" s="271" t="n"/>
      <x:c r="F62" s="271" t="n"/>
      <x:c r="G62" s="271" t="n"/>
      <x:c r="H62" s="271" t="n"/>
      <x:c r="I62" s="271" t="n"/>
      <x:c r="J62" s="271" t="n"/>
    </x:row>
    <x:row r="63">
      <x:c r="A63" s="271" t="n"/>
      <x:c r="B63" s="271" t="n"/>
      <x:c r="C63" s="271" t="n"/>
      <x:c r="D63" s="271" t="n"/>
      <x:c r="E63" s="271" t="n"/>
      <x:c r="F63" s="271" t="n"/>
      <x:c r="G63" s="271" t="n"/>
      <x:c r="H63" s="271" t="n"/>
      <x:c r="I63" s="271" t="n"/>
      <x:c r="J63" s="271" t="n"/>
    </x:row>
    <x:row r="64">
      <x:c r="A64" s="271" t="n"/>
      <x:c r="B64" s="271" t="n"/>
      <x:c r="C64" s="271" t="n"/>
      <x:c r="D64" s="271" t="n"/>
      <x:c r="E64" s="271" t="n"/>
      <x:c r="F64" s="271" t="n"/>
      <x:c r="G64" s="271" t="n"/>
      <x:c r="H64" s="271" t="n"/>
      <x:c r="I64" s="271" t="n"/>
      <x:c r="J64" s="271" t="n"/>
    </x:row>
    <x:row r="65">
      <x:c r="A65" s="271" t="n"/>
      <x:c r="B65" s="271" t="n"/>
      <x:c r="C65" s="271" t="n"/>
      <x:c r="D65" s="271" t="n"/>
      <x:c r="E65" s="271" t="n"/>
      <x:c r="F65" s="271" t="n"/>
      <x:c r="G65" s="271" t="n"/>
      <x:c r="H65" s="271" t="n"/>
      <x:c r="I65" s="271" t="n"/>
      <x:c r="J65" s="271" t="n"/>
    </x:row>
    <x:row r="66">
      <x:c r="A66" s="271" t="n"/>
      <x:c r="B66" s="271" t="n"/>
      <x:c r="C66" s="271" t="n"/>
      <x:c r="D66" s="271" t="n"/>
      <x:c r="E66" s="271" t="n"/>
      <x:c r="F66" s="271" t="n"/>
      <x:c r="G66" s="271" t="n"/>
      <x:c r="H66" s="271" t="n"/>
      <x:c r="I66" s="271" t="n"/>
      <x:c r="J66" s="271" t="n"/>
    </x:row>
    <x:row r="67">
      <x:c r="A67" s="271" t="n"/>
      <x:c r="B67" s="271" t="n"/>
      <x:c r="C67" s="271" t="n"/>
      <x:c r="D67" s="271" t="n"/>
      <x:c r="E67" s="271" t="n"/>
      <x:c r="F67" s="271" t="n"/>
      <x:c r="G67" s="271" t="n"/>
      <x:c r="H67" s="271" t="n"/>
      <x:c r="I67" s="271" t="n"/>
      <x:c r="J67" s="271" t="n"/>
    </x:row>
    <x:row r="68">
      <x:c r="A68" s="271" t="n"/>
      <x:c r="B68" s="271" t="n"/>
      <x:c r="C68" s="271" t="n"/>
      <x:c r="D68" s="271" t="n"/>
      <x:c r="E68" s="271" t="n"/>
      <x:c r="F68" s="271" t="n"/>
      <x:c r="G68" s="271" t="n"/>
      <x:c r="H68" s="271" t="n"/>
      <x:c r="I68" s="271" t="n"/>
      <x:c r="J68" s="271" t="n"/>
    </x:row>
    <x:row r="69">
      <x:c r="A69" s="271" t="n"/>
      <x:c r="B69" s="271" t="n"/>
      <x:c r="C69" s="271" t="n"/>
      <x:c r="D69" s="271" t="n"/>
      <x:c r="E69" s="271" t="n"/>
      <x:c r="F69" s="271" t="n"/>
      <x:c r="G69" s="271" t="n"/>
      <x:c r="H69" s="271" t="n"/>
      <x:c r="I69" s="271" t="n"/>
      <x:c r="J69" s="271" t="n"/>
    </x:row>
    <x:row r="70">
      <x:c r="A70" s="271" t="n"/>
      <x:c r="B70" s="271" t="n"/>
      <x:c r="C70" s="271" t="n"/>
      <x:c r="D70" s="271" t="n"/>
      <x:c r="E70" s="271" t="n"/>
      <x:c r="F70" s="271" t="n"/>
      <x:c r="G70" s="271" t="n"/>
      <x:c r="H70" s="271" t="n"/>
      <x:c r="I70" s="271" t="n"/>
      <x:c r="J70" s="271" t="n"/>
    </x:row>
    <x:row r="71">
      <x:c r="A71" s="271" t="n"/>
      <x:c r="B71" s="271" t="n"/>
      <x:c r="C71" s="271" t="n"/>
      <x:c r="D71" s="271" t="n"/>
      <x:c r="E71" s="271" t="n"/>
      <x:c r="F71" s="271" t="n"/>
      <x:c r="G71" s="271" t="n"/>
      <x:c r="H71" s="271" t="n"/>
      <x:c r="I71" s="271" t="n"/>
      <x:c r="J71" s="271" t="n"/>
    </x:row>
    <x:row r="72">
      <x:c r="A72" s="271" t="n"/>
      <x:c r="B72" s="271" t="n"/>
      <x:c r="C72" s="271" t="n"/>
      <x:c r="D72" s="271" t="n"/>
      <x:c r="E72" s="271" t="n"/>
      <x:c r="F72" s="271" t="n"/>
      <x:c r="G72" s="271" t="n"/>
      <x:c r="H72" s="271" t="n"/>
      <x:c r="I72" s="271" t="n"/>
      <x:c r="J72" s="271" t="n"/>
    </x:row>
    <x:row r="73">
      <x:c r="A73" s="271" t="n"/>
      <x:c r="B73" s="271" t="n"/>
      <x:c r="C73" s="271" t="n"/>
      <x:c r="D73" s="271" t="n"/>
      <x:c r="E73" s="271" t="n"/>
      <x:c r="F73" s="271" t="n"/>
      <x:c r="G73" s="271" t="n"/>
      <x:c r="H73" s="271" t="n"/>
      <x:c r="I73" s="271" t="n"/>
      <x:c r="J73" s="271" t="n"/>
    </x:row>
    <x:row r="74">
      <x:c r="A74" s="271" t="n"/>
      <x:c r="B74" s="271" t="n"/>
      <x:c r="C74" s="271" t="n"/>
      <x:c r="D74" s="271" t="n"/>
      <x:c r="E74" s="271" t="n"/>
      <x:c r="F74" s="271" t="n"/>
      <x:c r="G74" s="271" t="n"/>
      <x:c r="H74" s="271" t="n"/>
      <x:c r="I74" s="271" t="n"/>
      <x:c r="J74" s="271" t="n"/>
    </x:row>
    <x:row r="75">
      <x:c r="A75" s="271" t="n"/>
      <x:c r="B75" s="271" t="n"/>
      <x:c r="C75" s="271" t="n"/>
      <x:c r="D75" s="271" t="n"/>
      <x:c r="E75" s="271" t="n"/>
      <x:c r="F75" s="271" t="n"/>
      <x:c r="G75" s="271" t="n"/>
      <x:c r="H75" s="271" t="n"/>
      <x:c r="I75" s="271" t="n"/>
      <x:c r="J75" s="271" t="n"/>
    </x:row>
    <x:row r="76">
      <x:c r="A76" s="271" t="n"/>
      <x:c r="B76" s="271" t="n"/>
      <x:c r="C76" s="271" t="n"/>
      <x:c r="D76" s="271" t="n"/>
      <x:c r="E76" s="271" t="n"/>
      <x:c r="F76" s="271" t="n"/>
      <x:c r="G76" s="271" t="n"/>
      <x:c r="H76" s="271" t="n"/>
      <x:c r="I76" s="271" t="n"/>
      <x:c r="J76" s="271" t="n"/>
    </x:row>
    <x:row r="77">
      <x:c r="A77" s="271" t="n"/>
      <x:c r="B77" s="271" t="n"/>
      <x:c r="C77" s="271" t="n"/>
      <x:c r="D77" s="271" t="n"/>
      <x:c r="E77" s="271" t="n"/>
      <x:c r="F77" s="271" t="n"/>
      <x:c r="G77" s="271" t="n"/>
      <x:c r="H77" s="271" t="n"/>
      <x:c r="I77" s="271" t="n"/>
      <x:c r="J77" s="271" t="n"/>
    </x:row>
    <x:row r="78">
      <x:c r="A78" s="271" t="n"/>
      <x:c r="B78" s="271" t="n"/>
      <x:c r="C78" s="271" t="n"/>
      <x:c r="D78" s="271" t="n"/>
      <x:c r="E78" s="271" t="n"/>
      <x:c r="F78" s="271" t="n"/>
      <x:c r="G78" s="271" t="n"/>
      <x:c r="H78" s="271" t="n"/>
      <x:c r="I78" s="271" t="n"/>
      <x:c r="J78" s="271" t="n"/>
    </x:row>
    <x:row r="79">
      <x:c r="A79" s="271" t="n"/>
      <x:c r="B79" s="271" t="n"/>
      <x:c r="C79" s="271" t="n"/>
      <x:c r="D79" s="271" t="n"/>
      <x:c r="E79" s="271" t="n"/>
      <x:c r="F79" s="271" t="n"/>
      <x:c r="G79" s="271" t="n"/>
      <x:c r="H79" s="271" t="n"/>
      <x:c r="I79" s="271" t="n"/>
      <x:c r="J79" s="271" t="n"/>
    </x:row>
    <x:row r="80">
      <x:c r="A80" s="271" t="n"/>
      <x:c r="B80" s="271" t="n"/>
      <x:c r="C80" s="271" t="n"/>
      <x:c r="D80" s="271" t="n"/>
      <x:c r="E80" s="271" t="n"/>
      <x:c r="F80" s="271" t="n"/>
      <x:c r="G80" s="271" t="n"/>
      <x:c r="H80" s="271" t="n"/>
      <x:c r="I80" s="271" t="n"/>
      <x:c r="J80" s="271" t="n"/>
    </x:row>
    <x:row r="81">
      <x:c r="A81" s="271" t="n"/>
      <x:c r="B81" s="271" t="n"/>
      <x:c r="C81" s="271" t="n"/>
      <x:c r="D81" s="271" t="n"/>
      <x:c r="E81" s="271" t="n"/>
      <x:c r="F81" s="271" t="n"/>
      <x:c r="G81" s="271" t="n"/>
      <x:c r="H81" s="271" t="n"/>
      <x:c r="I81" s="271" t="n"/>
      <x:c r="J81" s="271" t="n"/>
    </x:row>
    <x:row r="82">
      <x:c r="A82" s="271" t="n"/>
      <x:c r="B82" s="271" t="n"/>
      <x:c r="C82" s="271" t="n"/>
      <x:c r="D82" s="271" t="n"/>
      <x:c r="E82" s="271" t="n"/>
      <x:c r="F82" s="271" t="n"/>
      <x:c r="G82" s="271" t="n"/>
      <x:c r="H82" s="271" t="n"/>
      <x:c r="I82" s="271" t="n"/>
      <x:c r="J82" s="271" t="n"/>
    </x:row>
    <x:row r="83">
      <x:c r="A83" s="271" t="n"/>
      <x:c r="B83" s="271" t="n"/>
      <x:c r="C83" s="271" t="n"/>
      <x:c r="D83" s="271" t="n"/>
      <x:c r="E83" s="271" t="n"/>
      <x:c r="F83" s="271" t="n"/>
      <x:c r="G83" s="271" t="n"/>
      <x:c r="H83" s="271" t="n"/>
      <x:c r="I83" s="271" t="n"/>
      <x:c r="J83" s="271" t="n"/>
    </x:row>
    <x:row r="84">
      <x:c r="A84" s="271" t="n"/>
      <x:c r="B84" s="271" t="n"/>
      <x:c r="C84" s="271" t="n"/>
      <x:c r="D84" s="271" t="n"/>
      <x:c r="E84" s="271" t="n"/>
      <x:c r="F84" s="271" t="n"/>
      <x:c r="G84" s="271" t="n"/>
      <x:c r="H84" s="271" t="n"/>
      <x:c r="I84" s="271" t="n"/>
      <x:c r="J84" s="271" t="n"/>
    </x:row>
    <x:row r="85">
      <x:c r="A85" s="271" t="n"/>
      <x:c r="B85" s="271" t="n"/>
      <x:c r="C85" s="271" t="n"/>
      <x:c r="D85" s="271" t="n"/>
      <x:c r="E85" s="271" t="n"/>
      <x:c r="F85" s="271" t="n"/>
      <x:c r="G85" s="271" t="n"/>
      <x:c r="H85" s="271" t="n"/>
      <x:c r="I85" s="271" t="n"/>
      <x:c r="J85" s="271" t="n"/>
    </x:row>
    <x:row r="86">
      <x:c r="A86" s="271" t="n"/>
      <x:c r="B86" s="271" t="n"/>
      <x:c r="C86" s="271" t="n"/>
      <x:c r="D86" s="271" t="n"/>
      <x:c r="E86" s="271" t="n"/>
      <x:c r="F86" s="271" t="n"/>
      <x:c r="G86" s="271" t="n"/>
      <x:c r="H86" s="271" t="n"/>
      <x:c r="I86" s="271" t="n"/>
      <x:c r="J86" s="271" t="n"/>
    </x:row>
    <x:row r="87">
      <x:c r="A87" s="271" t="n"/>
      <x:c r="B87" s="271" t="n"/>
      <x:c r="C87" s="271" t="n"/>
      <x:c r="D87" s="271" t="n"/>
      <x:c r="E87" s="271" t="n"/>
      <x:c r="F87" s="271" t="n"/>
      <x:c r="G87" s="271" t="n"/>
      <x:c r="H87" s="271" t="n"/>
      <x:c r="I87" s="271" t="n"/>
      <x:c r="J87" s="271" t="n"/>
    </x:row>
    <x:row r="88">
      <x:c r="A88" s="271" t="n"/>
      <x:c r="B88" s="271" t="n"/>
      <x:c r="C88" s="271" t="n"/>
      <x:c r="D88" s="271" t="n"/>
      <x:c r="E88" s="271" t="n"/>
      <x:c r="F88" s="271" t="n"/>
      <x:c r="G88" s="271" t="n"/>
      <x:c r="H88" s="271" t="n"/>
      <x:c r="I88" s="271" t="n"/>
      <x:c r="J88" s="271" t="n"/>
    </x:row>
    <x:row r="89">
      <x:c r="A89" s="271" t="n"/>
      <x:c r="B89" s="271" t="n"/>
      <x:c r="C89" s="271" t="n"/>
      <x:c r="D89" s="271" t="n"/>
      <x:c r="E89" s="271" t="n"/>
      <x:c r="F89" s="271" t="n"/>
      <x:c r="G89" s="271" t="n"/>
      <x:c r="H89" s="271" t="n"/>
      <x:c r="I89" s="271" t="n"/>
      <x:c r="J89" s="271" t="n"/>
    </x:row>
    <x:row r="90">
      <x:c r="A90" s="271" t="n"/>
      <x:c r="B90" s="271" t="n"/>
      <x:c r="C90" s="271" t="n"/>
      <x:c r="D90" s="271" t="n"/>
      <x:c r="E90" s="271" t="n"/>
      <x:c r="F90" s="271" t="n"/>
      <x:c r="G90" s="271" t="n"/>
      <x:c r="H90" s="271" t="n"/>
      <x:c r="I90" s="271" t="n"/>
      <x:c r="J90" s="271" t="n"/>
    </x:row>
    <x:row r="91">
      <x:c r="A91" s="271" t="n"/>
      <x:c r="B91" s="271" t="n"/>
      <x:c r="C91" s="271" t="n"/>
      <x:c r="D91" s="271" t="n"/>
      <x:c r="E91" s="271" t="n"/>
      <x:c r="F91" s="271" t="n"/>
      <x:c r="G91" s="271" t="n"/>
      <x:c r="H91" s="271" t="n"/>
      <x:c r="I91" s="271" t="n"/>
      <x:c r="J91" s="271" t="n"/>
    </x:row>
    <x:row r="92">
      <x:c r="A92" s="271" t="n"/>
      <x:c r="B92" s="271" t="n"/>
      <x:c r="C92" s="271" t="n"/>
      <x:c r="D92" s="271" t="n"/>
      <x:c r="E92" s="271" t="n"/>
      <x:c r="F92" s="271" t="n"/>
      <x:c r="G92" s="271" t="n"/>
      <x:c r="H92" s="271" t="n"/>
      <x:c r="I92" s="271" t="n"/>
      <x:c r="J92" s="271" t="n"/>
    </x:row>
    <x:row r="93">
      <x:c r="A93" s="271" t="n"/>
      <x:c r="B93" s="271" t="n"/>
      <x:c r="C93" s="271" t="n"/>
      <x:c r="D93" s="271" t="n"/>
      <x:c r="E93" s="271" t="n"/>
      <x:c r="F93" s="271" t="n"/>
      <x:c r="G93" s="271" t="n"/>
      <x:c r="H93" s="271" t="n"/>
      <x:c r="I93" s="271" t="n"/>
      <x:c r="J93" s="271" t="n"/>
    </x:row>
    <x:row r="94">
      <x:c r="A94" s="271" t="n"/>
      <x:c r="B94" s="271" t="n"/>
      <x:c r="C94" s="271" t="n"/>
      <x:c r="D94" s="271" t="n"/>
      <x:c r="E94" s="271" t="n"/>
      <x:c r="F94" s="271" t="n"/>
      <x:c r="G94" s="271" t="n"/>
      <x:c r="H94" s="271" t="n"/>
      <x:c r="I94" s="271" t="n"/>
      <x:c r="J94" s="271" t="n"/>
    </x:row>
    <x:row r="95">
      <x:c r="A95" s="271" t="n"/>
      <x:c r="B95" s="271" t="n"/>
      <x:c r="C95" s="271" t="n"/>
      <x:c r="D95" s="271" t="n"/>
      <x:c r="E95" s="271" t="n"/>
      <x:c r="F95" s="271" t="n"/>
      <x:c r="G95" s="271" t="n"/>
      <x:c r="H95" s="271" t="n"/>
      <x:c r="I95" s="271" t="n"/>
      <x:c r="J95" s="271" t="n"/>
    </x:row>
    <x:row r="96">
      <x:c r="A96" s="271" t="n"/>
      <x:c r="B96" s="271" t="n"/>
      <x:c r="C96" s="271" t="n"/>
      <x:c r="D96" s="271" t="n"/>
      <x:c r="E96" s="271" t="n"/>
      <x:c r="F96" s="271" t="n"/>
      <x:c r="G96" s="271" t="n"/>
      <x:c r="H96" s="271" t="n"/>
      <x:c r="I96" s="271" t="n"/>
      <x:c r="J96" s="271" t="n"/>
    </x:row>
    <x:row r="97">
      <x:c r="A97" s="271" t="n"/>
      <x:c r="B97" s="271" t="n"/>
      <x:c r="C97" s="271" t="n"/>
      <x:c r="D97" s="271" t="n"/>
      <x:c r="E97" s="271" t="n"/>
      <x:c r="F97" s="271" t="n"/>
      <x:c r="G97" s="271" t="n"/>
      <x:c r="H97" s="271" t="n"/>
      <x:c r="I97" s="271" t="n"/>
      <x:c r="J97" s="271" t="n"/>
    </x:row>
    <x:row r="98">
      <x:c r="A98" s="271" t="n"/>
      <x:c r="B98" s="271" t="n"/>
      <x:c r="C98" s="271" t="n"/>
      <x:c r="D98" s="271" t="n"/>
      <x:c r="E98" s="271" t="n"/>
      <x:c r="F98" s="271" t="n"/>
      <x:c r="G98" s="271" t="n"/>
      <x:c r="H98" s="271" t="n"/>
      <x:c r="I98" s="271" t="n"/>
      <x:c r="J98" s="271" t="n"/>
    </x:row>
    <x:row r="99">
      <x:c r="A99" s="271" t="n"/>
      <x:c r="B99" s="271" t="n"/>
      <x:c r="C99" s="271" t="n"/>
      <x:c r="D99" s="271" t="n"/>
      <x:c r="E99" s="271" t="n"/>
      <x:c r="F99" s="271" t="n"/>
      <x:c r="G99" s="271" t="n"/>
      <x:c r="H99" s="271" t="n"/>
      <x:c r="I99" s="271" t="n"/>
      <x:c r="J99" s="271" t="n"/>
    </x:row>
    <x:row r="100">
      <x:c r="A100" s="271" t="n"/>
      <x:c r="B100" s="271" t="n"/>
      <x:c r="C100" s="271" t="n"/>
      <x:c r="D100" s="271" t="n"/>
      <x:c r="E100" s="271" t="n"/>
      <x:c r="F100" s="271" t="n"/>
      <x:c r="G100" s="271" t="n"/>
      <x:c r="H100" s="271" t="n"/>
      <x:c r="I100" s="271" t="n"/>
      <x:c r="J100" s="271" t="n"/>
    </x:row>
    <x:row r="101">
      <x:c r="A101" s="271" t="n"/>
      <x:c r="B101" s="271" t="n"/>
      <x:c r="C101" s="271" t="n"/>
      <x:c r="D101" s="271" t="n"/>
      <x:c r="E101" s="271" t="n"/>
      <x:c r="F101" s="271" t="n"/>
      <x:c r="G101" s="271" t="n"/>
      <x:c r="H101" s="271" t="n"/>
      <x:c r="I101" s="271" t="n"/>
      <x:c r="J101" s="271" t="n"/>
    </x:row>
    <x:row r="102">
      <x:c r="A102" s="271" t="n"/>
      <x:c r="B102" s="271" t="n"/>
      <x:c r="C102" s="271" t="n"/>
      <x:c r="D102" s="271" t="n"/>
      <x:c r="E102" s="271" t="n"/>
      <x:c r="F102" s="271" t="n"/>
      <x:c r="G102" s="271" t="n"/>
      <x:c r="H102" s="271" t="n"/>
      <x:c r="I102" s="271" t="n"/>
      <x:c r="J102" s="271" t="n"/>
    </x:row>
    <x:row r="103">
      <x:c r="A103" s="271" t="n"/>
      <x:c r="B103" s="271" t="n"/>
      <x:c r="C103" s="271" t="n"/>
      <x:c r="D103" s="271" t="n"/>
      <x:c r="E103" s="271" t="n"/>
      <x:c r="F103" s="271" t="n"/>
      <x:c r="G103" s="271" t="n"/>
      <x:c r="H103" s="271" t="n"/>
      <x:c r="I103" s="271" t="n"/>
      <x:c r="J103" s="271" t="n"/>
    </x:row>
    <x:row r="104">
      <x:c r="A104" s="271" t="n"/>
      <x:c r="B104" s="271" t="n"/>
      <x:c r="C104" s="271" t="n"/>
      <x:c r="D104" s="271" t="n"/>
      <x:c r="E104" s="271" t="n"/>
      <x:c r="F104" s="271" t="n"/>
      <x:c r="G104" s="271" t="n"/>
      <x:c r="H104" s="271" t="n"/>
      <x:c r="I104" s="271" t="n"/>
      <x:c r="J104" s="271" t="n"/>
    </x:row>
    <x:row r="105">
      <x:c r="A105" s="271" t="n"/>
      <x:c r="B105" s="271" t="n"/>
      <x:c r="C105" s="271" t="n"/>
      <x:c r="D105" s="271" t="n"/>
      <x:c r="E105" s="271" t="n"/>
      <x:c r="F105" s="271" t="n"/>
      <x:c r="G105" s="271" t="n"/>
      <x:c r="H105" s="271" t="n"/>
      <x:c r="I105" s="271" t="n"/>
      <x:c r="J105" s="271" t="n"/>
    </x:row>
    <x:row r="106">
      <x:c r="A106" s="271" t="n"/>
      <x:c r="B106" s="271" t="n"/>
      <x:c r="C106" s="271" t="n"/>
      <x:c r="D106" s="271" t="n"/>
      <x:c r="E106" s="271" t="n"/>
      <x:c r="F106" s="271" t="n"/>
      <x:c r="G106" s="271" t="n"/>
      <x:c r="H106" s="271" t="n"/>
      <x:c r="I106" s="271" t="n"/>
      <x:c r="J106" s="271" t="n"/>
    </x:row>
    <x:row r="107">
      <x:c r="A107" s="271" t="n"/>
      <x:c r="B107" s="271" t="n"/>
      <x:c r="C107" s="271" t="n"/>
      <x:c r="D107" s="271" t="n"/>
      <x:c r="E107" s="271" t="n"/>
      <x:c r="F107" s="271" t="n"/>
      <x:c r="G107" s="271" t="n"/>
      <x:c r="H107" s="271" t="n"/>
      <x:c r="I107" s="271" t="n"/>
      <x:c r="J107" s="271" t="n"/>
    </x:row>
    <x:row r="108">
      <x:c r="A108" s="271" t="n"/>
      <x:c r="B108" s="271" t="n"/>
      <x:c r="C108" s="271" t="n"/>
      <x:c r="D108" s="271" t="n"/>
      <x:c r="E108" s="271" t="n"/>
      <x:c r="F108" s="271" t="n"/>
      <x:c r="G108" s="271" t="n"/>
      <x:c r="H108" s="271" t="n"/>
      <x:c r="I108" s="271" t="n"/>
      <x:c r="J108" s="271" t="n"/>
    </x:row>
    <x:row r="109">
      <x:c r="A109" s="271" t="n"/>
      <x:c r="B109" s="271" t="n"/>
      <x:c r="C109" s="271" t="n"/>
      <x:c r="D109" s="271" t="n"/>
      <x:c r="E109" s="271" t="n"/>
      <x:c r="F109" s="271" t="n"/>
      <x:c r="G109" s="271" t="n"/>
      <x:c r="H109" s="271" t="n"/>
      <x:c r="I109" s="271" t="n"/>
      <x:c r="J109" s="271" t="n"/>
    </x:row>
    <x:row r="110">
      <x:c r="A110" s="271" t="n"/>
      <x:c r="B110" s="271" t="n"/>
      <x:c r="C110" s="271" t="n"/>
      <x:c r="D110" s="271" t="n"/>
      <x:c r="E110" s="271" t="n"/>
      <x:c r="F110" s="271" t="n"/>
      <x:c r="G110" s="271" t="n"/>
      <x:c r="H110" s="271" t="n"/>
      <x:c r="I110" s="271" t="n"/>
      <x:c r="J110" s="271" t="n"/>
    </x:row>
    <x:row r="111">
      <x:c r="A111" s="271" t="n"/>
      <x:c r="B111" s="271" t="n"/>
      <x:c r="C111" s="271" t="n"/>
      <x:c r="D111" s="271" t="n"/>
      <x:c r="E111" s="271" t="n"/>
      <x:c r="F111" s="271" t="n"/>
      <x:c r="G111" s="271" t="n"/>
      <x:c r="H111" s="271" t="n"/>
      <x:c r="I111" s="271" t="n"/>
      <x:c r="J111" s="271" t="n"/>
    </x:row>
    <x:row r="112">
      <x:c r="A112" s="271" t="n"/>
      <x:c r="B112" s="271" t="n"/>
      <x:c r="C112" s="271" t="n"/>
      <x:c r="D112" s="271" t="n"/>
      <x:c r="E112" s="271" t="n"/>
      <x:c r="F112" s="271" t="n"/>
      <x:c r="G112" s="271" t="n"/>
      <x:c r="H112" s="271" t="n"/>
      <x:c r="I112" s="271" t="n"/>
      <x:c r="J112" s="271" t="n"/>
    </x:row>
    <x:row r="113">
      <x:c r="A113" s="271" t="n"/>
      <x:c r="B113" s="271" t="n"/>
      <x:c r="C113" s="271" t="n"/>
      <x:c r="D113" s="271" t="n"/>
      <x:c r="E113" s="271" t="n"/>
      <x:c r="F113" s="271" t="n"/>
      <x:c r="G113" s="271" t="n"/>
      <x:c r="H113" s="271" t="n"/>
      <x:c r="I113" s="271" t="n"/>
      <x:c r="J113" s="271" t="n"/>
    </x:row>
    <x:row r="114">
      <x:c r="A114" s="271" t="n"/>
      <x:c r="B114" s="271" t="n"/>
      <x:c r="C114" s="271" t="n"/>
      <x:c r="D114" s="271" t="n"/>
      <x:c r="E114" s="271" t="n"/>
      <x:c r="F114" s="271" t="n"/>
      <x:c r="G114" s="271" t="n"/>
      <x:c r="H114" s="271" t="n"/>
      <x:c r="I114" s="271" t="n"/>
      <x:c r="J114" s="271" t="n"/>
    </x:row>
    <x:row r="115">
      <x:c r="A115" s="271" t="n"/>
      <x:c r="B115" s="271" t="n"/>
      <x:c r="C115" s="271" t="n"/>
      <x:c r="D115" s="271" t="n"/>
      <x:c r="E115" s="271" t="n"/>
      <x:c r="F115" s="271" t="n"/>
      <x:c r="G115" s="271" t="n"/>
      <x:c r="H115" s="271" t="n"/>
      <x:c r="I115" s="271" t="n"/>
      <x:c r="J115" s="271" t="n"/>
    </x:row>
    <x:row r="116">
      <x:c r="A116" s="271" t="n"/>
      <x:c r="B116" s="271" t="n"/>
      <x:c r="C116" s="271" t="n"/>
      <x:c r="D116" s="271" t="n"/>
      <x:c r="E116" s="271" t="n"/>
      <x:c r="F116" s="271" t="n"/>
      <x:c r="G116" s="271" t="n"/>
      <x:c r="H116" s="271" t="n"/>
      <x:c r="I116" s="271" t="n"/>
      <x:c r="J116" s="271" t="n"/>
    </x:row>
    <x:row r="117">
      <x:c r="A117" s="271" t="n"/>
      <x:c r="B117" s="271" t="n"/>
      <x:c r="C117" s="271" t="n"/>
      <x:c r="D117" s="271" t="n"/>
      <x:c r="E117" s="271" t="n"/>
      <x:c r="F117" s="271" t="n"/>
      <x:c r="G117" s="271" t="n"/>
      <x:c r="H117" s="271" t="n"/>
      <x:c r="I117" s="271" t="n"/>
      <x:c r="J117" s="271" t="n"/>
    </x:row>
    <x:row r="118">
      <x:c r="A118" s="271" t="n"/>
      <x:c r="B118" s="271" t="n"/>
      <x:c r="C118" s="271" t="n"/>
      <x:c r="D118" s="271" t="n"/>
      <x:c r="E118" s="271" t="n"/>
      <x:c r="F118" s="271" t="n"/>
      <x:c r="G118" s="271" t="n"/>
      <x:c r="H118" s="271" t="n"/>
      <x:c r="I118" s="271" t="n"/>
      <x:c r="J118" s="271" t="n"/>
    </x:row>
    <x:row r="119">
      <x:c r="A119" s="271" t="n"/>
      <x:c r="B119" s="271" t="n"/>
      <x:c r="C119" s="271" t="n"/>
      <x:c r="D119" s="271" t="n"/>
      <x:c r="E119" s="271" t="n"/>
      <x:c r="F119" s="271" t="n"/>
      <x:c r="G119" s="271" t="n"/>
      <x:c r="H119" s="271" t="n"/>
      <x:c r="I119" s="271" t="n"/>
      <x:c r="J119" s="271" t="n"/>
    </x:row>
    <x:row r="120">
      <x:c r="A120" s="271" t="n"/>
      <x:c r="B120" s="271" t="n"/>
      <x:c r="C120" s="271" t="n"/>
      <x:c r="D120" s="271" t="n"/>
      <x:c r="E120" s="271" t="n"/>
      <x:c r="F120" s="271" t="n"/>
      <x:c r="G120" s="271" t="n"/>
      <x:c r="H120" s="271" t="n"/>
      <x:c r="I120" s="271" t="n"/>
      <x:c r="J120" s="271" t="n"/>
    </x:row>
    <x:row r="121">
      <x:c r="A121" s="271" t="n"/>
      <x:c r="B121" s="271" t="n"/>
      <x:c r="C121" s="271" t="n"/>
      <x:c r="D121" s="271" t="n"/>
      <x:c r="E121" s="271" t="n"/>
      <x:c r="F121" s="271" t="n"/>
      <x:c r="G121" s="271" t="n"/>
      <x:c r="H121" s="271" t="n"/>
      <x:c r="I121" s="271" t="n"/>
      <x:c r="J121" s="271" t="n"/>
    </x:row>
    <x:row r="122">
      <x:c r="A122" s="271" t="n"/>
      <x:c r="B122" s="271" t="n"/>
      <x:c r="C122" s="271" t="n"/>
      <x:c r="D122" s="271" t="n"/>
      <x:c r="E122" s="271" t="n"/>
      <x:c r="F122" s="271" t="n"/>
      <x:c r="G122" s="271" t="n"/>
      <x:c r="H122" s="271" t="n"/>
      <x:c r="I122" s="271" t="n"/>
      <x:c r="J122" s="271" t="n"/>
    </x:row>
    <x:row r="123">
      <x:c r="A123" s="271" t="n"/>
      <x:c r="B123" s="271" t="n"/>
      <x:c r="C123" s="271" t="n"/>
      <x:c r="D123" s="271" t="n"/>
      <x:c r="E123" s="271" t="n"/>
      <x:c r="F123" s="271" t="n"/>
      <x:c r="G123" s="271" t="n"/>
      <x:c r="H123" s="271" t="n"/>
      <x:c r="I123" s="271" t="n"/>
      <x:c r="J123" s="271" t="n"/>
    </x:row>
    <x:row r="124">
      <x:c r="A124" s="271" t="n"/>
      <x:c r="B124" s="271" t="n"/>
      <x:c r="C124" s="271" t="n"/>
      <x:c r="D124" s="271" t="n"/>
      <x:c r="E124" s="271" t="n"/>
      <x:c r="F124" s="271" t="n"/>
      <x:c r="G124" s="271" t="n"/>
      <x:c r="H124" s="271" t="n"/>
      <x:c r="I124" s="271" t="n"/>
      <x:c r="J124" s="271" t="n"/>
    </x:row>
    <x:row r="125">
      <x:c r="A125" s="271" t="n"/>
      <x:c r="B125" s="271" t="n"/>
      <x:c r="C125" s="271" t="n"/>
      <x:c r="D125" s="271" t="n"/>
      <x:c r="E125" s="271" t="n"/>
      <x:c r="F125" s="271" t="n"/>
      <x:c r="G125" s="271" t="n"/>
      <x:c r="H125" s="271" t="n"/>
      <x:c r="I125" s="271" t="n"/>
      <x:c r="J125" s="271" t="n"/>
    </x:row>
    <x:row r="126">
      <x:c r="A126" s="271" t="n"/>
      <x:c r="B126" s="271" t="n"/>
      <x:c r="C126" s="271" t="n"/>
      <x:c r="D126" s="271" t="n"/>
      <x:c r="E126" s="271" t="n"/>
      <x:c r="F126" s="271" t="n"/>
      <x:c r="G126" s="271" t="n"/>
      <x:c r="H126" s="271" t="n"/>
      <x:c r="I126" s="271" t="n"/>
      <x:c r="J126" s="271" t="n"/>
    </x:row>
    <x:row r="127">
      <x:c r="A127" s="271" t="n"/>
      <x:c r="B127" s="271" t="n"/>
      <x:c r="C127" s="271" t="n"/>
      <x:c r="D127" s="271" t="n"/>
      <x:c r="E127" s="271" t="n"/>
      <x:c r="F127" s="271" t="n"/>
      <x:c r="G127" s="271" t="n"/>
      <x:c r="H127" s="271" t="n"/>
      <x:c r="I127" s="271" t="n"/>
      <x:c r="J127" s="271" t="n"/>
    </x:row>
    <x:row r="128">
      <x:c r="A128" s="271" t="n"/>
      <x:c r="B128" s="271" t="n"/>
      <x:c r="C128" s="271" t="n"/>
      <x:c r="D128" s="271" t="n"/>
      <x:c r="E128" s="271" t="n"/>
      <x:c r="F128" s="271" t="n"/>
      <x:c r="G128" s="271" t="n"/>
      <x:c r="H128" s="271" t="n"/>
      <x:c r="I128" s="271" t="n"/>
      <x:c r="J128" s="271" t="n"/>
    </x:row>
    <x:row r="129">
      <x:c r="A129" s="271" t="n"/>
      <x:c r="B129" s="271" t="n"/>
      <x:c r="C129" s="271" t="n"/>
      <x:c r="D129" s="271" t="n"/>
      <x:c r="E129" s="271" t="n"/>
      <x:c r="F129" s="271" t="n"/>
      <x:c r="G129" s="271" t="n"/>
      <x:c r="H129" s="271" t="n"/>
      <x:c r="I129" s="271" t="n"/>
      <x:c r="J129" s="271" t="n"/>
    </x:row>
    <x:row r="130">
      <x:c r="A130" s="271" t="n"/>
      <x:c r="B130" s="271" t="n"/>
      <x:c r="C130" s="271" t="n"/>
      <x:c r="D130" s="271" t="n"/>
      <x:c r="E130" s="271" t="n"/>
      <x:c r="F130" s="271" t="n"/>
      <x:c r="G130" s="271" t="n"/>
      <x:c r="H130" s="271" t="n"/>
      <x:c r="I130" s="271" t="n"/>
      <x:c r="J130" s="271" t="n"/>
    </x:row>
    <x:row r="131">
      <x:c r="A131" s="271" t="n"/>
      <x:c r="B131" s="271" t="n"/>
      <x:c r="C131" s="271" t="n"/>
      <x:c r="D131" s="271" t="n"/>
      <x:c r="E131" s="271" t="n"/>
      <x:c r="F131" s="271" t="n"/>
      <x:c r="G131" s="271" t="n"/>
      <x:c r="H131" s="271" t="n"/>
      <x:c r="I131" s="271" t="n"/>
      <x:c r="J131" s="271" t="n"/>
    </x:row>
    <x:row r="132">
      <x:c r="A132" s="271" t="n"/>
      <x:c r="B132" s="271" t="n"/>
      <x:c r="C132" s="271" t="n"/>
      <x:c r="D132" s="271" t="n"/>
      <x:c r="E132" s="271" t="n"/>
      <x:c r="F132" s="271" t="n"/>
      <x:c r="G132" s="271" t="n"/>
      <x:c r="H132" s="271" t="n"/>
      <x:c r="I132" s="271" t="n"/>
      <x:c r="J132" s="271" t="n"/>
    </x:row>
    <x:row r="133">
      <x:c r="A133" s="271" t="n"/>
      <x:c r="B133" s="271" t="n"/>
      <x:c r="C133" s="271" t="n"/>
      <x:c r="D133" s="271" t="n"/>
      <x:c r="E133" s="271" t="n"/>
      <x:c r="F133" s="271" t="n"/>
      <x:c r="G133" s="271" t="n"/>
      <x:c r="H133" s="271" t="n"/>
      <x:c r="I133" s="271" t="n"/>
      <x:c r="J133" s="271" t="n"/>
    </x:row>
    <x:row r="134">
      <x:c r="A134" s="271" t="n"/>
      <x:c r="B134" s="271" t="n"/>
      <x:c r="C134" s="271" t="n"/>
      <x:c r="D134" s="271" t="n"/>
      <x:c r="E134" s="271" t="n"/>
      <x:c r="F134" s="271" t="n"/>
      <x:c r="G134" s="271" t="n"/>
      <x:c r="H134" s="271" t="n"/>
      <x:c r="I134" s="271" t="n"/>
      <x:c r="J134" s="271" t="n"/>
    </x:row>
    <x:row r="135">
      <x:c r="A135" s="271" t="n"/>
      <x:c r="B135" s="271" t="n"/>
      <x:c r="C135" s="271" t="n"/>
      <x:c r="D135" s="271" t="n"/>
      <x:c r="E135" s="271" t="n"/>
      <x:c r="F135" s="271" t="n"/>
      <x:c r="G135" s="271" t="n"/>
      <x:c r="H135" s="271" t="n"/>
      <x:c r="I135" s="271" t="n"/>
      <x:c r="J135" s="271" t="n"/>
    </x:row>
    <x:row r="136">
      <x:c r="A136" s="271" t="n"/>
      <x:c r="B136" s="271" t="n"/>
      <x:c r="C136" s="271" t="n"/>
      <x:c r="D136" s="271" t="n"/>
      <x:c r="E136" s="271" t="n"/>
      <x:c r="F136" s="271" t="n"/>
      <x:c r="G136" s="271" t="n"/>
      <x:c r="H136" s="271" t="n"/>
      <x:c r="I136" s="271" t="n"/>
      <x:c r="J136" s="271" t="n"/>
    </x:row>
    <x:row r="137">
      <x:c r="A137" s="271" t="n"/>
      <x:c r="B137" s="271" t="n"/>
      <x:c r="C137" s="271" t="n"/>
      <x:c r="D137" s="271" t="n"/>
      <x:c r="E137" s="271" t="n"/>
      <x:c r="F137" s="271" t="n"/>
      <x:c r="G137" s="271" t="n"/>
      <x:c r="H137" s="271" t="n"/>
      <x:c r="I137" s="271" t="n"/>
      <x:c r="J137" s="271" t="n"/>
    </x:row>
    <x:row r="138">
      <x:c r="A138" s="271" t="n"/>
      <x:c r="B138" s="271" t="n"/>
      <x:c r="C138" s="271" t="n"/>
      <x:c r="D138" s="271" t="n"/>
      <x:c r="E138" s="271" t="n"/>
      <x:c r="F138" s="271" t="n"/>
      <x:c r="G138" s="271" t="n"/>
      <x:c r="H138" s="271" t="n"/>
      <x:c r="I138" s="271" t="n"/>
      <x:c r="J138" s="271" t="n"/>
    </x:row>
    <x:row r="139">
      <x:c r="A139" s="271" t="n"/>
      <x:c r="B139" s="271" t="n"/>
      <x:c r="C139" s="271" t="n"/>
      <x:c r="D139" s="271" t="n"/>
      <x:c r="E139" s="271" t="n"/>
      <x:c r="F139" s="271" t="n"/>
      <x:c r="G139" s="271" t="n"/>
      <x:c r="H139" s="271" t="n"/>
      <x:c r="I139" s="271" t="n"/>
      <x:c r="J139" s="271" t="n"/>
    </x:row>
    <x:row r="140">
      <x:c r="A140" s="271" t="n"/>
      <x:c r="B140" s="271" t="n"/>
      <x:c r="C140" s="271" t="n"/>
      <x:c r="D140" s="271" t="n"/>
      <x:c r="E140" s="271" t="n"/>
      <x:c r="F140" s="271" t="n"/>
      <x:c r="G140" s="271" t="n"/>
      <x:c r="H140" s="271" t="n"/>
      <x:c r="I140" s="271" t="n"/>
      <x:c r="J140" s="271" t="n"/>
    </x:row>
    <x:row r="141">
      <x:c r="A141" s="271" t="n"/>
      <x:c r="B141" s="271" t="n"/>
      <x:c r="C141" s="271" t="n"/>
      <x:c r="D141" s="271" t="n"/>
      <x:c r="E141" s="271" t="n"/>
      <x:c r="F141" s="271" t="n"/>
      <x:c r="G141" s="271" t="n"/>
      <x:c r="H141" s="271" t="n"/>
      <x:c r="I141" s="271" t="n"/>
      <x:c r="J141" s="271" t="n"/>
    </x:row>
    <x:row r="142">
      <x:c r="A142" s="271" t="n"/>
      <x:c r="B142" s="271" t="n"/>
      <x:c r="C142" s="271" t="n"/>
      <x:c r="D142" s="271" t="n"/>
      <x:c r="E142" s="271" t="n"/>
      <x:c r="F142" s="271" t="n"/>
      <x:c r="G142" s="271" t="n"/>
      <x:c r="H142" s="271" t="n"/>
      <x:c r="I142" s="271" t="n"/>
      <x:c r="J142" s="271" t="n"/>
    </x:row>
    <x:row r="143">
      <x:c r="A143" s="271" t="n"/>
      <x:c r="B143" s="271" t="n"/>
      <x:c r="C143" s="271" t="n"/>
      <x:c r="D143" s="271" t="n"/>
      <x:c r="E143" s="271" t="n"/>
      <x:c r="F143" s="271" t="n"/>
      <x:c r="G143" s="271" t="n"/>
      <x:c r="H143" s="271" t="n"/>
      <x:c r="I143" s="271" t="n"/>
      <x:c r="J143" s="271" t="n"/>
    </x:row>
    <x:row r="144">
      <x:c r="A144" s="271" t="n"/>
      <x:c r="B144" s="271" t="n"/>
      <x:c r="C144" s="271" t="n"/>
      <x:c r="D144" s="271" t="n"/>
      <x:c r="E144" s="271" t="n"/>
      <x:c r="F144" s="271" t="n"/>
      <x:c r="G144" s="271" t="n"/>
      <x:c r="H144" s="271" t="n"/>
      <x:c r="I144" s="271" t="n"/>
      <x:c r="J144" s="271" t="n"/>
    </x:row>
    <x:row r="145">
      <x:c r="A145" s="271" t="n"/>
      <x:c r="B145" s="271" t="n"/>
      <x:c r="C145" s="271" t="n"/>
      <x:c r="D145" s="271" t="n"/>
      <x:c r="E145" s="271" t="n"/>
      <x:c r="F145" s="271" t="n"/>
      <x:c r="G145" s="271" t="n"/>
      <x:c r="H145" s="271" t="n"/>
      <x:c r="I145" s="271" t="n"/>
      <x:c r="J145" s="271" t="n"/>
    </x:row>
    <x:row r="146">
      <x:c r="A146" s="271" t="n"/>
      <x:c r="B146" s="271" t="n"/>
      <x:c r="C146" s="271" t="n"/>
      <x:c r="D146" s="271" t="n"/>
      <x:c r="E146" s="271" t="n"/>
      <x:c r="F146" s="271" t="n"/>
      <x:c r="G146" s="271" t="n"/>
      <x:c r="H146" s="271" t="n"/>
      <x:c r="I146" s="271" t="n"/>
      <x:c r="J146" s="271" t="n"/>
    </x:row>
    <x:row r="147">
      <x:c r="A147" s="271" t="n"/>
      <x:c r="B147" s="271" t="n"/>
      <x:c r="C147" s="271" t="n"/>
      <x:c r="D147" s="271" t="n"/>
      <x:c r="E147" s="271" t="n"/>
      <x:c r="F147" s="271" t="n"/>
      <x:c r="G147" s="271" t="n"/>
      <x:c r="H147" s="271" t="n"/>
      <x:c r="I147" s="271" t="n"/>
      <x:c r="J147" s="271" t="n"/>
    </x:row>
    <x:row r="148">
      <x:c r="A148" s="271" t="n"/>
      <x:c r="B148" s="271" t="n"/>
      <x:c r="C148" s="271" t="n"/>
      <x:c r="D148" s="271" t="n"/>
      <x:c r="E148" s="271" t="n"/>
      <x:c r="F148" s="271" t="n"/>
      <x:c r="G148" s="271" t="n"/>
      <x:c r="H148" s="271" t="n"/>
      <x:c r="I148" s="271" t="n"/>
      <x:c r="J148" s="271" t="n"/>
    </x:row>
    <x:row r="149">
      <x:c r="A149" s="271" t="n"/>
      <x:c r="B149" s="271" t="n"/>
      <x:c r="C149" s="271" t="n"/>
      <x:c r="D149" s="271" t="n"/>
      <x:c r="E149" s="271" t="n"/>
      <x:c r="F149" s="271" t="n"/>
      <x:c r="G149" s="271" t="n"/>
      <x:c r="H149" s="271" t="n"/>
      <x:c r="I149" s="271" t="n"/>
      <x:c r="J149" s="271" t="n"/>
    </x:row>
    <x:row r="150">
      <x:c r="A150" s="271" t="n"/>
      <x:c r="B150" s="271" t="n"/>
      <x:c r="C150" s="271" t="n"/>
      <x:c r="D150" s="271" t="n"/>
      <x:c r="E150" s="271" t="n"/>
      <x:c r="F150" s="271" t="n"/>
      <x:c r="G150" s="271" t="n"/>
      <x:c r="H150" s="271" t="n"/>
      <x:c r="I150" s="271" t="n"/>
      <x:c r="J150" s="271" t="n"/>
    </x:row>
    <x:row r="151">
      <x:c r="A151" s="271" t="n"/>
      <x:c r="B151" s="271" t="n"/>
      <x:c r="C151" s="271" t="n"/>
      <x:c r="D151" s="271" t="n"/>
      <x:c r="E151" s="271" t="n"/>
      <x:c r="F151" s="271" t="n"/>
      <x:c r="G151" s="271" t="n"/>
      <x:c r="H151" s="271" t="n"/>
      <x:c r="I151" s="271" t="n"/>
      <x:c r="J151" s="271" t="n"/>
    </x:row>
    <x:row r="152">
      <x:c r="A152" s="271" t="n"/>
      <x:c r="B152" s="271" t="n"/>
      <x:c r="C152" s="271" t="n"/>
      <x:c r="D152" s="271" t="n"/>
      <x:c r="E152" s="271" t="n"/>
      <x:c r="F152" s="271" t="n"/>
      <x:c r="G152" s="271" t="n"/>
      <x:c r="H152" s="271" t="n"/>
      <x:c r="I152" s="271" t="n"/>
      <x:c r="J152" s="271" t="n"/>
    </x:row>
    <x:row r="153">
      <x:c r="A153" s="271" t="n"/>
      <x:c r="B153" s="271" t="n"/>
      <x:c r="C153" s="271" t="n"/>
      <x:c r="D153" s="271" t="n"/>
      <x:c r="E153" s="271" t="n"/>
      <x:c r="F153" s="271" t="n"/>
      <x:c r="G153" s="271" t="n"/>
      <x:c r="H153" s="271" t="n"/>
      <x:c r="I153" s="271" t="n"/>
      <x:c r="J153" s="271" t="n"/>
    </x:row>
    <x:row r="154">
      <x:c r="A154" s="271" t="n"/>
      <x:c r="B154" s="271" t="n"/>
      <x:c r="C154" s="271" t="n"/>
      <x:c r="D154" s="271" t="n"/>
      <x:c r="E154" s="271" t="n"/>
      <x:c r="F154" s="271" t="n"/>
      <x:c r="G154" s="271" t="n"/>
      <x:c r="H154" s="271" t="n"/>
      <x:c r="I154" s="271" t="n"/>
      <x:c r="J154" s="271" t="n"/>
    </x:row>
    <x:row r="155">
      <x:c r="A155" s="271" t="n"/>
      <x:c r="B155" s="271" t="n"/>
      <x:c r="C155" s="271" t="n"/>
      <x:c r="D155" s="271" t="n"/>
      <x:c r="E155" s="271" t="n"/>
      <x:c r="F155" s="271" t="n"/>
      <x:c r="G155" s="271" t="n"/>
      <x:c r="H155" s="271" t="n"/>
      <x:c r="I155" s="271" t="n"/>
      <x:c r="J155" s="271" t="n"/>
    </x:row>
    <x:row r="156">
      <x:c r="A156" s="271" t="n"/>
      <x:c r="B156" s="271" t="n"/>
      <x:c r="C156" s="271" t="n"/>
      <x:c r="D156" s="271" t="n"/>
      <x:c r="E156" s="271" t="n"/>
      <x:c r="F156" s="271" t="n"/>
      <x:c r="G156" s="271" t="n"/>
      <x:c r="H156" s="271" t="n"/>
      <x:c r="I156" s="271" t="n"/>
      <x:c r="J156" s="271" t="n"/>
    </x:row>
    <x:row r="157">
      <x:c r="A157" s="271" t="n"/>
      <x:c r="B157" s="271" t="n"/>
      <x:c r="C157" s="271" t="n"/>
      <x:c r="D157" s="271" t="n"/>
      <x:c r="E157" s="271" t="n"/>
      <x:c r="F157" s="271" t="n"/>
      <x:c r="G157" s="271" t="n"/>
      <x:c r="H157" s="271" t="n"/>
      <x:c r="I157" s="271" t="n"/>
      <x:c r="J157" s="271" t="n"/>
    </x:row>
    <x:row r="158">
      <x:c r="A158" s="271" t="n"/>
      <x:c r="B158" s="271" t="n"/>
      <x:c r="C158" s="271" t="n"/>
      <x:c r="D158" s="271" t="n"/>
      <x:c r="E158" s="271" t="n"/>
      <x:c r="F158" s="271" t="n"/>
      <x:c r="G158" s="271" t="n"/>
      <x:c r="H158" s="271" t="n"/>
      <x:c r="I158" s="271" t="n"/>
      <x:c r="J158" s="271" t="n"/>
    </x:row>
    <x:row r="159">
      <x:c r="A159" s="271" t="n"/>
      <x:c r="B159" s="271" t="n"/>
      <x:c r="C159" s="271" t="n"/>
      <x:c r="D159" s="271" t="n"/>
      <x:c r="E159" s="271" t="n"/>
      <x:c r="F159" s="271" t="n"/>
      <x:c r="G159" s="271" t="n"/>
      <x:c r="H159" s="271" t="n"/>
      <x:c r="I159" s="271" t="n"/>
      <x:c r="J159" s="271" t="n"/>
    </x:row>
    <x:row r="160">
      <x:c r="A160" s="271" t="n"/>
      <x:c r="B160" s="271" t="n"/>
      <x:c r="C160" s="271" t="n"/>
      <x:c r="D160" s="271" t="n"/>
      <x:c r="E160" s="271" t="n"/>
      <x:c r="F160" s="271" t="n"/>
      <x:c r="G160" s="271" t="n"/>
      <x:c r="H160" s="271" t="n"/>
      <x:c r="I160" s="271" t="n"/>
      <x:c r="J160" s="271" t="n"/>
    </x:row>
    <x:row r="161">
      <x:c r="A161" s="271" t="n"/>
      <x:c r="B161" s="271" t="n"/>
      <x:c r="C161" s="271" t="n"/>
      <x:c r="D161" s="271" t="n"/>
      <x:c r="E161" s="271" t="n"/>
      <x:c r="F161" s="271" t="n"/>
      <x:c r="G161" s="271" t="n"/>
      <x:c r="H161" s="271" t="n"/>
      <x:c r="I161" s="271" t="n"/>
      <x:c r="J161" s="271" t="n"/>
    </x:row>
    <x:row r="162">
      <x:c r="A162" s="271" t="n"/>
      <x:c r="B162" s="271" t="n"/>
      <x:c r="C162" s="271" t="n"/>
      <x:c r="D162" s="271" t="n"/>
      <x:c r="E162" s="271" t="n"/>
      <x:c r="F162" s="271" t="n"/>
      <x:c r="G162" s="271" t="n"/>
      <x:c r="H162" s="271" t="n"/>
      <x:c r="I162" s="271" t="n"/>
      <x:c r="J162" s="271" t="n"/>
    </x:row>
    <x:row r="163">
      <x:c r="A163" s="271" t="n"/>
      <x:c r="B163" s="271" t="n"/>
      <x:c r="C163" s="271" t="n"/>
      <x:c r="D163" s="271" t="n"/>
      <x:c r="E163" s="271" t="n"/>
      <x:c r="F163" s="271" t="n"/>
      <x:c r="G163" s="271" t="n"/>
      <x:c r="H163" s="271" t="n"/>
      <x:c r="I163" s="271" t="n"/>
      <x:c r="J163" s="271" t="n"/>
    </x:row>
    <x:row r="164">
      <x:c r="A164" s="271" t="n"/>
      <x:c r="B164" s="271" t="n"/>
      <x:c r="C164" s="271" t="n"/>
      <x:c r="D164" s="271" t="n"/>
      <x:c r="E164" s="271" t="n"/>
      <x:c r="F164" s="271" t="n"/>
      <x:c r="G164" s="271" t="n"/>
      <x:c r="H164" s="271" t="n"/>
      <x:c r="I164" s="271" t="n"/>
      <x:c r="J164" s="271" t="n"/>
    </x:row>
    <x:row r="165">
      <x:c r="A165" s="271" t="n"/>
      <x:c r="B165" s="271" t="n"/>
      <x:c r="C165" s="271" t="n"/>
      <x:c r="D165" s="271" t="n"/>
      <x:c r="E165" s="271" t="n"/>
      <x:c r="F165" s="271" t="n"/>
      <x:c r="G165" s="271" t="n"/>
      <x:c r="H165" s="271" t="n"/>
      <x:c r="I165" s="271" t="n"/>
      <x:c r="J165" s="271" t="n"/>
    </x:row>
    <x:row r="166">
      <x:c r="A166" s="271" t="n"/>
      <x:c r="B166" s="271" t="n"/>
      <x:c r="C166" s="271" t="n"/>
      <x:c r="D166" s="271" t="n"/>
      <x:c r="E166" s="271" t="n"/>
      <x:c r="F166" s="271" t="n"/>
      <x:c r="G166" s="271" t="n"/>
      <x:c r="H166" s="271" t="n"/>
      <x:c r="I166" s="271" t="n"/>
      <x:c r="J166" s="271" t="n"/>
    </x:row>
    <x:row r="167">
      <x:c r="A167" s="271" t="n"/>
      <x:c r="B167" s="271" t="n"/>
      <x:c r="C167" s="271" t="n"/>
      <x:c r="D167" s="271" t="n"/>
      <x:c r="E167" s="271" t="n"/>
      <x:c r="F167" s="271" t="n"/>
      <x:c r="G167" s="271" t="n"/>
      <x:c r="H167" s="271" t="n"/>
      <x:c r="I167" s="271" t="n"/>
      <x:c r="J167" s="271" t="n"/>
    </x:row>
    <x:row r="168">
      <x:c r="A168" s="271" t="n"/>
      <x:c r="B168" s="271" t="n"/>
      <x:c r="C168" s="271" t="n"/>
      <x:c r="D168" s="271" t="n"/>
      <x:c r="E168" s="271" t="n"/>
      <x:c r="F168" s="271" t="n"/>
      <x:c r="G168" s="271" t="n"/>
      <x:c r="H168" s="271" t="n"/>
      <x:c r="I168" s="271" t="n"/>
      <x:c r="J168" s="271" t="n"/>
    </x:row>
    <x:row r="169">
      <x:c r="A169" s="271" t="n"/>
      <x:c r="B169" s="271" t="n"/>
      <x:c r="C169" s="271" t="n"/>
      <x:c r="D169" s="271" t="n"/>
      <x:c r="E169" s="271" t="n"/>
      <x:c r="F169" s="271" t="n"/>
      <x:c r="G169" s="271" t="n"/>
      <x:c r="H169" s="271" t="n"/>
      <x:c r="I169" s="271" t="n"/>
      <x:c r="J169" s="271" t="n"/>
    </x:row>
    <x:row r="170">
      <x:c r="A170" s="271" t="n"/>
      <x:c r="B170" s="271" t="n"/>
      <x:c r="C170" s="271" t="n"/>
      <x:c r="D170" s="271" t="n"/>
      <x:c r="E170" s="271" t="n"/>
      <x:c r="F170" s="271" t="n"/>
      <x:c r="G170" s="271" t="n"/>
      <x:c r="H170" s="271" t="n"/>
      <x:c r="I170" s="271" t="n"/>
      <x:c r="J170" s="271" t="n"/>
    </x:row>
    <x:row r="171">
      <x:c r="A171" s="271" t="n"/>
      <x:c r="B171" s="271" t="n"/>
      <x:c r="C171" s="271" t="n"/>
      <x:c r="D171" s="271" t="n"/>
      <x:c r="E171" s="271" t="n"/>
      <x:c r="F171" s="271" t="n"/>
      <x:c r="G171" s="271" t="n"/>
      <x:c r="H171" s="271" t="n"/>
      <x:c r="I171" s="271" t="n"/>
      <x:c r="J171" s="271" t="n"/>
    </x:row>
    <x:row r="172">
      <x:c r="A172" s="271" t="n"/>
      <x:c r="B172" s="271" t="n"/>
      <x:c r="C172" s="271" t="n"/>
      <x:c r="D172" s="271" t="n"/>
      <x:c r="E172" s="271" t="n"/>
      <x:c r="F172" s="271" t="n"/>
      <x:c r="G172" s="271" t="n"/>
      <x:c r="H172" s="271" t="n"/>
      <x:c r="I172" s="271" t="n"/>
      <x:c r="J172" s="271" t="n"/>
    </x:row>
    <x:row r="173">
      <x:c r="A173" s="271" t="n"/>
      <x:c r="B173" s="271" t="n"/>
      <x:c r="C173" s="271" t="n"/>
      <x:c r="D173" s="271" t="n"/>
      <x:c r="E173" s="271" t="n"/>
      <x:c r="F173" s="271" t="n"/>
      <x:c r="G173" s="271" t="n"/>
      <x:c r="H173" s="271" t="n"/>
      <x:c r="I173" s="271" t="n"/>
      <x:c r="J173" s="271" t="n"/>
    </x:row>
    <x:row r="174">
      <x:c r="A174" s="271" t="n"/>
      <x:c r="B174" s="271" t="n"/>
      <x:c r="C174" s="271" t="n"/>
      <x:c r="D174" s="271" t="n"/>
      <x:c r="E174" s="271" t="n"/>
      <x:c r="F174" s="271" t="n"/>
      <x:c r="G174" s="271" t="n"/>
      <x:c r="H174" s="271" t="n"/>
      <x:c r="I174" s="271" t="n"/>
      <x:c r="J174" s="271" t="n"/>
    </x:row>
    <x:row r="175">
      <x:c r="A175" s="271" t="n"/>
      <x:c r="B175" s="271" t="n"/>
      <x:c r="C175" s="271" t="n"/>
      <x:c r="D175" s="271" t="n"/>
      <x:c r="E175" s="271" t="n"/>
      <x:c r="F175" s="271" t="n"/>
      <x:c r="G175" s="271" t="n"/>
      <x:c r="H175" s="271" t="n"/>
      <x:c r="I175" s="271" t="n"/>
      <x:c r="J175" s="271" t="n"/>
    </x:row>
    <x:row r="176">
      <x:c r="A176" s="271" t="n"/>
      <x:c r="B176" s="271" t="n"/>
      <x:c r="C176" s="271" t="n"/>
      <x:c r="D176" s="271" t="n"/>
      <x:c r="E176" s="271" t="n"/>
      <x:c r="F176" s="271" t="n"/>
      <x:c r="G176" s="271" t="n"/>
      <x:c r="H176" s="271" t="n"/>
      <x:c r="I176" s="271" t="n"/>
      <x:c r="J176" s="271" t="n"/>
    </x:row>
    <x:row r="177">
      <x:c r="A177" s="271" t="n"/>
      <x:c r="B177" s="271" t="n"/>
      <x:c r="C177" s="271" t="n"/>
      <x:c r="D177" s="271" t="n"/>
      <x:c r="E177" s="271" t="n"/>
      <x:c r="F177" s="271" t="n"/>
      <x:c r="G177" s="271" t="n"/>
      <x:c r="H177" s="271" t="n"/>
      <x:c r="I177" s="271" t="n"/>
      <x:c r="J177" s="271" t="n"/>
    </x:row>
    <x:row r="178">
      <x:c r="A178" s="271" t="n"/>
      <x:c r="B178" s="271" t="n"/>
      <x:c r="C178" s="271" t="n"/>
      <x:c r="D178" s="271" t="n"/>
      <x:c r="E178" s="271" t="n"/>
      <x:c r="F178" s="271" t="n"/>
      <x:c r="G178" s="271" t="n"/>
      <x:c r="H178" s="271" t="n"/>
      <x:c r="I178" s="271" t="n"/>
      <x:c r="J178" s="271" t="n"/>
    </x:row>
    <x:row r="179">
      <x:c r="A179" s="271" t="n"/>
      <x:c r="B179" s="271" t="n"/>
      <x:c r="C179" s="271" t="n"/>
      <x:c r="D179" s="271" t="n"/>
      <x:c r="E179" s="271" t="n"/>
      <x:c r="F179" s="271" t="n"/>
      <x:c r="G179" s="271" t="n"/>
      <x:c r="H179" s="271" t="n"/>
      <x:c r="I179" s="271" t="n"/>
      <x:c r="J179" s="271" t="n"/>
    </x:row>
    <x:row r="180">
      <x:c r="A180" s="271" t="n"/>
      <x:c r="B180" s="271" t="n"/>
      <x:c r="C180" s="271" t="n"/>
      <x:c r="D180" s="271" t="n"/>
      <x:c r="E180" s="271" t="n"/>
      <x:c r="F180" s="271" t="n"/>
      <x:c r="G180" s="271" t="n"/>
      <x:c r="H180" s="271" t="n"/>
      <x:c r="I180" s="271" t="n"/>
      <x:c r="J180" s="271" t="n"/>
    </x:row>
    <x:row r="181">
      <x:c r="A181" s="271" t="n"/>
      <x:c r="B181" s="271" t="n"/>
      <x:c r="C181" s="271" t="n"/>
      <x:c r="D181" s="271" t="n"/>
      <x:c r="E181" s="271" t="n"/>
      <x:c r="F181" s="271" t="n"/>
      <x:c r="G181" s="271" t="n"/>
      <x:c r="H181" s="271" t="n"/>
      <x:c r="I181" s="271" t="n"/>
      <x:c r="J181" s="271" t="n"/>
    </x:row>
    <x:row r="182">
      <x:c r="A182" s="271" t="n"/>
      <x:c r="B182" s="271" t="n"/>
      <x:c r="C182" s="271" t="n"/>
      <x:c r="D182" s="271" t="n"/>
      <x:c r="E182" s="271" t="n"/>
      <x:c r="F182" s="271" t="n"/>
      <x:c r="G182" s="271" t="n"/>
      <x:c r="H182" s="271" t="n"/>
      <x:c r="I182" s="271" t="n"/>
      <x:c r="J182" s="271" t="n"/>
    </x:row>
    <x:row r="183">
      <x:c r="A183" s="271" t="n"/>
      <x:c r="B183" s="271" t="n"/>
      <x:c r="C183" s="271" t="n"/>
      <x:c r="D183" s="271" t="n"/>
      <x:c r="E183" s="271" t="n"/>
      <x:c r="F183" s="271" t="n"/>
      <x:c r="G183" s="271" t="n"/>
      <x:c r="H183" s="271" t="n"/>
      <x:c r="I183" s="271" t="n"/>
      <x:c r="J183" s="271" t="n"/>
    </x:row>
    <x:row r="184">
      <x:c r="A184" s="271" t="n"/>
      <x:c r="B184" s="271" t="n"/>
      <x:c r="C184" s="271" t="n"/>
      <x:c r="D184" s="271" t="n"/>
      <x:c r="E184" s="271" t="n"/>
      <x:c r="F184" s="271" t="n"/>
      <x:c r="G184" s="271" t="n"/>
      <x:c r="H184" s="271" t="n"/>
      <x:c r="I184" s="271" t="n"/>
      <x:c r="J184" s="271" t="n"/>
    </x:row>
    <x:row r="185">
      <x:c r="A185" s="271" t="n"/>
      <x:c r="B185" s="271" t="n"/>
      <x:c r="C185" s="271" t="n"/>
      <x:c r="D185" s="271" t="n"/>
      <x:c r="E185" s="271" t="n"/>
      <x:c r="F185" s="271" t="n"/>
      <x:c r="G185" s="271" t="n"/>
      <x:c r="H185" s="271" t="n"/>
      <x:c r="I185" s="271" t="n"/>
      <x:c r="J185" s="271" t="n"/>
    </x:row>
    <x:row r="186">
      <x:c r="A186" s="271" t="n"/>
      <x:c r="B186" s="271" t="n"/>
      <x:c r="C186" s="271" t="n"/>
      <x:c r="D186" s="271" t="n"/>
      <x:c r="E186" s="271" t="n"/>
      <x:c r="F186" s="271" t="n"/>
      <x:c r="G186" s="271" t="n"/>
      <x:c r="H186" s="271" t="n"/>
      <x:c r="I186" s="271" t="n"/>
      <x:c r="J186" s="271" t="n"/>
    </x:row>
    <x:row r="187">
      <x:c r="A187" s="271" t="n"/>
      <x:c r="B187" s="271" t="n"/>
      <x:c r="C187" s="271" t="n"/>
      <x:c r="D187" s="271" t="n"/>
      <x:c r="E187" s="271" t="n"/>
      <x:c r="F187" s="271" t="n"/>
      <x:c r="G187" s="271" t="n"/>
      <x:c r="H187" s="271" t="n"/>
      <x:c r="I187" s="271" t="n"/>
      <x:c r="J187" s="271" t="n"/>
    </x:row>
    <x:row r="188">
      <x:c r="A188" s="271" t="n"/>
      <x:c r="B188" s="271" t="n"/>
      <x:c r="C188" s="271" t="n"/>
      <x:c r="D188" s="271" t="n"/>
      <x:c r="E188" s="271" t="n"/>
      <x:c r="F188" s="271" t="n"/>
      <x:c r="G188" s="271" t="n"/>
      <x:c r="H188" s="271" t="n"/>
      <x:c r="I188" s="271" t="n"/>
      <x:c r="J188" s="271" t="n"/>
    </x:row>
    <x:row r="189">
      <x:c r="A189" s="271" t="n"/>
      <x:c r="B189" s="271" t="n"/>
      <x:c r="C189" s="271" t="n"/>
      <x:c r="D189" s="271" t="n"/>
      <x:c r="E189" s="271" t="n"/>
      <x:c r="F189" s="271" t="n"/>
      <x:c r="G189" s="271" t="n"/>
      <x:c r="H189" s="271" t="n"/>
      <x:c r="I189" s="271" t="n"/>
      <x:c r="J189" s="271" t="n"/>
    </x:row>
    <x:row r="190">
      <x:c r="A190" s="271" t="n"/>
      <x:c r="B190" s="271" t="n"/>
      <x:c r="C190" s="271" t="n"/>
      <x:c r="D190" s="271" t="n"/>
      <x:c r="E190" s="271" t="n"/>
      <x:c r="F190" s="271" t="n"/>
      <x:c r="G190" s="271" t="n"/>
      <x:c r="H190" s="271" t="n"/>
      <x:c r="I190" s="271" t="n"/>
      <x:c r="J190" s="271" t="n"/>
    </x:row>
    <x:row r="191">
      <x:c r="A191" s="271" t="n"/>
      <x:c r="B191" s="271" t="n"/>
      <x:c r="C191" s="271" t="n"/>
      <x:c r="D191" s="271" t="n"/>
      <x:c r="E191" s="271" t="n"/>
      <x:c r="F191" s="271" t="n"/>
      <x:c r="G191" s="271" t="n"/>
      <x:c r="H191" s="271" t="n"/>
      <x:c r="I191" s="271" t="n"/>
      <x:c r="J191" s="271" t="n"/>
    </x:row>
    <x:row r="192">
      <x:c r="A192" s="271" t="n"/>
      <x:c r="B192" s="271" t="n"/>
      <x:c r="C192" s="271" t="n"/>
      <x:c r="D192" s="271" t="n"/>
      <x:c r="E192" s="271" t="n"/>
      <x:c r="F192" s="271" t="n"/>
      <x:c r="G192" s="271" t="n"/>
      <x:c r="H192" s="271" t="n"/>
      <x:c r="I192" s="271" t="n"/>
      <x:c r="J192" s="271" t="n"/>
    </x:row>
    <x:row r="193">
      <x:c r="A193" s="271" t="n"/>
      <x:c r="B193" s="271" t="n"/>
      <x:c r="C193" s="271" t="n"/>
      <x:c r="D193" s="271" t="n"/>
      <x:c r="E193" s="271" t="n"/>
      <x:c r="F193" s="271" t="n"/>
      <x:c r="G193" s="271" t="n"/>
      <x:c r="H193" s="271" t="n"/>
      <x:c r="I193" s="271" t="n"/>
      <x:c r="J193" s="271" t="n"/>
    </x:row>
    <x:row r="194">
      <x:c r="A194" s="271" t="n"/>
      <x:c r="B194" s="271" t="n"/>
      <x:c r="C194" s="271" t="n"/>
      <x:c r="D194" s="271" t="n"/>
      <x:c r="E194" s="271" t="n"/>
      <x:c r="F194" s="271" t="n"/>
      <x:c r="G194" s="271" t="n"/>
      <x:c r="H194" s="271" t="n"/>
      <x:c r="I194" s="271" t="n"/>
      <x:c r="J194" s="271" t="n"/>
    </x:row>
    <x:row r="195">
      <x:c r="A195" s="271" t="n"/>
      <x:c r="B195" s="271" t="n"/>
      <x:c r="C195" s="271" t="n"/>
      <x:c r="D195" s="271" t="n"/>
      <x:c r="E195" s="271" t="n"/>
      <x:c r="F195" s="271" t="n"/>
      <x:c r="G195" s="271" t="n"/>
      <x:c r="H195" s="271" t="n"/>
      <x:c r="I195" s="271" t="n"/>
      <x:c r="J195" s="271" t="n"/>
    </x:row>
    <x:row r="196">
      <x:c r="A196" s="271" t="n"/>
      <x:c r="B196" s="271" t="n"/>
      <x:c r="C196" s="271" t="n"/>
      <x:c r="D196" s="271" t="n"/>
      <x:c r="E196" s="271" t="n"/>
      <x:c r="F196" s="271" t="n"/>
      <x:c r="G196" s="271" t="n"/>
      <x:c r="H196" s="271" t="n"/>
      <x:c r="I196" s="271" t="n"/>
      <x:c r="J196" s="271" t="n"/>
    </x:row>
    <x:row r="197">
      <x:c r="A197" s="271" t="n"/>
      <x:c r="B197" s="271" t="n"/>
      <x:c r="C197" s="271" t="n"/>
      <x:c r="D197" s="271" t="n"/>
      <x:c r="E197" s="271" t="n"/>
      <x:c r="F197" s="271" t="n"/>
      <x:c r="G197" s="271" t="n"/>
      <x:c r="H197" s="271" t="n"/>
      <x:c r="I197" s="271" t="n"/>
      <x:c r="J197" s="271" t="n"/>
    </x:row>
    <x:row r="198">
      <x:c r="A198" s="271" t="n"/>
      <x:c r="B198" s="271" t="n"/>
      <x:c r="C198" s="271" t="n"/>
      <x:c r="D198" s="271" t="n"/>
      <x:c r="E198" s="271" t="n"/>
      <x:c r="F198" s="271" t="n"/>
      <x:c r="G198" s="271" t="n"/>
      <x:c r="H198" s="271" t="n"/>
      <x:c r="I198" s="271" t="n"/>
      <x:c r="J198" s="271" t="n"/>
    </x:row>
    <x:row r="199">
      <x:c r="A199" s="271" t="n"/>
      <x:c r="B199" s="271" t="n"/>
      <x:c r="C199" s="271" t="n"/>
      <x:c r="D199" s="271" t="n"/>
      <x:c r="E199" s="271" t="n"/>
      <x:c r="F199" s="271" t="n"/>
      <x:c r="G199" s="271" t="n"/>
      <x:c r="H199" s="271" t="n"/>
      <x:c r="I199" s="271" t="n"/>
      <x:c r="J199" s="271" t="n"/>
    </x:row>
    <x:row r="200">
      <x:c r="A200" s="271" t="n"/>
      <x:c r="B200" s="271" t="n"/>
      <x:c r="C200" s="271" t="n"/>
      <x:c r="D200" s="271" t="n"/>
      <x:c r="E200" s="271" t="n"/>
      <x:c r="F200" s="271" t="n"/>
      <x:c r="G200" s="271" t="n"/>
      <x:c r="H200" s="271" t="n"/>
      <x:c r="I200" s="271" t="n"/>
      <x:c r="J200" s="271" t="n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903c54bf116f4134"/>
  </x:tableParts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9.610000610351562" style="265" customWidth="1"/>
    <x:col min="2" max="2" width="26.780000686645508" style="265" customWidth="1"/>
    <x:col min="3" max="3" width="18.299999237060547" style="265" customWidth="1"/>
    <x:col min="4" max="4" width="12.649999618530273" style="265" customWidth="1"/>
    <x:col min="5" max="5" width="9.960000038146973" style="265" customWidth="1"/>
    <x:col min="6" max="6" width="9.149999618530273" style="265" customWidth="1"/>
    <x:col min="7" max="7" width="27.190000534057617" style="265" customWidth="1"/>
    <x:col min="8" max="8" width="45.4900016784668" style="265" customWidth="1"/>
    <x:col min="9" max="9" width="19.920000076293945" style="265" customWidth="1"/>
    <x:col min="10" max="10" width="22.8799991607666" style="265" customWidth="1"/>
  </x:cols>
  <x:sheetData>
    <x:row r="1" s="265" customFormat="1" ht="28" customHeight="1">
      <x:c r="A1" s="136" t="inlineStr">
        <x:is>
          <x:t xml:space="preserve">Regulatory Workflow Engine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</x:row>
    <x:row r="2">
      <x:c r="A2" s="271" t="n"/>
      <x:c r="B2" s="271" t="n"/>
      <x:c r="C2" s="271" t="n"/>
      <x:c r="D2" s="271" t="n"/>
      <x:c r="E2" s="271" t="n"/>
      <x:c r="F2" s="271" t="n"/>
      <x:c r="G2" s="271" t="n"/>
      <x:c r="H2" s="271" t="n"/>
      <x:c r="I2" s="271" t="n"/>
      <x:c r="J2" s="271" t="n"/>
    </x:row>
    <x:row r="3">
      <x:c r="A3" s="194" t="inlineStr">
        <x:is>
          <x:t xml:space="preserve">Workflow ID</x:t>
        </x:is>
      </x:c>
      <x:c r="B3" s="194" t="inlineStr">
        <x:is>
          <x:t xml:space="preserve">Workflow Name</x:t>
        </x:is>
      </x:c>
      <x:c r="C3" s="194" t="inlineStr">
        <x:is>
          <x:t xml:space="preserve">Stage</x:t>
        </x:is>
      </x:c>
      <x:c r="D3" s="194" t="inlineStr">
        <x:is>
          <x:t xml:space="preserve">Owner</x:t>
        </x:is>
      </x:c>
      <x:c r="E3" s="194" t="inlineStr">
        <x:is>
          <x:t xml:space="preserve">SLA Days</x:t>
        </x:is>
      </x:c>
      <x:c r="F3" s="194" t="inlineStr">
        <x:is>
          <x:t xml:space="preserve">Status</x:t>
        </x:is>
      </x:c>
      <x:c r="G3" s="194" t="inlineStr">
        <x:is>
          <x:t xml:space="preserve">Bottleneck</x:t>
        </x:is>
      </x:c>
      <x:c r="H3" s="194" t="inlineStr">
        <x:is>
          <x:t xml:space="preserve">Next Action</x:t>
        </x:is>
      </x:c>
      <x:c r="I3" s="194" t="inlineStr">
        <x:is>
          <x:t xml:space="preserve">Regulator / Audience</x:t>
        </x:is>
      </x:c>
      <x:c r="J3" s="194" t="inlineStr">
        <x:is>
          <x:t xml:space="preserve">Control Point</x:t>
        </x:is>
      </x:c>
    </x:row>
    <x:row r="4">
      <x:c r="A4" s="271" t="inlineStr">
        <x:is>
          <x:t xml:space="preserve">WF-001</x:t>
        </x:is>
      </x:c>
      <x:c r="B4" s="271" t="inlineStr">
        <x:is>
          <x:t xml:space="preserve">MOF official letter submission</x:t>
        </x:is>
      </x:c>
      <x:c r="C4" s="271" t="inlineStr">
        <x:is>
          <x:t xml:space="preserve">Request received</x:t>
        </x:is>
      </x:c>
      <x:c r="D4" s="271" t="inlineStr">
        <x:is>
          <x:t xml:space="preserve">Public Affairs</x:t>
        </x:is>
      </x:c>
      <x:c r="E4" s="271" t="n">
        <x:v>1</x:v>
      </x:c>
      <x:c r="F4" s="271" t="inlineStr">
        <x:is>
          <x:t xml:space="preserve">Completed</x:t>
        </x:is>
      </x:c>
      <x:c r="G4" s="271" t="inlineStr">
        <x:is>
          <x:t xml:space="preserve">None</x:t>
        </x:is>
      </x:c>
      <x:c r="H4" s="271" t="inlineStr">
        <x:is>
          <x:t xml:space="preserve">Log request and confirm scope</x:t>
        </x:is>
      </x:c>
      <x:c r="I4" s="271" t="inlineStr">
        <x:is>
          <x:t xml:space="preserve">MOF</x:t>
        </x:is>
      </x:c>
      <x:c r="J4" s="271" t="inlineStr">
        <x:is>
          <x:t xml:space="preserve">Request scope confirmation</x:t>
        </x:is>
      </x:c>
    </x:row>
    <x:row r="5">
      <x:c r="A5" s="271" t="inlineStr">
        <x:is>
          <x:t xml:space="preserve">WF-001</x:t>
        </x:is>
      </x:c>
      <x:c r="B5" s="271" t="inlineStr">
        <x:is>
          <x:t xml:space="preserve">MOF official letter submission</x:t>
        </x:is>
      </x:c>
      <x:c r="C5" s="271" t="inlineStr">
        <x:is>
          <x:t xml:space="preserve">Data collection</x:t>
        </x:is>
      </x:c>
      <x:c r="D5" s="271" t="inlineStr">
        <x:is>
          <x:t xml:space="preserve">Business Owner</x:t>
        </x:is>
      </x:c>
      <x:c r="E5" s="271" t="n">
        <x:v>3</x:v>
      </x:c>
      <x:c r="F5" s="271" t="inlineStr">
        <x:is>
          <x:t xml:space="preserve">In Progress</x:t>
        </x:is>
      </x:c>
      <x:c r="G5" s="271" t="inlineStr">
        <x:is>
          <x:t xml:space="preserve">Delayed supporting data</x:t>
        </x:is>
      </x:c>
      <x:c r="H5" s="271" t="inlineStr">
        <x:is>
          <x:t xml:space="preserve">Escalate to Product by noon</x:t>
        </x:is>
      </x:c>
      <x:c r="I5" s="271" t="inlineStr">
        <x:is>
          <x:t xml:space="preserve">MOF</x:t>
        </x:is>
      </x:c>
      <x:c r="J5" s="271" t="inlineStr">
        <x:is>
          <x:t xml:space="preserve">Data completeness check</x:t>
        </x:is>
      </x:c>
    </x:row>
    <x:row r="6">
      <x:c r="A6" s="271" t="inlineStr">
        <x:is>
          <x:t xml:space="preserve">WF-001</x:t>
        </x:is>
      </x:c>
      <x:c r="B6" s="271" t="inlineStr">
        <x:is>
          <x:t xml:space="preserve">MOF official letter submission</x:t>
        </x:is>
      </x:c>
      <x:c r="C6" s="271" t="inlineStr">
        <x:is>
          <x:t xml:space="preserve">Legal review</x:t>
        </x:is>
      </x:c>
      <x:c r="D6" s="271" t="inlineStr">
        <x:is>
          <x:t xml:space="preserve">Legal</x:t>
        </x:is>
      </x:c>
      <x:c r="E6" s="271" t="n">
        <x:v>2</x:v>
      </x:c>
      <x:c r="F6" s="271" t="inlineStr">
        <x:is>
          <x:t xml:space="preserve">Pending</x:t>
        </x:is>
      </x:c>
      <x:c r="G6" s="271" t="inlineStr">
        <x:is>
          <x:t xml:space="preserve">Awaiting draft</x:t>
        </x:is>
      </x:c>
      <x:c r="H6" s="271" t="inlineStr">
        <x:is>
          <x:t xml:space="preserve">Send version-controlled draft</x:t>
        </x:is>
      </x:c>
      <x:c r="I6" s="271" t="inlineStr">
        <x:is>
          <x:t xml:space="preserve">MOF</x:t>
        </x:is>
      </x:c>
      <x:c r="J6" s="271" t="inlineStr">
        <x:is>
          <x:t xml:space="preserve">Legal sign-off</x:t>
        </x:is>
      </x:c>
    </x:row>
    <x:row r="7">
      <x:c r="A7" s="271" t="inlineStr">
        <x:is>
          <x:t xml:space="preserve">WF-001</x:t>
        </x:is>
      </x:c>
      <x:c r="B7" s="271" t="inlineStr">
        <x:is>
          <x:t xml:space="preserve">MOF official letter submission</x:t>
        </x:is>
      </x:c>
      <x:c r="C7" s="271" t="inlineStr">
        <x:is>
          <x:t xml:space="preserve">Compliance review</x:t>
        </x:is>
      </x:c>
      <x:c r="D7" s="271" t="inlineStr">
        <x:is>
          <x:t xml:space="preserve">Compliance</x:t>
        </x:is>
      </x:c>
      <x:c r="E7" s="271" t="n">
        <x:v>2</x:v>
      </x:c>
      <x:c r="F7" s="271" t="inlineStr">
        <x:is>
          <x:t xml:space="preserve">Pending</x:t>
        </x:is>
      </x:c>
      <x:c r="G7" s="271" t="inlineStr">
        <x:is>
          <x:t xml:space="preserve">Awaiting Legal comments</x:t>
        </x:is>
      </x:c>
      <x:c r="H7" s="271" t="inlineStr">
        <x:is>
          <x:t xml:space="preserve">Review once legal draft locked</x:t>
        </x:is>
      </x:c>
      <x:c r="I7" s="271" t="inlineStr">
        <x:is>
          <x:t xml:space="preserve">MOF</x:t>
        </x:is>
      </x:c>
      <x:c r="J7" s="271" t="inlineStr">
        <x:is>
          <x:t xml:space="preserve">Compliance sign-off</x:t>
        </x:is>
      </x:c>
    </x:row>
    <x:row r="8">
      <x:c r="A8" s="271" t="inlineStr">
        <x:is>
          <x:t xml:space="preserve">WF-001</x:t>
        </x:is>
      </x:c>
      <x:c r="B8" s="271" t="inlineStr">
        <x:is>
          <x:t xml:space="preserve">MOF official letter submission</x:t>
        </x:is>
      </x:c>
      <x:c r="C8" s="271" t="inlineStr">
        <x:is>
          <x:t xml:space="preserve">Management approval</x:t>
        </x:is>
      </x:c>
      <x:c r="D8" s="271" t="inlineStr">
        <x:is>
          <x:t xml:space="preserve">CEO Office</x:t>
        </x:is>
      </x:c>
      <x:c r="E8" s="271" t="n">
        <x:v>2</x:v>
      </x:c>
      <x:c r="F8" s="271" t="inlineStr">
        <x:is>
          <x:t xml:space="preserve">Not Started</x:t>
        </x:is>
      </x:c>
      <x:c r="G8" s="271" t="inlineStr">
        <x:is>
          <x:t xml:space="preserve">Signature authority not confirmed</x:t>
        </x:is>
      </x:c>
      <x:c r="H8" s="271" t="inlineStr">
        <x:is>
          <x:t xml:space="preserve">Confirm signer and delegation matrix</x:t>
        </x:is>
      </x:c>
      <x:c r="I8" s="271" t="inlineStr">
        <x:is>
          <x:t xml:space="preserve">MOF</x:t>
        </x:is>
      </x:c>
      <x:c r="J8" s="271" t="inlineStr">
        <x:is>
          <x:t xml:space="preserve">Signature authority check</x:t>
        </x:is>
      </x:c>
    </x:row>
    <x:row r="9">
      <x:c r="A9" s="271" t="inlineStr">
        <x:is>
          <x:t xml:space="preserve">WF-001</x:t>
        </x:is>
      </x:c>
      <x:c r="B9" s="271" t="inlineStr">
        <x:is>
          <x:t xml:space="preserve">MOF official letter submission</x:t>
        </x:is>
      </x:c>
      <x:c r="C9" s="271" t="inlineStr">
        <x:is>
          <x:t xml:space="preserve">Submission</x:t>
        </x:is>
      </x:c>
      <x:c r="D9" s="271" t="inlineStr">
        <x:is>
          <x:t xml:space="preserve">Public Affairs</x:t>
        </x:is>
      </x:c>
      <x:c r="E9" s="271" t="n">
        <x:v>1</x:v>
      </x:c>
      <x:c r="F9" s="271" t="inlineStr">
        <x:is>
          <x:t xml:space="preserve">Not Started</x:t>
        </x:is>
      </x:c>
      <x:c r="G9" s="271" t="inlineStr">
        <x:is>
          <x:t xml:space="preserve">Hard copy not prepared</x:t>
        </x:is>
      </x:c>
      <x:c r="H9" s="271" t="inlineStr">
        <x:is>
          <x:t xml:space="preserve">Prepare cover letter, attachments and submission receipt</x:t>
        </x:is>
      </x:c>
      <x:c r="I9" s="271" t="inlineStr">
        <x:is>
          <x:t xml:space="preserve">MOF</x:t>
        </x:is>
      </x:c>
      <x:c r="J9" s="271" t="inlineStr">
        <x:is>
          <x:t xml:space="preserve">Submission evidence archive</x:t>
        </x:is>
      </x:c>
    </x:row>
    <x:row r="10">
      <x:c r="A10" s="271" t="inlineStr">
        <x:is>
          <x:t xml:space="preserve">WF-001</x:t>
        </x:is>
      </x:c>
      <x:c r="B10" s="271" t="inlineStr">
        <x:is>
          <x:t xml:space="preserve">MOF official letter submission</x:t>
        </x:is>
      </x:c>
      <x:c r="C10" s="271" t="inlineStr">
        <x:is>
          <x:t xml:space="preserve">Response tracking</x:t>
        </x:is>
      </x:c>
      <x:c r="D10" s="271" t="inlineStr">
        <x:is>
          <x:t xml:space="preserve">Public Affairs</x:t>
        </x:is>
      </x:c>
      <x:c r="E10" s="271" t="n">
        <x:v>5</x:v>
      </x:c>
      <x:c r="F10" s="271" t="inlineStr">
        <x:is>
          <x:t xml:space="preserve">Not Started</x:t>
        </x:is>
      </x:c>
      <x:c r="G10" s="271" t="inlineStr">
        <x:is>
          <x:t xml:space="preserve">No response yet</x:t>
        </x:is>
      </x:c>
      <x:c r="H10" s="271" t="inlineStr">
        <x:is>
          <x:t xml:space="preserve">Track receipt and expected feedback date</x:t>
        </x:is>
      </x:c>
      <x:c r="I10" s="271" t="inlineStr">
        <x:is>
          <x:t xml:space="preserve">MOF</x:t>
        </x:is>
      </x:c>
      <x:c r="J10" s="271" t="inlineStr">
        <x:is>
          <x:t xml:space="preserve">Regulator response log</x:t>
        </x:is>
      </x:c>
    </x:row>
    <x:row r="11">
      <x:c r="A11" s="271" t="inlineStr">
        <x:is>
          <x:t xml:space="preserve">WF-002</x:t>
        </x:is>
      </x:c>
      <x:c r="B11" s="271" t="inlineStr">
        <x:is>
          <x:t xml:space="preserve">ISA product approval dossier</x:t>
        </x:is>
      </x:c>
      <x:c r="C11" s="271" t="inlineStr">
        <x:is>
          <x:t xml:space="preserve">Draft dossier</x:t>
        </x:is>
      </x:c>
      <x:c r="D11" s="271" t="inlineStr">
        <x:is>
          <x:t xml:space="preserve">Product</x:t>
        </x:is>
      </x:c>
      <x:c r="E11" s="271" t="n">
        <x:v>5</x:v>
      </x:c>
      <x:c r="F11" s="271" t="inlineStr">
        <x:is>
          <x:t xml:space="preserve">Completed</x:t>
        </x:is>
      </x:c>
      <x:c r="G11" s="271" t="inlineStr">
        <x:is>
          <x:t xml:space="preserve">None</x:t>
        </x:is>
      </x:c>
      <x:c r="H11" s="271" t="inlineStr">
        <x:is>
          <x:t xml:space="preserve">Send to Legal/Compliance</x:t>
        </x:is>
      </x:c>
      <x:c r="I11" s="271" t="inlineStr">
        <x:is>
          <x:t xml:space="preserve">ISA</x:t>
        </x:is>
      </x:c>
      <x:c r="J11" s="271" t="inlineStr">
        <x:is>
          <x:t xml:space="preserve">Product dossier checklist</x:t>
        </x:is>
      </x:c>
    </x:row>
    <x:row r="12">
      <x:c r="A12" s="271" t="inlineStr">
        <x:is>
          <x:t xml:space="preserve">WF-002</x:t>
        </x:is>
      </x:c>
      <x:c r="B12" s="271" t="inlineStr">
        <x:is>
          <x:t xml:space="preserve">ISA product approval dossier</x:t>
        </x:is>
      </x:c>
      <x:c r="C12" s="271" t="inlineStr">
        <x:is>
          <x:t xml:space="preserve">Regulator Q&amp;A</x:t>
        </x:is>
      </x:c>
      <x:c r="D12" s="271" t="inlineStr">
        <x:is>
          <x:t xml:space="preserve">Product + PA</x:t>
        </x:is>
      </x:c>
      <x:c r="E12" s="271" t="n">
        <x:v>7</x:v>
      </x:c>
      <x:c r="F12" s="271" t="inlineStr">
        <x:is>
          <x:t xml:space="preserve">In Progress</x:t>
        </x:is>
      </x:c>
      <x:c r="G12" s="271" t="inlineStr">
        <x:is>
          <x:t xml:space="preserve">Technical answers incomplete</x:t>
        </x:is>
      </x:c>
      <x:c r="H12" s="271" t="inlineStr">
        <x:is>
          <x:t xml:space="preserve">Prepare Q&amp;A table with evidence</x:t>
        </x:is>
      </x:c>
      <x:c r="I12" s="271" t="inlineStr">
        <x:is>
          <x:t xml:space="preserve">ISA</x:t>
        </x:is>
      </x:c>
      <x:c r="J12" s="271" t="inlineStr">
        <x:is>
          <x:t xml:space="preserve">Q&amp;A response quality check</x:t>
        </x:is>
      </x:c>
    </x:row>
    <x:row r="13">
      <x:c r="A13" s="271" t="inlineStr">
        <x:is>
          <x:t xml:space="preserve">WF-003</x:t>
        </x:is>
      </x:c>
      <x:c r="B13" s="271" t="inlineStr">
        <x:is>
          <x:t xml:space="preserve">Regional Office regulatory update</x:t>
        </x:is>
      </x:c>
      <x:c r="C13" s="271" t="inlineStr">
        <x:is>
          <x:t xml:space="preserve">Collect weekly updates</x:t>
        </x:is>
      </x:c>
      <x:c r="D13" s="271" t="inlineStr">
        <x:is>
          <x:t xml:space="preserve">Public Affairs</x:t>
        </x:is>
      </x:c>
      <x:c r="E13" s="271" t="n">
        <x:v>2</x:v>
      </x:c>
      <x:c r="F13" s="271" t="inlineStr">
        <x:is>
          <x:t xml:space="preserve">In Progress</x:t>
        </x:is>
      </x:c>
      <x:c r="G13" s="271" t="inlineStr">
        <x:is>
          <x:t xml:space="preserve">Inputs from functions late</x:t>
        </x:is>
      </x:c>
      <x:c r="H13" s="271" t="inlineStr">
        <x:is>
          <x:t xml:space="preserve">Send Friday reminder</x:t>
        </x:is>
      </x:c>
      <x:c r="I13" s="271" t="inlineStr">
        <x:is>
          <x:t xml:space="preserve">Regional Office</x:t>
        </x:is>
      </x:c>
      <x:c r="J13" s="271" t="inlineStr">
        <x:is>
          <x:t xml:space="preserve">One source of truth tracker</x:t>
        </x:is>
      </x:c>
    </x:row>
    <x:row r="14">
      <x:c r="A14" s="271" t="n"/>
      <x:c r="B14" s="271" t="n"/>
      <x:c r="C14" s="271" t="n"/>
      <x:c r="D14" s="271" t="n"/>
      <x:c r="E14" s="271" t="n"/>
      <x:c r="F14" s="271" t="n"/>
      <x:c r="G14" s="271" t="n"/>
      <x:c r="H14" s="271" t="n"/>
      <x:c r="I14" s="271" t="n"/>
      <x:c r="J14" s="271" t="n"/>
    </x:row>
    <x:row r="15">
      <x:c r="A15" s="271" t="n"/>
      <x:c r="B15" s="271" t="n"/>
      <x:c r="C15" s="271" t="n"/>
      <x:c r="D15" s="271" t="n"/>
      <x:c r="E15" s="271" t="n"/>
      <x:c r="F15" s="271" t="n"/>
      <x:c r="G15" s="271" t="n"/>
      <x:c r="H15" s="271" t="n"/>
      <x:c r="I15" s="271" t="n"/>
      <x:c r="J15" s="271" t="n"/>
    </x:row>
    <x:row r="16">
      <x:c r="A16" s="271" t="n"/>
      <x:c r="B16" s="271" t="n"/>
      <x:c r="C16" s="271" t="n"/>
      <x:c r="D16" s="271" t="n"/>
      <x:c r="E16" s="271" t="n"/>
      <x:c r="F16" s="271" t="n"/>
      <x:c r="G16" s="271" t="n"/>
      <x:c r="H16" s="271" t="n"/>
      <x:c r="I16" s="271" t="n"/>
      <x:c r="J16" s="271" t="n"/>
    </x:row>
    <x:row r="17">
      <x:c r="A17" s="271" t="n"/>
      <x:c r="B17" s="271" t="n"/>
      <x:c r="C17" s="271" t="n"/>
      <x:c r="D17" s="271" t="n"/>
      <x:c r="E17" s="271" t="n"/>
      <x:c r="F17" s="271" t="n"/>
      <x:c r="G17" s="271" t="n"/>
      <x:c r="H17" s="271" t="n"/>
      <x:c r="I17" s="271" t="n"/>
      <x:c r="J17" s="271" t="n"/>
    </x:row>
    <x:row r="18">
      <x:c r="A18" s="271" t="n"/>
      <x:c r="B18" s="271" t="n"/>
      <x:c r="C18" s="271" t="n"/>
      <x:c r="D18" s="271" t="n"/>
      <x:c r="E18" s="271" t="n"/>
      <x:c r="F18" s="271" t="n"/>
      <x:c r="G18" s="271" t="n"/>
      <x:c r="H18" s="271" t="n"/>
      <x:c r="I18" s="271" t="n"/>
      <x:c r="J18" s="271" t="n"/>
    </x:row>
    <x:row r="19">
      <x:c r="A19" s="271" t="n"/>
      <x:c r="B19" s="271" t="n"/>
      <x:c r="C19" s="271" t="n"/>
      <x:c r="D19" s="271" t="n"/>
      <x:c r="E19" s="271" t="n"/>
      <x:c r="F19" s="271" t="n"/>
      <x:c r="G19" s="271" t="n"/>
      <x:c r="H19" s="271" t="n"/>
      <x:c r="I19" s="271" t="n"/>
      <x:c r="J19" s="271" t="n"/>
    </x:row>
    <x:row r="20">
      <x:c r="A20" s="271" t="n"/>
      <x:c r="B20" s="271" t="n"/>
      <x:c r="C20" s="271" t="n"/>
      <x:c r="D20" s="271" t="n"/>
      <x:c r="E20" s="271" t="n"/>
      <x:c r="F20" s="271" t="n"/>
      <x:c r="G20" s="271" t="n"/>
      <x:c r="H20" s="271" t="n"/>
      <x:c r="I20" s="271" t="n"/>
      <x:c r="J20" s="271" t="n"/>
    </x:row>
    <x:row r="21">
      <x:c r="A21" s="271" t="n"/>
      <x:c r="B21" s="271" t="n"/>
      <x:c r="C21" s="271" t="n"/>
      <x:c r="D21" s="271" t="n"/>
      <x:c r="E21" s="271" t="n"/>
      <x:c r="F21" s="271" t="n"/>
      <x:c r="G21" s="271" t="n"/>
      <x:c r="H21" s="271" t="n"/>
      <x:c r="I21" s="271" t="n"/>
      <x:c r="J21" s="271" t="n"/>
    </x:row>
    <x:row r="22">
      <x:c r="A22" s="271" t="n"/>
      <x:c r="B22" s="271" t="n"/>
      <x:c r="C22" s="271" t="n"/>
      <x:c r="D22" s="271" t="n"/>
      <x:c r="E22" s="271" t="n"/>
      <x:c r="F22" s="271" t="n"/>
      <x:c r="G22" s="271" t="n"/>
      <x:c r="H22" s="271" t="n"/>
      <x:c r="I22" s="271" t="n"/>
      <x:c r="J22" s="271" t="n"/>
    </x:row>
    <x:row r="23">
      <x:c r="A23" s="271" t="n"/>
      <x:c r="B23" s="271" t="n"/>
      <x:c r="C23" s="271" t="n"/>
      <x:c r="D23" s="271" t="n"/>
      <x:c r="E23" s="271" t="n"/>
      <x:c r="F23" s="271" t="n"/>
      <x:c r="G23" s="271" t="n"/>
      <x:c r="H23" s="271" t="n"/>
      <x:c r="I23" s="271" t="n"/>
      <x:c r="J23" s="271" t="n"/>
    </x:row>
    <x:row r="24">
      <x:c r="A24" s="271" t="n"/>
      <x:c r="B24" s="271" t="n"/>
      <x:c r="C24" s="271" t="n"/>
      <x:c r="D24" s="271" t="n"/>
      <x:c r="E24" s="271" t="n"/>
      <x:c r="F24" s="271" t="n"/>
      <x:c r="G24" s="271" t="n"/>
      <x:c r="H24" s="271" t="n"/>
      <x:c r="I24" s="271" t="n"/>
      <x:c r="J24" s="271" t="n"/>
    </x:row>
    <x:row r="25">
      <x:c r="A25" s="271" t="n"/>
      <x:c r="B25" s="271" t="n"/>
      <x:c r="C25" s="271" t="n"/>
      <x:c r="D25" s="271" t="n"/>
      <x:c r="E25" s="271" t="n"/>
      <x:c r="F25" s="271" t="n"/>
      <x:c r="G25" s="271" t="n"/>
      <x:c r="H25" s="271" t="n"/>
      <x:c r="I25" s="271" t="n"/>
      <x:c r="J25" s="271" t="n"/>
    </x:row>
    <x:row r="26">
      <x:c r="A26" s="271" t="n"/>
      <x:c r="B26" s="271" t="n"/>
      <x:c r="C26" s="271" t="n"/>
      <x:c r="D26" s="271" t="n"/>
      <x:c r="E26" s="271" t="n"/>
      <x:c r="F26" s="271" t="n"/>
      <x:c r="G26" s="271" t="n"/>
      <x:c r="H26" s="271" t="n"/>
      <x:c r="I26" s="271" t="n"/>
      <x:c r="J26" s="271" t="n"/>
    </x:row>
    <x:row r="27">
      <x:c r="A27" s="271" t="n"/>
      <x:c r="B27" s="271" t="n"/>
      <x:c r="C27" s="271" t="n"/>
      <x:c r="D27" s="271" t="n"/>
      <x:c r="E27" s="271" t="n"/>
      <x:c r="F27" s="271" t="n"/>
      <x:c r="G27" s="271" t="n"/>
      <x:c r="H27" s="271" t="n"/>
      <x:c r="I27" s="271" t="n"/>
      <x:c r="J27" s="271" t="n"/>
    </x:row>
    <x:row r="28">
      <x:c r="A28" s="271" t="n"/>
      <x:c r="B28" s="271" t="n"/>
      <x:c r="C28" s="271" t="n"/>
      <x:c r="D28" s="271" t="n"/>
      <x:c r="E28" s="271" t="n"/>
      <x:c r="F28" s="271" t="n"/>
      <x:c r="G28" s="271" t="n"/>
      <x:c r="H28" s="271" t="n"/>
      <x:c r="I28" s="271" t="n"/>
      <x:c r="J28" s="271" t="n"/>
    </x:row>
    <x:row r="29">
      <x:c r="A29" s="271" t="n"/>
      <x:c r="B29" s="271" t="n"/>
      <x:c r="C29" s="271" t="n"/>
      <x:c r="D29" s="271" t="n"/>
      <x:c r="E29" s="271" t="n"/>
      <x:c r="F29" s="271" t="n"/>
      <x:c r="G29" s="271" t="n"/>
      <x:c r="H29" s="271" t="n"/>
      <x:c r="I29" s="271" t="n"/>
      <x:c r="J29" s="271" t="n"/>
    </x:row>
    <x:row r="30">
      <x:c r="A30" s="271" t="n"/>
      <x:c r="B30" s="271" t="n"/>
      <x:c r="C30" s="271" t="n"/>
      <x:c r="D30" s="271" t="n"/>
      <x:c r="E30" s="271" t="n"/>
      <x:c r="F30" s="271" t="n"/>
      <x:c r="G30" s="271" t="n"/>
      <x:c r="H30" s="271" t="n"/>
      <x:c r="I30" s="271" t="n"/>
      <x:c r="J30" s="271" t="n"/>
    </x:row>
    <x:row r="31">
      <x:c r="A31" s="271" t="n"/>
      <x:c r="B31" s="271" t="n"/>
      <x:c r="C31" s="271" t="n"/>
      <x:c r="D31" s="271" t="n"/>
      <x:c r="E31" s="271" t="n"/>
      <x:c r="F31" s="271" t="n"/>
      <x:c r="G31" s="271" t="n"/>
      <x:c r="H31" s="271" t="n"/>
      <x:c r="I31" s="271" t="n"/>
      <x:c r="J31" s="271" t="n"/>
    </x:row>
    <x:row r="32">
      <x:c r="A32" s="271" t="n"/>
      <x:c r="B32" s="271" t="n"/>
      <x:c r="C32" s="271" t="n"/>
      <x:c r="D32" s="271" t="n"/>
      <x:c r="E32" s="271" t="n"/>
      <x:c r="F32" s="271" t="n"/>
      <x:c r="G32" s="271" t="n"/>
      <x:c r="H32" s="271" t="n"/>
      <x:c r="I32" s="271" t="n"/>
      <x:c r="J32" s="271" t="n"/>
    </x:row>
    <x:row r="33">
      <x:c r="A33" s="271" t="n"/>
      <x:c r="B33" s="271" t="n"/>
      <x:c r="C33" s="271" t="n"/>
      <x:c r="D33" s="271" t="n"/>
      <x:c r="E33" s="271" t="n"/>
      <x:c r="F33" s="271" t="n"/>
      <x:c r="G33" s="271" t="n"/>
      <x:c r="H33" s="271" t="n"/>
      <x:c r="I33" s="271" t="n"/>
      <x:c r="J33" s="271" t="n"/>
    </x:row>
    <x:row r="34">
      <x:c r="A34" s="271" t="n"/>
      <x:c r="B34" s="271" t="n"/>
      <x:c r="C34" s="271" t="n"/>
      <x:c r="D34" s="271" t="n"/>
      <x:c r="E34" s="271" t="n"/>
      <x:c r="F34" s="271" t="n"/>
      <x:c r="G34" s="271" t="n"/>
      <x:c r="H34" s="271" t="n"/>
      <x:c r="I34" s="271" t="n"/>
      <x:c r="J34" s="271" t="n"/>
    </x:row>
    <x:row r="35">
      <x:c r="A35" s="271" t="n"/>
      <x:c r="B35" s="271" t="n"/>
      <x:c r="C35" s="271" t="n"/>
      <x:c r="D35" s="271" t="n"/>
      <x:c r="E35" s="271" t="n"/>
      <x:c r="F35" s="271" t="n"/>
      <x:c r="G35" s="271" t="n"/>
      <x:c r="H35" s="271" t="n"/>
      <x:c r="I35" s="271" t="n"/>
      <x:c r="J35" s="271" t="n"/>
    </x:row>
    <x:row r="36">
      <x:c r="A36" s="271" t="n"/>
      <x:c r="B36" s="271" t="n"/>
      <x:c r="C36" s="271" t="n"/>
      <x:c r="D36" s="271" t="n"/>
      <x:c r="E36" s="271" t="n"/>
      <x:c r="F36" s="271" t="n"/>
      <x:c r="G36" s="271" t="n"/>
      <x:c r="H36" s="271" t="n"/>
      <x:c r="I36" s="271" t="n"/>
      <x:c r="J36" s="271" t="n"/>
    </x:row>
    <x:row r="37">
      <x:c r="A37" s="271" t="n"/>
      <x:c r="B37" s="271" t="n"/>
      <x:c r="C37" s="271" t="n"/>
      <x:c r="D37" s="271" t="n"/>
      <x:c r="E37" s="271" t="n"/>
      <x:c r="F37" s="271" t="n"/>
      <x:c r="G37" s="271" t="n"/>
      <x:c r="H37" s="271" t="n"/>
      <x:c r="I37" s="271" t="n"/>
      <x:c r="J37" s="271" t="n"/>
    </x:row>
    <x:row r="38">
      <x:c r="A38" s="271" t="n"/>
      <x:c r="B38" s="271" t="n"/>
      <x:c r="C38" s="271" t="n"/>
      <x:c r="D38" s="271" t="n"/>
      <x:c r="E38" s="271" t="n"/>
      <x:c r="F38" s="271" t="n"/>
      <x:c r="G38" s="271" t="n"/>
      <x:c r="H38" s="271" t="n"/>
      <x:c r="I38" s="271" t="n"/>
      <x:c r="J38" s="271" t="n"/>
    </x:row>
    <x:row r="39">
      <x:c r="A39" s="271" t="n"/>
      <x:c r="B39" s="271" t="n"/>
      <x:c r="C39" s="271" t="n"/>
      <x:c r="D39" s="271" t="n"/>
      <x:c r="E39" s="271" t="n"/>
      <x:c r="F39" s="271" t="n"/>
      <x:c r="G39" s="271" t="n"/>
      <x:c r="H39" s="271" t="n"/>
      <x:c r="I39" s="271" t="n"/>
      <x:c r="J39" s="271" t="n"/>
    </x:row>
    <x:row r="40">
      <x:c r="A40" s="271" t="n"/>
      <x:c r="B40" s="271" t="n"/>
      <x:c r="C40" s="271" t="n"/>
      <x:c r="D40" s="271" t="n"/>
      <x:c r="E40" s="271" t="n"/>
      <x:c r="F40" s="271" t="n"/>
      <x:c r="G40" s="271" t="n"/>
      <x:c r="H40" s="271" t="n"/>
      <x:c r="I40" s="271" t="n"/>
      <x:c r="J40" s="271" t="n"/>
    </x:row>
    <x:row r="41">
      <x:c r="A41" s="271" t="n"/>
      <x:c r="B41" s="271" t="n"/>
      <x:c r="C41" s="271" t="n"/>
      <x:c r="D41" s="271" t="n"/>
      <x:c r="E41" s="271" t="n"/>
      <x:c r="F41" s="271" t="n"/>
      <x:c r="G41" s="271" t="n"/>
      <x:c r="H41" s="271" t="n"/>
      <x:c r="I41" s="271" t="n"/>
      <x:c r="J41" s="271" t="n"/>
    </x:row>
    <x:row r="42">
      <x:c r="A42" s="271" t="n"/>
      <x:c r="B42" s="271" t="n"/>
      <x:c r="C42" s="271" t="n"/>
      <x:c r="D42" s="271" t="n"/>
      <x:c r="E42" s="271" t="n"/>
      <x:c r="F42" s="271" t="n"/>
      <x:c r="G42" s="271" t="n"/>
      <x:c r="H42" s="271" t="n"/>
      <x:c r="I42" s="271" t="n"/>
      <x:c r="J42" s="271" t="n"/>
    </x:row>
    <x:row r="43">
      <x:c r="A43" s="271" t="n"/>
      <x:c r="B43" s="271" t="n"/>
      <x:c r="C43" s="271" t="n"/>
      <x:c r="D43" s="271" t="n"/>
      <x:c r="E43" s="271" t="n"/>
      <x:c r="F43" s="271" t="n"/>
      <x:c r="G43" s="271" t="n"/>
      <x:c r="H43" s="271" t="n"/>
      <x:c r="I43" s="271" t="n"/>
      <x:c r="J43" s="271" t="n"/>
    </x:row>
    <x:row r="44">
      <x:c r="A44" s="271" t="n"/>
      <x:c r="B44" s="271" t="n"/>
      <x:c r="C44" s="271" t="n"/>
      <x:c r="D44" s="271" t="n"/>
      <x:c r="E44" s="271" t="n"/>
      <x:c r="F44" s="271" t="n"/>
      <x:c r="G44" s="271" t="n"/>
      <x:c r="H44" s="271" t="n"/>
      <x:c r="I44" s="271" t="n"/>
      <x:c r="J44" s="271" t="n"/>
    </x:row>
    <x:row r="45">
      <x:c r="A45" s="271" t="n"/>
      <x:c r="B45" s="271" t="n"/>
      <x:c r="C45" s="271" t="n"/>
      <x:c r="D45" s="271" t="n"/>
      <x:c r="E45" s="271" t="n"/>
      <x:c r="F45" s="271" t="n"/>
      <x:c r="G45" s="271" t="n"/>
      <x:c r="H45" s="271" t="n"/>
      <x:c r="I45" s="271" t="n"/>
      <x:c r="J45" s="271" t="n"/>
    </x:row>
    <x:row r="46">
      <x:c r="A46" s="271" t="n"/>
      <x:c r="B46" s="271" t="n"/>
      <x:c r="C46" s="271" t="n"/>
      <x:c r="D46" s="271" t="n"/>
      <x:c r="E46" s="271" t="n"/>
      <x:c r="F46" s="271" t="n"/>
      <x:c r="G46" s="271" t="n"/>
      <x:c r="H46" s="271" t="n"/>
      <x:c r="I46" s="271" t="n"/>
      <x:c r="J46" s="271" t="n"/>
    </x:row>
    <x:row r="47">
      <x:c r="A47" s="271" t="n"/>
      <x:c r="B47" s="271" t="n"/>
      <x:c r="C47" s="271" t="n"/>
      <x:c r="D47" s="271" t="n"/>
      <x:c r="E47" s="271" t="n"/>
      <x:c r="F47" s="271" t="n"/>
      <x:c r="G47" s="271" t="n"/>
      <x:c r="H47" s="271" t="n"/>
      <x:c r="I47" s="271" t="n"/>
      <x:c r="J47" s="271" t="n"/>
    </x:row>
    <x:row r="48">
      <x:c r="A48" s="271" t="n"/>
      <x:c r="B48" s="271" t="n"/>
      <x:c r="C48" s="271" t="n"/>
      <x:c r="D48" s="271" t="n"/>
      <x:c r="E48" s="271" t="n"/>
      <x:c r="F48" s="271" t="n"/>
      <x:c r="G48" s="271" t="n"/>
      <x:c r="H48" s="271" t="n"/>
      <x:c r="I48" s="271" t="n"/>
      <x:c r="J48" s="271" t="n"/>
    </x:row>
    <x:row r="49">
      <x:c r="A49" s="271" t="n"/>
      <x:c r="B49" s="271" t="n"/>
      <x:c r="C49" s="271" t="n"/>
      <x:c r="D49" s="271" t="n"/>
      <x:c r="E49" s="271" t="n"/>
      <x:c r="F49" s="271" t="n"/>
      <x:c r="G49" s="271" t="n"/>
      <x:c r="H49" s="271" t="n"/>
      <x:c r="I49" s="271" t="n"/>
      <x:c r="J49" s="271" t="n"/>
    </x:row>
    <x:row r="50">
      <x:c r="A50" s="271" t="n"/>
      <x:c r="B50" s="271" t="n"/>
      <x:c r="C50" s="271" t="n"/>
      <x:c r="D50" s="271" t="n"/>
      <x:c r="E50" s="271" t="n"/>
      <x:c r="F50" s="271" t="n"/>
      <x:c r="G50" s="271" t="n"/>
      <x:c r="H50" s="271" t="n"/>
      <x:c r="I50" s="271" t="n"/>
      <x:c r="J50" s="271" t="n"/>
    </x:row>
    <x:row r="51">
      <x:c r="A51" s="271" t="n"/>
      <x:c r="B51" s="271" t="n"/>
      <x:c r="C51" s="271" t="n"/>
      <x:c r="D51" s="271" t="n"/>
      <x:c r="E51" s="271" t="n"/>
      <x:c r="F51" s="271" t="n"/>
      <x:c r="G51" s="271" t="n"/>
      <x:c r="H51" s="271" t="n"/>
      <x:c r="I51" s="271" t="n"/>
      <x:c r="J51" s="271" t="n"/>
    </x:row>
    <x:row r="52">
      <x:c r="A52" s="271" t="n"/>
      <x:c r="B52" s="271" t="n"/>
      <x:c r="C52" s="271" t="n"/>
      <x:c r="D52" s="271" t="n"/>
      <x:c r="E52" s="271" t="n"/>
      <x:c r="F52" s="271" t="n"/>
      <x:c r="G52" s="271" t="n"/>
      <x:c r="H52" s="271" t="n"/>
      <x:c r="I52" s="271" t="n"/>
      <x:c r="J52" s="271" t="n"/>
    </x:row>
    <x:row r="53">
      <x:c r="A53" s="271" t="n"/>
      <x:c r="B53" s="271" t="n"/>
      <x:c r="C53" s="271" t="n"/>
      <x:c r="D53" s="271" t="n"/>
      <x:c r="E53" s="271" t="n"/>
      <x:c r="F53" s="271" t="n"/>
      <x:c r="G53" s="271" t="n"/>
      <x:c r="H53" s="271" t="n"/>
      <x:c r="I53" s="271" t="n"/>
      <x:c r="J53" s="271" t="n"/>
    </x:row>
    <x:row r="54">
      <x:c r="A54" s="271" t="n"/>
      <x:c r="B54" s="271" t="n"/>
      <x:c r="C54" s="271" t="n"/>
      <x:c r="D54" s="271" t="n"/>
      <x:c r="E54" s="271" t="n"/>
      <x:c r="F54" s="271" t="n"/>
      <x:c r="G54" s="271" t="n"/>
      <x:c r="H54" s="271" t="n"/>
      <x:c r="I54" s="271" t="n"/>
      <x:c r="J54" s="271" t="n"/>
    </x:row>
    <x:row r="55">
      <x:c r="A55" s="271" t="n"/>
      <x:c r="B55" s="271" t="n"/>
      <x:c r="C55" s="271" t="n"/>
      <x:c r="D55" s="271" t="n"/>
      <x:c r="E55" s="271" t="n"/>
      <x:c r="F55" s="271" t="n"/>
      <x:c r="G55" s="271" t="n"/>
      <x:c r="H55" s="271" t="n"/>
      <x:c r="I55" s="271" t="n"/>
      <x:c r="J55" s="271" t="n"/>
    </x:row>
    <x:row r="56">
      <x:c r="A56" s="271" t="n"/>
      <x:c r="B56" s="271" t="n"/>
      <x:c r="C56" s="271" t="n"/>
      <x:c r="D56" s="271" t="n"/>
      <x:c r="E56" s="271" t="n"/>
      <x:c r="F56" s="271" t="n"/>
      <x:c r="G56" s="271" t="n"/>
      <x:c r="H56" s="271" t="n"/>
      <x:c r="I56" s="271" t="n"/>
      <x:c r="J56" s="271" t="n"/>
    </x:row>
    <x:row r="57">
      <x:c r="A57" s="271" t="n"/>
      <x:c r="B57" s="271" t="n"/>
      <x:c r="C57" s="271" t="n"/>
      <x:c r="D57" s="271" t="n"/>
      <x:c r="E57" s="271" t="n"/>
      <x:c r="F57" s="271" t="n"/>
      <x:c r="G57" s="271" t="n"/>
      <x:c r="H57" s="271" t="n"/>
      <x:c r="I57" s="271" t="n"/>
      <x:c r="J57" s="271" t="n"/>
    </x:row>
    <x:row r="58">
      <x:c r="A58" s="271" t="n"/>
      <x:c r="B58" s="271" t="n"/>
      <x:c r="C58" s="271" t="n"/>
      <x:c r="D58" s="271" t="n"/>
      <x:c r="E58" s="271" t="n"/>
      <x:c r="F58" s="271" t="n"/>
      <x:c r="G58" s="271" t="n"/>
      <x:c r="H58" s="271" t="n"/>
      <x:c r="I58" s="271" t="n"/>
      <x:c r="J58" s="271" t="n"/>
    </x:row>
    <x:row r="59">
      <x:c r="A59" s="271" t="n"/>
      <x:c r="B59" s="271" t="n"/>
      <x:c r="C59" s="271" t="n"/>
      <x:c r="D59" s="271" t="n"/>
      <x:c r="E59" s="271" t="n"/>
      <x:c r="F59" s="271" t="n"/>
      <x:c r="G59" s="271" t="n"/>
      <x:c r="H59" s="271" t="n"/>
      <x:c r="I59" s="271" t="n"/>
      <x:c r="J59" s="271" t="n"/>
    </x:row>
    <x:row r="60">
      <x:c r="A60" s="271" t="n"/>
      <x:c r="B60" s="271" t="n"/>
      <x:c r="C60" s="271" t="n"/>
      <x:c r="D60" s="271" t="n"/>
      <x:c r="E60" s="271" t="n"/>
      <x:c r="F60" s="271" t="n"/>
      <x:c r="G60" s="271" t="n"/>
      <x:c r="H60" s="271" t="n"/>
      <x:c r="I60" s="271" t="n"/>
      <x:c r="J60" s="271" t="n"/>
    </x:row>
    <x:row r="61">
      <x:c r="A61" s="271" t="n"/>
      <x:c r="B61" s="271" t="n"/>
      <x:c r="C61" s="271" t="n"/>
      <x:c r="D61" s="271" t="n"/>
      <x:c r="E61" s="271" t="n"/>
      <x:c r="F61" s="271" t="n"/>
      <x:c r="G61" s="271" t="n"/>
      <x:c r="H61" s="271" t="n"/>
      <x:c r="I61" s="271" t="n"/>
      <x:c r="J61" s="271" t="n"/>
    </x:row>
    <x:row r="62">
      <x:c r="A62" s="271" t="n"/>
      <x:c r="B62" s="271" t="n"/>
      <x:c r="C62" s="271" t="n"/>
      <x:c r="D62" s="271" t="n"/>
      <x:c r="E62" s="271" t="n"/>
      <x:c r="F62" s="271" t="n"/>
      <x:c r="G62" s="271" t="n"/>
      <x:c r="H62" s="271" t="n"/>
      <x:c r="I62" s="271" t="n"/>
      <x:c r="J62" s="271" t="n"/>
    </x:row>
    <x:row r="63">
      <x:c r="A63" s="271" t="n"/>
      <x:c r="B63" s="271" t="n"/>
      <x:c r="C63" s="271" t="n"/>
      <x:c r="D63" s="271" t="n"/>
      <x:c r="E63" s="271" t="n"/>
      <x:c r="F63" s="271" t="n"/>
      <x:c r="G63" s="271" t="n"/>
      <x:c r="H63" s="271" t="n"/>
      <x:c r="I63" s="271" t="n"/>
      <x:c r="J63" s="271" t="n"/>
    </x:row>
    <x:row r="64">
      <x:c r="A64" s="271" t="n"/>
      <x:c r="B64" s="271" t="n"/>
      <x:c r="C64" s="271" t="n"/>
      <x:c r="D64" s="271" t="n"/>
      <x:c r="E64" s="271" t="n"/>
      <x:c r="F64" s="271" t="n"/>
      <x:c r="G64" s="271" t="n"/>
      <x:c r="H64" s="271" t="n"/>
      <x:c r="I64" s="271" t="n"/>
      <x:c r="J64" s="271" t="n"/>
    </x:row>
    <x:row r="65">
      <x:c r="A65" s="271" t="n"/>
      <x:c r="B65" s="271" t="n"/>
      <x:c r="C65" s="271" t="n"/>
      <x:c r="D65" s="271" t="n"/>
      <x:c r="E65" s="271" t="n"/>
      <x:c r="F65" s="271" t="n"/>
      <x:c r="G65" s="271" t="n"/>
      <x:c r="H65" s="271" t="n"/>
      <x:c r="I65" s="271" t="n"/>
      <x:c r="J65" s="271" t="n"/>
    </x:row>
    <x:row r="66">
      <x:c r="A66" s="271" t="n"/>
      <x:c r="B66" s="271" t="n"/>
      <x:c r="C66" s="271" t="n"/>
      <x:c r="D66" s="271" t="n"/>
      <x:c r="E66" s="271" t="n"/>
      <x:c r="F66" s="271" t="n"/>
      <x:c r="G66" s="271" t="n"/>
      <x:c r="H66" s="271" t="n"/>
      <x:c r="I66" s="271" t="n"/>
      <x:c r="J66" s="271" t="n"/>
    </x:row>
    <x:row r="67">
      <x:c r="A67" s="271" t="n"/>
      <x:c r="B67" s="271" t="n"/>
      <x:c r="C67" s="271" t="n"/>
      <x:c r="D67" s="271" t="n"/>
      <x:c r="E67" s="271" t="n"/>
      <x:c r="F67" s="271" t="n"/>
      <x:c r="G67" s="271" t="n"/>
      <x:c r="H67" s="271" t="n"/>
      <x:c r="I67" s="271" t="n"/>
      <x:c r="J67" s="271" t="n"/>
    </x:row>
    <x:row r="68">
      <x:c r="A68" s="271" t="n"/>
      <x:c r="B68" s="271" t="n"/>
      <x:c r="C68" s="271" t="n"/>
      <x:c r="D68" s="271" t="n"/>
      <x:c r="E68" s="271" t="n"/>
      <x:c r="F68" s="271" t="n"/>
      <x:c r="G68" s="271" t="n"/>
      <x:c r="H68" s="271" t="n"/>
      <x:c r="I68" s="271" t="n"/>
      <x:c r="J68" s="271" t="n"/>
    </x:row>
    <x:row r="69">
      <x:c r="A69" s="271" t="n"/>
      <x:c r="B69" s="271" t="n"/>
      <x:c r="C69" s="271" t="n"/>
      <x:c r="D69" s="271" t="n"/>
      <x:c r="E69" s="271" t="n"/>
      <x:c r="F69" s="271" t="n"/>
      <x:c r="G69" s="271" t="n"/>
      <x:c r="H69" s="271" t="n"/>
      <x:c r="I69" s="271" t="n"/>
      <x:c r="J69" s="271" t="n"/>
    </x:row>
    <x:row r="70">
      <x:c r="A70" s="271" t="n"/>
      <x:c r="B70" s="271" t="n"/>
      <x:c r="C70" s="271" t="n"/>
      <x:c r="D70" s="271" t="n"/>
      <x:c r="E70" s="271" t="n"/>
      <x:c r="F70" s="271" t="n"/>
      <x:c r="G70" s="271" t="n"/>
      <x:c r="H70" s="271" t="n"/>
      <x:c r="I70" s="271" t="n"/>
      <x:c r="J70" s="271" t="n"/>
    </x:row>
    <x:row r="71">
      <x:c r="A71" s="271" t="n"/>
      <x:c r="B71" s="271" t="n"/>
      <x:c r="C71" s="271" t="n"/>
      <x:c r="D71" s="271" t="n"/>
      <x:c r="E71" s="271" t="n"/>
      <x:c r="F71" s="271" t="n"/>
      <x:c r="G71" s="271" t="n"/>
      <x:c r="H71" s="271" t="n"/>
      <x:c r="I71" s="271" t="n"/>
      <x:c r="J71" s="271" t="n"/>
    </x:row>
    <x:row r="72">
      <x:c r="A72" s="271" t="n"/>
      <x:c r="B72" s="271" t="n"/>
      <x:c r="C72" s="271" t="n"/>
      <x:c r="D72" s="271" t="n"/>
      <x:c r="E72" s="271" t="n"/>
      <x:c r="F72" s="271" t="n"/>
      <x:c r="G72" s="271" t="n"/>
      <x:c r="H72" s="271" t="n"/>
      <x:c r="I72" s="271" t="n"/>
      <x:c r="J72" s="271" t="n"/>
    </x:row>
    <x:row r="73">
      <x:c r="A73" s="271" t="n"/>
      <x:c r="B73" s="271" t="n"/>
      <x:c r="C73" s="271" t="n"/>
      <x:c r="D73" s="271" t="n"/>
      <x:c r="E73" s="271" t="n"/>
      <x:c r="F73" s="271" t="n"/>
      <x:c r="G73" s="271" t="n"/>
      <x:c r="H73" s="271" t="n"/>
      <x:c r="I73" s="271" t="n"/>
      <x:c r="J73" s="271" t="n"/>
    </x:row>
    <x:row r="74">
      <x:c r="A74" s="271" t="n"/>
      <x:c r="B74" s="271" t="n"/>
      <x:c r="C74" s="271" t="n"/>
      <x:c r="D74" s="271" t="n"/>
      <x:c r="E74" s="271" t="n"/>
      <x:c r="F74" s="271" t="n"/>
      <x:c r="G74" s="271" t="n"/>
      <x:c r="H74" s="271" t="n"/>
      <x:c r="I74" s="271" t="n"/>
      <x:c r="J74" s="271" t="n"/>
    </x:row>
    <x:row r="75">
      <x:c r="A75" s="271" t="n"/>
      <x:c r="B75" s="271" t="n"/>
      <x:c r="C75" s="271" t="n"/>
      <x:c r="D75" s="271" t="n"/>
      <x:c r="E75" s="271" t="n"/>
      <x:c r="F75" s="271" t="n"/>
      <x:c r="G75" s="271" t="n"/>
      <x:c r="H75" s="271" t="n"/>
      <x:c r="I75" s="271" t="n"/>
      <x:c r="J75" s="271" t="n"/>
    </x:row>
    <x:row r="76">
      <x:c r="A76" s="271" t="n"/>
      <x:c r="B76" s="271" t="n"/>
      <x:c r="C76" s="271" t="n"/>
      <x:c r="D76" s="271" t="n"/>
      <x:c r="E76" s="271" t="n"/>
      <x:c r="F76" s="271" t="n"/>
      <x:c r="G76" s="271" t="n"/>
      <x:c r="H76" s="271" t="n"/>
      <x:c r="I76" s="271" t="n"/>
      <x:c r="J76" s="271" t="n"/>
    </x:row>
    <x:row r="77">
      <x:c r="A77" s="271" t="n"/>
      <x:c r="B77" s="271" t="n"/>
      <x:c r="C77" s="271" t="n"/>
      <x:c r="D77" s="271" t="n"/>
      <x:c r="E77" s="271" t="n"/>
      <x:c r="F77" s="271" t="n"/>
      <x:c r="G77" s="271" t="n"/>
      <x:c r="H77" s="271" t="n"/>
      <x:c r="I77" s="271" t="n"/>
      <x:c r="J77" s="271" t="n"/>
    </x:row>
    <x:row r="78">
      <x:c r="A78" s="271" t="n"/>
      <x:c r="B78" s="271" t="n"/>
      <x:c r="C78" s="271" t="n"/>
      <x:c r="D78" s="271" t="n"/>
      <x:c r="E78" s="271" t="n"/>
      <x:c r="F78" s="271" t="n"/>
      <x:c r="G78" s="271" t="n"/>
      <x:c r="H78" s="271" t="n"/>
      <x:c r="I78" s="271" t="n"/>
      <x:c r="J78" s="271" t="n"/>
    </x:row>
    <x:row r="79">
      <x:c r="A79" s="271" t="n"/>
      <x:c r="B79" s="271" t="n"/>
      <x:c r="C79" s="271" t="n"/>
      <x:c r="D79" s="271" t="n"/>
      <x:c r="E79" s="271" t="n"/>
      <x:c r="F79" s="271" t="n"/>
      <x:c r="G79" s="271" t="n"/>
      <x:c r="H79" s="271" t="n"/>
      <x:c r="I79" s="271" t="n"/>
      <x:c r="J79" s="271" t="n"/>
    </x:row>
    <x:row r="80">
      <x:c r="A80" s="271" t="n"/>
      <x:c r="B80" s="271" t="n"/>
      <x:c r="C80" s="271" t="n"/>
      <x:c r="D80" s="271" t="n"/>
      <x:c r="E80" s="271" t="n"/>
      <x:c r="F80" s="271" t="n"/>
      <x:c r="G80" s="271" t="n"/>
      <x:c r="H80" s="271" t="n"/>
      <x:c r="I80" s="271" t="n"/>
      <x:c r="J80" s="271" t="n"/>
    </x:row>
    <x:row r="81">
      <x:c r="A81" s="271" t="n"/>
      <x:c r="B81" s="271" t="n"/>
      <x:c r="C81" s="271" t="n"/>
      <x:c r="D81" s="271" t="n"/>
      <x:c r="E81" s="271" t="n"/>
      <x:c r="F81" s="271" t="n"/>
      <x:c r="G81" s="271" t="n"/>
      <x:c r="H81" s="271" t="n"/>
      <x:c r="I81" s="271" t="n"/>
      <x:c r="J81" s="271" t="n"/>
    </x:row>
    <x:row r="82">
      <x:c r="A82" s="271" t="n"/>
      <x:c r="B82" s="271" t="n"/>
      <x:c r="C82" s="271" t="n"/>
      <x:c r="D82" s="271" t="n"/>
      <x:c r="E82" s="271" t="n"/>
      <x:c r="F82" s="271" t="n"/>
      <x:c r="G82" s="271" t="n"/>
      <x:c r="H82" s="271" t="n"/>
      <x:c r="I82" s="271" t="n"/>
      <x:c r="J82" s="271" t="n"/>
    </x:row>
    <x:row r="83">
      <x:c r="A83" s="271" t="n"/>
      <x:c r="B83" s="271" t="n"/>
      <x:c r="C83" s="271" t="n"/>
      <x:c r="D83" s="271" t="n"/>
      <x:c r="E83" s="271" t="n"/>
      <x:c r="F83" s="271" t="n"/>
      <x:c r="G83" s="271" t="n"/>
      <x:c r="H83" s="271" t="n"/>
      <x:c r="I83" s="271" t="n"/>
      <x:c r="J83" s="271" t="n"/>
    </x:row>
    <x:row r="84">
      <x:c r="A84" s="271" t="n"/>
      <x:c r="B84" s="271" t="n"/>
      <x:c r="C84" s="271" t="n"/>
      <x:c r="D84" s="271" t="n"/>
      <x:c r="E84" s="271" t="n"/>
      <x:c r="F84" s="271" t="n"/>
      <x:c r="G84" s="271" t="n"/>
      <x:c r="H84" s="271" t="n"/>
      <x:c r="I84" s="271" t="n"/>
      <x:c r="J84" s="271" t="n"/>
    </x:row>
    <x:row r="85">
      <x:c r="A85" s="271" t="n"/>
      <x:c r="B85" s="271" t="n"/>
      <x:c r="C85" s="271" t="n"/>
      <x:c r="D85" s="271" t="n"/>
      <x:c r="E85" s="271" t="n"/>
      <x:c r="F85" s="271" t="n"/>
      <x:c r="G85" s="271" t="n"/>
      <x:c r="H85" s="271" t="n"/>
      <x:c r="I85" s="271" t="n"/>
      <x:c r="J85" s="271" t="n"/>
    </x:row>
    <x:row r="86">
      <x:c r="A86" s="271" t="n"/>
      <x:c r="B86" s="271" t="n"/>
      <x:c r="C86" s="271" t="n"/>
      <x:c r="D86" s="271" t="n"/>
      <x:c r="E86" s="271" t="n"/>
      <x:c r="F86" s="271" t="n"/>
      <x:c r="G86" s="271" t="n"/>
      <x:c r="H86" s="271" t="n"/>
      <x:c r="I86" s="271" t="n"/>
      <x:c r="J86" s="271" t="n"/>
    </x:row>
    <x:row r="87">
      <x:c r="A87" s="271" t="n"/>
      <x:c r="B87" s="271" t="n"/>
      <x:c r="C87" s="271" t="n"/>
      <x:c r="D87" s="271" t="n"/>
      <x:c r="E87" s="271" t="n"/>
      <x:c r="F87" s="271" t="n"/>
      <x:c r="G87" s="271" t="n"/>
      <x:c r="H87" s="271" t="n"/>
      <x:c r="I87" s="271" t="n"/>
      <x:c r="J87" s="271" t="n"/>
    </x:row>
    <x:row r="88">
      <x:c r="A88" s="271" t="n"/>
      <x:c r="B88" s="271" t="n"/>
      <x:c r="C88" s="271" t="n"/>
      <x:c r="D88" s="271" t="n"/>
      <x:c r="E88" s="271" t="n"/>
      <x:c r="F88" s="271" t="n"/>
      <x:c r="G88" s="271" t="n"/>
      <x:c r="H88" s="271" t="n"/>
      <x:c r="I88" s="271" t="n"/>
      <x:c r="J88" s="271" t="n"/>
    </x:row>
    <x:row r="89">
      <x:c r="A89" s="271" t="n"/>
      <x:c r="B89" s="271" t="n"/>
      <x:c r="C89" s="271" t="n"/>
      <x:c r="D89" s="271" t="n"/>
      <x:c r="E89" s="271" t="n"/>
      <x:c r="F89" s="271" t="n"/>
      <x:c r="G89" s="271" t="n"/>
      <x:c r="H89" s="271" t="n"/>
      <x:c r="I89" s="271" t="n"/>
      <x:c r="J89" s="271" t="n"/>
    </x:row>
    <x:row r="90">
      <x:c r="A90" s="271" t="n"/>
      <x:c r="B90" s="271" t="n"/>
      <x:c r="C90" s="271" t="n"/>
      <x:c r="D90" s="271" t="n"/>
      <x:c r="E90" s="271" t="n"/>
      <x:c r="F90" s="271" t="n"/>
      <x:c r="G90" s="271" t="n"/>
      <x:c r="H90" s="271" t="n"/>
      <x:c r="I90" s="271" t="n"/>
      <x:c r="J90" s="271" t="n"/>
    </x:row>
    <x:row r="91">
      <x:c r="A91" s="271" t="n"/>
      <x:c r="B91" s="271" t="n"/>
      <x:c r="C91" s="271" t="n"/>
      <x:c r="D91" s="271" t="n"/>
      <x:c r="E91" s="271" t="n"/>
      <x:c r="F91" s="271" t="n"/>
      <x:c r="G91" s="271" t="n"/>
      <x:c r="H91" s="271" t="n"/>
      <x:c r="I91" s="271" t="n"/>
      <x:c r="J91" s="271" t="n"/>
    </x:row>
    <x:row r="92">
      <x:c r="A92" s="271" t="n"/>
      <x:c r="B92" s="271" t="n"/>
      <x:c r="C92" s="271" t="n"/>
      <x:c r="D92" s="271" t="n"/>
      <x:c r="E92" s="271" t="n"/>
      <x:c r="F92" s="271" t="n"/>
      <x:c r="G92" s="271" t="n"/>
      <x:c r="H92" s="271" t="n"/>
      <x:c r="I92" s="271" t="n"/>
      <x:c r="J92" s="271" t="n"/>
    </x:row>
    <x:row r="93">
      <x:c r="A93" s="271" t="n"/>
      <x:c r="B93" s="271" t="n"/>
      <x:c r="C93" s="271" t="n"/>
      <x:c r="D93" s="271" t="n"/>
      <x:c r="E93" s="271" t="n"/>
      <x:c r="F93" s="271" t="n"/>
      <x:c r="G93" s="271" t="n"/>
      <x:c r="H93" s="271" t="n"/>
      <x:c r="I93" s="271" t="n"/>
      <x:c r="J93" s="271" t="n"/>
    </x:row>
    <x:row r="94">
      <x:c r="A94" s="271" t="n"/>
      <x:c r="B94" s="271" t="n"/>
      <x:c r="C94" s="271" t="n"/>
      <x:c r="D94" s="271" t="n"/>
      <x:c r="E94" s="271" t="n"/>
      <x:c r="F94" s="271" t="n"/>
      <x:c r="G94" s="271" t="n"/>
      <x:c r="H94" s="271" t="n"/>
      <x:c r="I94" s="271" t="n"/>
      <x:c r="J94" s="271" t="n"/>
    </x:row>
    <x:row r="95">
      <x:c r="A95" s="271" t="n"/>
      <x:c r="B95" s="271" t="n"/>
      <x:c r="C95" s="271" t="n"/>
      <x:c r="D95" s="271" t="n"/>
      <x:c r="E95" s="271" t="n"/>
      <x:c r="F95" s="271" t="n"/>
      <x:c r="G95" s="271" t="n"/>
      <x:c r="H95" s="271" t="n"/>
      <x:c r="I95" s="271" t="n"/>
      <x:c r="J95" s="271" t="n"/>
    </x:row>
    <x:row r="96">
      <x:c r="A96" s="271" t="n"/>
      <x:c r="B96" s="271" t="n"/>
      <x:c r="C96" s="271" t="n"/>
      <x:c r="D96" s="271" t="n"/>
      <x:c r="E96" s="271" t="n"/>
      <x:c r="F96" s="271" t="n"/>
      <x:c r="G96" s="271" t="n"/>
      <x:c r="H96" s="271" t="n"/>
      <x:c r="I96" s="271" t="n"/>
      <x:c r="J96" s="271" t="n"/>
    </x:row>
    <x:row r="97">
      <x:c r="A97" s="271" t="n"/>
      <x:c r="B97" s="271" t="n"/>
      <x:c r="C97" s="271" t="n"/>
      <x:c r="D97" s="271" t="n"/>
      <x:c r="E97" s="271" t="n"/>
      <x:c r="F97" s="271" t="n"/>
      <x:c r="G97" s="271" t="n"/>
      <x:c r="H97" s="271" t="n"/>
      <x:c r="I97" s="271" t="n"/>
      <x:c r="J97" s="271" t="n"/>
    </x:row>
    <x:row r="98">
      <x:c r="A98" s="271" t="n"/>
      <x:c r="B98" s="271" t="n"/>
      <x:c r="C98" s="271" t="n"/>
      <x:c r="D98" s="271" t="n"/>
      <x:c r="E98" s="271" t="n"/>
      <x:c r="F98" s="271" t="n"/>
      <x:c r="G98" s="271" t="n"/>
      <x:c r="H98" s="271" t="n"/>
      <x:c r="I98" s="271" t="n"/>
      <x:c r="J98" s="271" t="n"/>
    </x:row>
    <x:row r="99">
      <x:c r="A99" s="271" t="n"/>
      <x:c r="B99" s="271" t="n"/>
      <x:c r="C99" s="271" t="n"/>
      <x:c r="D99" s="271" t="n"/>
      <x:c r="E99" s="271" t="n"/>
      <x:c r="F99" s="271" t="n"/>
      <x:c r="G99" s="271" t="n"/>
      <x:c r="H99" s="271" t="n"/>
      <x:c r="I99" s="271" t="n"/>
      <x:c r="J99" s="271" t="n"/>
    </x:row>
    <x:row r="100">
      <x:c r="A100" s="271" t="n"/>
      <x:c r="B100" s="271" t="n"/>
      <x:c r="C100" s="271" t="n"/>
      <x:c r="D100" s="271" t="n"/>
      <x:c r="E100" s="271" t="n"/>
      <x:c r="F100" s="271" t="n"/>
      <x:c r="G100" s="271" t="n"/>
      <x:c r="H100" s="271" t="n"/>
      <x:c r="I100" s="271" t="n"/>
      <x:c r="J100" s="271" t="n"/>
    </x:row>
    <x:row r="101">
      <x:c r="A101" s="271" t="n"/>
      <x:c r="B101" s="271" t="n"/>
      <x:c r="C101" s="271" t="n"/>
      <x:c r="D101" s="271" t="n"/>
      <x:c r="E101" s="271" t="n"/>
      <x:c r="F101" s="271" t="n"/>
      <x:c r="G101" s="271" t="n"/>
      <x:c r="H101" s="271" t="n"/>
      <x:c r="I101" s="271" t="n"/>
      <x:c r="J101" s="271" t="n"/>
    </x:row>
    <x:row r="102">
      <x:c r="A102" s="271" t="n"/>
      <x:c r="B102" s="271" t="n"/>
      <x:c r="C102" s="271" t="n"/>
      <x:c r="D102" s="271" t="n"/>
      <x:c r="E102" s="271" t="n"/>
      <x:c r="F102" s="271" t="n"/>
      <x:c r="G102" s="271" t="n"/>
      <x:c r="H102" s="271" t="n"/>
      <x:c r="I102" s="271" t="n"/>
      <x:c r="J102" s="271" t="n"/>
    </x:row>
    <x:row r="103">
      <x:c r="A103" s="271" t="n"/>
      <x:c r="B103" s="271" t="n"/>
      <x:c r="C103" s="271" t="n"/>
      <x:c r="D103" s="271" t="n"/>
      <x:c r="E103" s="271" t="n"/>
      <x:c r="F103" s="271" t="n"/>
      <x:c r="G103" s="271" t="n"/>
      <x:c r="H103" s="271" t="n"/>
      <x:c r="I103" s="271" t="n"/>
      <x:c r="J103" s="271" t="n"/>
    </x:row>
    <x:row r="104">
      <x:c r="A104" s="271" t="n"/>
      <x:c r="B104" s="271" t="n"/>
      <x:c r="C104" s="271" t="n"/>
      <x:c r="D104" s="271" t="n"/>
      <x:c r="E104" s="271" t="n"/>
      <x:c r="F104" s="271" t="n"/>
      <x:c r="G104" s="271" t="n"/>
      <x:c r="H104" s="271" t="n"/>
      <x:c r="I104" s="271" t="n"/>
      <x:c r="J104" s="271" t="n"/>
    </x:row>
    <x:row r="105">
      <x:c r="A105" s="271" t="n"/>
      <x:c r="B105" s="271" t="n"/>
      <x:c r="C105" s="271" t="n"/>
      <x:c r="D105" s="271" t="n"/>
      <x:c r="E105" s="271" t="n"/>
      <x:c r="F105" s="271" t="n"/>
      <x:c r="G105" s="271" t="n"/>
      <x:c r="H105" s="271" t="n"/>
      <x:c r="I105" s="271" t="n"/>
      <x:c r="J105" s="271" t="n"/>
    </x:row>
    <x:row r="106">
      <x:c r="A106" s="271" t="n"/>
      <x:c r="B106" s="271" t="n"/>
      <x:c r="C106" s="271" t="n"/>
      <x:c r="D106" s="271" t="n"/>
      <x:c r="E106" s="271" t="n"/>
      <x:c r="F106" s="271" t="n"/>
      <x:c r="G106" s="271" t="n"/>
      <x:c r="H106" s="271" t="n"/>
      <x:c r="I106" s="271" t="n"/>
      <x:c r="J106" s="271" t="n"/>
    </x:row>
    <x:row r="107">
      <x:c r="A107" s="271" t="n"/>
      <x:c r="B107" s="271" t="n"/>
      <x:c r="C107" s="271" t="n"/>
      <x:c r="D107" s="271" t="n"/>
      <x:c r="E107" s="271" t="n"/>
      <x:c r="F107" s="271" t="n"/>
      <x:c r="G107" s="271" t="n"/>
      <x:c r="H107" s="271" t="n"/>
      <x:c r="I107" s="271" t="n"/>
      <x:c r="J107" s="271" t="n"/>
    </x:row>
    <x:row r="108">
      <x:c r="A108" s="271" t="n"/>
      <x:c r="B108" s="271" t="n"/>
      <x:c r="C108" s="271" t="n"/>
      <x:c r="D108" s="271" t="n"/>
      <x:c r="E108" s="271" t="n"/>
      <x:c r="F108" s="271" t="n"/>
      <x:c r="G108" s="271" t="n"/>
      <x:c r="H108" s="271" t="n"/>
      <x:c r="I108" s="271" t="n"/>
      <x:c r="J108" s="271" t="n"/>
    </x:row>
    <x:row r="109">
      <x:c r="A109" s="271" t="n"/>
      <x:c r="B109" s="271" t="n"/>
      <x:c r="C109" s="271" t="n"/>
      <x:c r="D109" s="271" t="n"/>
      <x:c r="E109" s="271" t="n"/>
      <x:c r="F109" s="271" t="n"/>
      <x:c r="G109" s="271" t="n"/>
      <x:c r="H109" s="271" t="n"/>
      <x:c r="I109" s="271" t="n"/>
      <x:c r="J109" s="271" t="n"/>
    </x:row>
    <x:row r="110">
      <x:c r="A110" s="271" t="n"/>
      <x:c r="B110" s="271" t="n"/>
      <x:c r="C110" s="271" t="n"/>
      <x:c r="D110" s="271" t="n"/>
      <x:c r="E110" s="271" t="n"/>
      <x:c r="F110" s="271" t="n"/>
      <x:c r="G110" s="271" t="n"/>
      <x:c r="H110" s="271" t="n"/>
      <x:c r="I110" s="271" t="n"/>
      <x:c r="J110" s="271" t="n"/>
    </x:row>
    <x:row r="111">
      <x:c r="A111" s="271" t="n"/>
      <x:c r="B111" s="271" t="n"/>
      <x:c r="C111" s="271" t="n"/>
      <x:c r="D111" s="271" t="n"/>
      <x:c r="E111" s="271" t="n"/>
      <x:c r="F111" s="271" t="n"/>
      <x:c r="G111" s="271" t="n"/>
      <x:c r="H111" s="271" t="n"/>
      <x:c r="I111" s="271" t="n"/>
      <x:c r="J111" s="271" t="n"/>
    </x:row>
    <x:row r="112">
      <x:c r="A112" s="271" t="n"/>
      <x:c r="B112" s="271" t="n"/>
      <x:c r="C112" s="271" t="n"/>
      <x:c r="D112" s="271" t="n"/>
      <x:c r="E112" s="271" t="n"/>
      <x:c r="F112" s="271" t="n"/>
      <x:c r="G112" s="271" t="n"/>
      <x:c r="H112" s="271" t="n"/>
      <x:c r="I112" s="271" t="n"/>
      <x:c r="J112" s="271" t="n"/>
    </x:row>
    <x:row r="113">
      <x:c r="A113" s="271" t="n"/>
      <x:c r="B113" s="271" t="n"/>
      <x:c r="C113" s="271" t="n"/>
      <x:c r="D113" s="271" t="n"/>
      <x:c r="E113" s="271" t="n"/>
      <x:c r="F113" s="271" t="n"/>
      <x:c r="G113" s="271" t="n"/>
      <x:c r="H113" s="271" t="n"/>
      <x:c r="I113" s="271" t="n"/>
      <x:c r="J113" s="271" t="n"/>
    </x:row>
    <x:row r="114">
      <x:c r="A114" s="271" t="n"/>
      <x:c r="B114" s="271" t="n"/>
      <x:c r="C114" s="271" t="n"/>
      <x:c r="D114" s="271" t="n"/>
      <x:c r="E114" s="271" t="n"/>
      <x:c r="F114" s="271" t="n"/>
      <x:c r="G114" s="271" t="n"/>
      <x:c r="H114" s="271" t="n"/>
      <x:c r="I114" s="271" t="n"/>
      <x:c r="J114" s="271" t="n"/>
    </x:row>
    <x:row r="115">
      <x:c r="A115" s="271" t="n"/>
      <x:c r="B115" s="271" t="n"/>
      <x:c r="C115" s="271" t="n"/>
      <x:c r="D115" s="271" t="n"/>
      <x:c r="E115" s="271" t="n"/>
      <x:c r="F115" s="271" t="n"/>
      <x:c r="G115" s="271" t="n"/>
      <x:c r="H115" s="271" t="n"/>
      <x:c r="I115" s="271" t="n"/>
      <x:c r="J115" s="271" t="n"/>
    </x:row>
    <x:row r="116">
      <x:c r="A116" s="271" t="n"/>
      <x:c r="B116" s="271" t="n"/>
      <x:c r="C116" s="271" t="n"/>
      <x:c r="D116" s="271" t="n"/>
      <x:c r="E116" s="271" t="n"/>
      <x:c r="F116" s="271" t="n"/>
      <x:c r="G116" s="271" t="n"/>
      <x:c r="H116" s="271" t="n"/>
      <x:c r="I116" s="271" t="n"/>
      <x:c r="J116" s="271" t="n"/>
    </x:row>
    <x:row r="117">
      <x:c r="A117" s="271" t="n"/>
      <x:c r="B117" s="271" t="n"/>
      <x:c r="C117" s="271" t="n"/>
      <x:c r="D117" s="271" t="n"/>
      <x:c r="E117" s="271" t="n"/>
      <x:c r="F117" s="271" t="n"/>
      <x:c r="G117" s="271" t="n"/>
      <x:c r="H117" s="271" t="n"/>
      <x:c r="I117" s="271" t="n"/>
      <x:c r="J117" s="271" t="n"/>
    </x:row>
    <x:row r="118">
      <x:c r="A118" s="271" t="n"/>
      <x:c r="B118" s="271" t="n"/>
      <x:c r="C118" s="271" t="n"/>
      <x:c r="D118" s="271" t="n"/>
      <x:c r="E118" s="271" t="n"/>
      <x:c r="F118" s="271" t="n"/>
      <x:c r="G118" s="271" t="n"/>
      <x:c r="H118" s="271" t="n"/>
      <x:c r="I118" s="271" t="n"/>
      <x:c r="J118" s="271" t="n"/>
    </x:row>
    <x:row r="119">
      <x:c r="A119" s="271" t="n"/>
      <x:c r="B119" s="271" t="n"/>
      <x:c r="C119" s="271" t="n"/>
      <x:c r="D119" s="271" t="n"/>
      <x:c r="E119" s="271" t="n"/>
      <x:c r="F119" s="271" t="n"/>
      <x:c r="G119" s="271" t="n"/>
      <x:c r="H119" s="271" t="n"/>
      <x:c r="I119" s="271" t="n"/>
      <x:c r="J119" s="271" t="n"/>
    </x:row>
    <x:row r="120">
      <x:c r="A120" s="271" t="n"/>
      <x:c r="B120" s="271" t="n"/>
      <x:c r="C120" s="271" t="n"/>
      <x:c r="D120" s="271" t="n"/>
      <x:c r="E120" s="271" t="n"/>
      <x:c r="F120" s="271" t="n"/>
      <x:c r="G120" s="271" t="n"/>
      <x:c r="H120" s="271" t="n"/>
      <x:c r="I120" s="271" t="n"/>
      <x:c r="J120" s="271" t="n"/>
    </x:row>
    <x:row r="121">
      <x:c r="A121" s="271" t="n"/>
      <x:c r="B121" s="271" t="n"/>
      <x:c r="C121" s="271" t="n"/>
      <x:c r="D121" s="271" t="n"/>
      <x:c r="E121" s="271" t="n"/>
      <x:c r="F121" s="271" t="n"/>
      <x:c r="G121" s="271" t="n"/>
      <x:c r="H121" s="271" t="n"/>
      <x:c r="I121" s="271" t="n"/>
      <x:c r="J121" s="271" t="n"/>
    </x:row>
    <x:row r="122">
      <x:c r="A122" s="271" t="n"/>
      <x:c r="B122" s="271" t="n"/>
      <x:c r="C122" s="271" t="n"/>
      <x:c r="D122" s="271" t="n"/>
      <x:c r="E122" s="271" t="n"/>
      <x:c r="F122" s="271" t="n"/>
      <x:c r="G122" s="271" t="n"/>
      <x:c r="H122" s="271" t="n"/>
      <x:c r="I122" s="271" t="n"/>
      <x:c r="J122" s="271" t="n"/>
    </x:row>
    <x:row r="123">
      <x:c r="A123" s="271" t="n"/>
      <x:c r="B123" s="271" t="n"/>
      <x:c r="C123" s="271" t="n"/>
      <x:c r="D123" s="271" t="n"/>
      <x:c r="E123" s="271" t="n"/>
      <x:c r="F123" s="271" t="n"/>
      <x:c r="G123" s="271" t="n"/>
      <x:c r="H123" s="271" t="n"/>
      <x:c r="I123" s="271" t="n"/>
      <x:c r="J123" s="271" t="n"/>
    </x:row>
    <x:row r="124">
      <x:c r="A124" s="271" t="n"/>
      <x:c r="B124" s="271" t="n"/>
      <x:c r="C124" s="271" t="n"/>
      <x:c r="D124" s="271" t="n"/>
      <x:c r="E124" s="271" t="n"/>
      <x:c r="F124" s="271" t="n"/>
      <x:c r="G124" s="271" t="n"/>
      <x:c r="H124" s="271" t="n"/>
      <x:c r="I124" s="271" t="n"/>
      <x:c r="J124" s="271" t="n"/>
    </x:row>
    <x:row r="125">
      <x:c r="A125" s="271" t="n"/>
      <x:c r="B125" s="271" t="n"/>
      <x:c r="C125" s="271" t="n"/>
      <x:c r="D125" s="271" t="n"/>
      <x:c r="E125" s="271" t="n"/>
      <x:c r="F125" s="271" t="n"/>
      <x:c r="G125" s="271" t="n"/>
      <x:c r="H125" s="271" t="n"/>
      <x:c r="I125" s="271" t="n"/>
      <x:c r="J125" s="271" t="n"/>
    </x:row>
    <x:row r="126">
      <x:c r="A126" s="271" t="n"/>
      <x:c r="B126" s="271" t="n"/>
      <x:c r="C126" s="271" t="n"/>
      <x:c r="D126" s="271" t="n"/>
      <x:c r="E126" s="271" t="n"/>
      <x:c r="F126" s="271" t="n"/>
      <x:c r="G126" s="271" t="n"/>
      <x:c r="H126" s="271" t="n"/>
      <x:c r="I126" s="271" t="n"/>
      <x:c r="J126" s="271" t="n"/>
    </x:row>
    <x:row r="127">
      <x:c r="A127" s="271" t="n"/>
      <x:c r="B127" s="271" t="n"/>
      <x:c r="C127" s="271" t="n"/>
      <x:c r="D127" s="271" t="n"/>
      <x:c r="E127" s="271" t="n"/>
      <x:c r="F127" s="271" t="n"/>
      <x:c r="G127" s="271" t="n"/>
      <x:c r="H127" s="271" t="n"/>
      <x:c r="I127" s="271" t="n"/>
      <x:c r="J127" s="271" t="n"/>
    </x:row>
    <x:row r="128">
      <x:c r="A128" s="271" t="n"/>
      <x:c r="B128" s="271" t="n"/>
      <x:c r="C128" s="271" t="n"/>
      <x:c r="D128" s="271" t="n"/>
      <x:c r="E128" s="271" t="n"/>
      <x:c r="F128" s="271" t="n"/>
      <x:c r="G128" s="271" t="n"/>
      <x:c r="H128" s="271" t="n"/>
      <x:c r="I128" s="271" t="n"/>
      <x:c r="J128" s="271" t="n"/>
    </x:row>
    <x:row r="129">
      <x:c r="A129" s="271" t="n"/>
      <x:c r="B129" s="271" t="n"/>
      <x:c r="C129" s="271" t="n"/>
      <x:c r="D129" s="271" t="n"/>
      <x:c r="E129" s="271" t="n"/>
      <x:c r="F129" s="271" t="n"/>
      <x:c r="G129" s="271" t="n"/>
      <x:c r="H129" s="271" t="n"/>
      <x:c r="I129" s="271" t="n"/>
      <x:c r="J129" s="271" t="n"/>
    </x:row>
    <x:row r="130">
      <x:c r="A130" s="271" t="n"/>
      <x:c r="B130" s="271" t="n"/>
      <x:c r="C130" s="271" t="n"/>
      <x:c r="D130" s="271" t="n"/>
      <x:c r="E130" s="271" t="n"/>
      <x:c r="F130" s="271" t="n"/>
      <x:c r="G130" s="271" t="n"/>
      <x:c r="H130" s="271" t="n"/>
      <x:c r="I130" s="271" t="n"/>
      <x:c r="J130" s="271" t="n"/>
    </x:row>
    <x:row r="131">
      <x:c r="A131" s="271" t="n"/>
      <x:c r="B131" s="271" t="n"/>
      <x:c r="C131" s="271" t="n"/>
      <x:c r="D131" s="271" t="n"/>
      <x:c r="E131" s="271" t="n"/>
      <x:c r="F131" s="271" t="n"/>
      <x:c r="G131" s="271" t="n"/>
      <x:c r="H131" s="271" t="n"/>
      <x:c r="I131" s="271" t="n"/>
      <x:c r="J131" s="271" t="n"/>
    </x:row>
    <x:row r="132">
      <x:c r="A132" s="271" t="n"/>
      <x:c r="B132" s="271" t="n"/>
      <x:c r="C132" s="271" t="n"/>
      <x:c r="D132" s="271" t="n"/>
      <x:c r="E132" s="271" t="n"/>
      <x:c r="F132" s="271" t="n"/>
      <x:c r="G132" s="271" t="n"/>
      <x:c r="H132" s="271" t="n"/>
      <x:c r="I132" s="271" t="n"/>
      <x:c r="J132" s="271" t="n"/>
    </x:row>
    <x:row r="133">
      <x:c r="A133" s="271" t="n"/>
      <x:c r="B133" s="271" t="n"/>
      <x:c r="C133" s="271" t="n"/>
      <x:c r="D133" s="271" t="n"/>
      <x:c r="E133" s="271" t="n"/>
      <x:c r="F133" s="271" t="n"/>
      <x:c r="G133" s="271" t="n"/>
      <x:c r="H133" s="271" t="n"/>
      <x:c r="I133" s="271" t="n"/>
      <x:c r="J133" s="271" t="n"/>
    </x:row>
    <x:row r="134">
      <x:c r="A134" s="271" t="n"/>
      <x:c r="B134" s="271" t="n"/>
      <x:c r="C134" s="271" t="n"/>
      <x:c r="D134" s="271" t="n"/>
      <x:c r="E134" s="271" t="n"/>
      <x:c r="F134" s="271" t="n"/>
      <x:c r="G134" s="271" t="n"/>
      <x:c r="H134" s="271" t="n"/>
      <x:c r="I134" s="271" t="n"/>
      <x:c r="J134" s="271" t="n"/>
    </x:row>
    <x:row r="135">
      <x:c r="A135" s="271" t="n"/>
      <x:c r="B135" s="271" t="n"/>
      <x:c r="C135" s="271" t="n"/>
      <x:c r="D135" s="271" t="n"/>
      <x:c r="E135" s="271" t="n"/>
      <x:c r="F135" s="271" t="n"/>
      <x:c r="G135" s="271" t="n"/>
      <x:c r="H135" s="271" t="n"/>
      <x:c r="I135" s="271" t="n"/>
      <x:c r="J135" s="271" t="n"/>
    </x:row>
    <x:row r="136">
      <x:c r="A136" s="271" t="n"/>
      <x:c r="B136" s="271" t="n"/>
      <x:c r="C136" s="271" t="n"/>
      <x:c r="D136" s="271" t="n"/>
      <x:c r="E136" s="271" t="n"/>
      <x:c r="F136" s="271" t="n"/>
      <x:c r="G136" s="271" t="n"/>
      <x:c r="H136" s="271" t="n"/>
      <x:c r="I136" s="271" t="n"/>
      <x:c r="J136" s="271" t="n"/>
    </x:row>
    <x:row r="137">
      <x:c r="A137" s="271" t="n"/>
      <x:c r="B137" s="271" t="n"/>
      <x:c r="C137" s="271" t="n"/>
      <x:c r="D137" s="271" t="n"/>
      <x:c r="E137" s="271" t="n"/>
      <x:c r="F137" s="271" t="n"/>
      <x:c r="G137" s="271" t="n"/>
      <x:c r="H137" s="271" t="n"/>
      <x:c r="I137" s="271" t="n"/>
      <x:c r="J137" s="271" t="n"/>
    </x:row>
    <x:row r="138">
      <x:c r="A138" s="271" t="n"/>
      <x:c r="B138" s="271" t="n"/>
      <x:c r="C138" s="271" t="n"/>
      <x:c r="D138" s="271" t="n"/>
      <x:c r="E138" s="271" t="n"/>
      <x:c r="F138" s="271" t="n"/>
      <x:c r="G138" s="271" t="n"/>
      <x:c r="H138" s="271" t="n"/>
      <x:c r="I138" s="271" t="n"/>
      <x:c r="J138" s="271" t="n"/>
    </x:row>
    <x:row r="139">
      <x:c r="A139" s="271" t="n"/>
      <x:c r="B139" s="271" t="n"/>
      <x:c r="C139" s="271" t="n"/>
      <x:c r="D139" s="271" t="n"/>
      <x:c r="E139" s="271" t="n"/>
      <x:c r="F139" s="271" t="n"/>
      <x:c r="G139" s="271" t="n"/>
      <x:c r="H139" s="271" t="n"/>
      <x:c r="I139" s="271" t="n"/>
      <x:c r="J139" s="271" t="n"/>
    </x:row>
    <x:row r="140">
      <x:c r="A140" s="271" t="n"/>
      <x:c r="B140" s="271" t="n"/>
      <x:c r="C140" s="271" t="n"/>
      <x:c r="D140" s="271" t="n"/>
      <x:c r="E140" s="271" t="n"/>
      <x:c r="F140" s="271" t="n"/>
      <x:c r="G140" s="271" t="n"/>
      <x:c r="H140" s="271" t="n"/>
      <x:c r="I140" s="271" t="n"/>
      <x:c r="J140" s="271" t="n"/>
    </x:row>
    <x:row r="141">
      <x:c r="A141" s="271" t="n"/>
      <x:c r="B141" s="271" t="n"/>
      <x:c r="C141" s="271" t="n"/>
      <x:c r="D141" s="271" t="n"/>
      <x:c r="E141" s="271" t="n"/>
      <x:c r="F141" s="271" t="n"/>
      <x:c r="G141" s="271" t="n"/>
      <x:c r="H141" s="271" t="n"/>
      <x:c r="I141" s="271" t="n"/>
      <x:c r="J141" s="271" t="n"/>
    </x:row>
    <x:row r="142">
      <x:c r="A142" s="271" t="n"/>
      <x:c r="B142" s="271" t="n"/>
      <x:c r="C142" s="271" t="n"/>
      <x:c r="D142" s="271" t="n"/>
      <x:c r="E142" s="271" t="n"/>
      <x:c r="F142" s="271" t="n"/>
      <x:c r="G142" s="271" t="n"/>
      <x:c r="H142" s="271" t="n"/>
      <x:c r="I142" s="271" t="n"/>
      <x:c r="J142" s="271" t="n"/>
    </x:row>
    <x:row r="143">
      <x:c r="A143" s="271" t="n"/>
      <x:c r="B143" s="271" t="n"/>
      <x:c r="C143" s="271" t="n"/>
      <x:c r="D143" s="271" t="n"/>
      <x:c r="E143" s="271" t="n"/>
      <x:c r="F143" s="271" t="n"/>
      <x:c r="G143" s="271" t="n"/>
      <x:c r="H143" s="271" t="n"/>
      <x:c r="I143" s="271" t="n"/>
      <x:c r="J143" s="271" t="n"/>
    </x:row>
    <x:row r="144">
      <x:c r="A144" s="271" t="n"/>
      <x:c r="B144" s="271" t="n"/>
      <x:c r="C144" s="271" t="n"/>
      <x:c r="D144" s="271" t="n"/>
      <x:c r="E144" s="271" t="n"/>
      <x:c r="F144" s="271" t="n"/>
      <x:c r="G144" s="271" t="n"/>
      <x:c r="H144" s="271" t="n"/>
      <x:c r="I144" s="271" t="n"/>
      <x:c r="J144" s="271" t="n"/>
    </x:row>
    <x:row r="145">
      <x:c r="A145" s="271" t="n"/>
      <x:c r="B145" s="271" t="n"/>
      <x:c r="C145" s="271" t="n"/>
      <x:c r="D145" s="271" t="n"/>
      <x:c r="E145" s="271" t="n"/>
      <x:c r="F145" s="271" t="n"/>
      <x:c r="G145" s="271" t="n"/>
      <x:c r="H145" s="271" t="n"/>
      <x:c r="I145" s="271" t="n"/>
      <x:c r="J145" s="271" t="n"/>
    </x:row>
    <x:row r="146">
      <x:c r="A146" s="271" t="n"/>
      <x:c r="B146" s="271" t="n"/>
      <x:c r="C146" s="271" t="n"/>
      <x:c r="D146" s="271" t="n"/>
      <x:c r="E146" s="271" t="n"/>
      <x:c r="F146" s="271" t="n"/>
      <x:c r="G146" s="271" t="n"/>
      <x:c r="H146" s="271" t="n"/>
      <x:c r="I146" s="271" t="n"/>
      <x:c r="J146" s="271" t="n"/>
    </x:row>
    <x:row r="147">
      <x:c r="A147" s="271" t="n"/>
      <x:c r="B147" s="271" t="n"/>
      <x:c r="C147" s="271" t="n"/>
      <x:c r="D147" s="271" t="n"/>
      <x:c r="E147" s="271" t="n"/>
      <x:c r="F147" s="271" t="n"/>
      <x:c r="G147" s="271" t="n"/>
      <x:c r="H147" s="271" t="n"/>
      <x:c r="I147" s="271" t="n"/>
      <x:c r="J147" s="271" t="n"/>
    </x:row>
    <x:row r="148">
      <x:c r="A148" s="271" t="n"/>
      <x:c r="B148" s="271" t="n"/>
      <x:c r="C148" s="271" t="n"/>
      <x:c r="D148" s="271" t="n"/>
      <x:c r="E148" s="271" t="n"/>
      <x:c r="F148" s="271" t="n"/>
      <x:c r="G148" s="271" t="n"/>
      <x:c r="H148" s="271" t="n"/>
      <x:c r="I148" s="271" t="n"/>
      <x:c r="J148" s="271" t="n"/>
    </x:row>
    <x:row r="149">
      <x:c r="A149" s="271" t="n"/>
      <x:c r="B149" s="271" t="n"/>
      <x:c r="C149" s="271" t="n"/>
      <x:c r="D149" s="271" t="n"/>
      <x:c r="E149" s="271" t="n"/>
      <x:c r="F149" s="271" t="n"/>
      <x:c r="G149" s="271" t="n"/>
      <x:c r="H149" s="271" t="n"/>
      <x:c r="I149" s="271" t="n"/>
      <x:c r="J149" s="271" t="n"/>
    </x:row>
    <x:row r="150">
      <x:c r="A150" s="271" t="n"/>
      <x:c r="B150" s="271" t="n"/>
      <x:c r="C150" s="271" t="n"/>
      <x:c r="D150" s="271" t="n"/>
      <x:c r="E150" s="271" t="n"/>
      <x:c r="F150" s="271" t="n"/>
      <x:c r="G150" s="271" t="n"/>
      <x:c r="H150" s="271" t="n"/>
      <x:c r="I150" s="271" t="n"/>
      <x:c r="J150" s="271" t="n"/>
    </x:row>
    <x:row r="151">
      <x:c r="A151" s="271" t="n"/>
      <x:c r="B151" s="271" t="n"/>
      <x:c r="C151" s="271" t="n"/>
      <x:c r="D151" s="271" t="n"/>
      <x:c r="E151" s="271" t="n"/>
      <x:c r="F151" s="271" t="n"/>
      <x:c r="G151" s="271" t="n"/>
      <x:c r="H151" s="271" t="n"/>
      <x:c r="I151" s="271" t="n"/>
      <x:c r="J151" s="271" t="n"/>
    </x:row>
    <x:row r="152">
      <x:c r="A152" s="271" t="n"/>
      <x:c r="B152" s="271" t="n"/>
      <x:c r="C152" s="271" t="n"/>
      <x:c r="D152" s="271" t="n"/>
      <x:c r="E152" s="271" t="n"/>
      <x:c r="F152" s="271" t="n"/>
      <x:c r="G152" s="271" t="n"/>
      <x:c r="H152" s="271" t="n"/>
      <x:c r="I152" s="271" t="n"/>
      <x:c r="J152" s="271" t="n"/>
    </x:row>
    <x:row r="153">
      <x:c r="A153" s="271" t="n"/>
      <x:c r="B153" s="271" t="n"/>
      <x:c r="C153" s="271" t="n"/>
      <x:c r="D153" s="271" t="n"/>
      <x:c r="E153" s="271" t="n"/>
      <x:c r="F153" s="271" t="n"/>
      <x:c r="G153" s="271" t="n"/>
      <x:c r="H153" s="271" t="n"/>
      <x:c r="I153" s="271" t="n"/>
      <x:c r="J153" s="271" t="n"/>
    </x:row>
    <x:row r="154">
      <x:c r="A154" s="271" t="n"/>
      <x:c r="B154" s="271" t="n"/>
      <x:c r="C154" s="271" t="n"/>
      <x:c r="D154" s="271" t="n"/>
      <x:c r="E154" s="271" t="n"/>
      <x:c r="F154" s="271" t="n"/>
      <x:c r="G154" s="271" t="n"/>
      <x:c r="H154" s="271" t="n"/>
      <x:c r="I154" s="271" t="n"/>
      <x:c r="J154" s="271" t="n"/>
    </x:row>
    <x:row r="155">
      <x:c r="A155" s="271" t="n"/>
      <x:c r="B155" s="271" t="n"/>
      <x:c r="C155" s="271" t="n"/>
      <x:c r="D155" s="271" t="n"/>
      <x:c r="E155" s="271" t="n"/>
      <x:c r="F155" s="271" t="n"/>
      <x:c r="G155" s="271" t="n"/>
      <x:c r="H155" s="271" t="n"/>
      <x:c r="I155" s="271" t="n"/>
      <x:c r="J155" s="271" t="n"/>
    </x:row>
    <x:row r="156">
      <x:c r="A156" s="271" t="n"/>
      <x:c r="B156" s="271" t="n"/>
      <x:c r="C156" s="271" t="n"/>
      <x:c r="D156" s="271" t="n"/>
      <x:c r="E156" s="271" t="n"/>
      <x:c r="F156" s="271" t="n"/>
      <x:c r="G156" s="271" t="n"/>
      <x:c r="H156" s="271" t="n"/>
      <x:c r="I156" s="271" t="n"/>
      <x:c r="J156" s="271" t="n"/>
    </x:row>
    <x:row r="157">
      <x:c r="A157" s="271" t="n"/>
      <x:c r="B157" s="271" t="n"/>
      <x:c r="C157" s="271" t="n"/>
      <x:c r="D157" s="271" t="n"/>
      <x:c r="E157" s="271" t="n"/>
      <x:c r="F157" s="271" t="n"/>
      <x:c r="G157" s="271" t="n"/>
      <x:c r="H157" s="271" t="n"/>
      <x:c r="I157" s="271" t="n"/>
      <x:c r="J157" s="271" t="n"/>
    </x:row>
    <x:row r="158">
      <x:c r="A158" s="271" t="n"/>
      <x:c r="B158" s="271" t="n"/>
      <x:c r="C158" s="271" t="n"/>
      <x:c r="D158" s="271" t="n"/>
      <x:c r="E158" s="271" t="n"/>
      <x:c r="F158" s="271" t="n"/>
      <x:c r="G158" s="271" t="n"/>
      <x:c r="H158" s="271" t="n"/>
      <x:c r="I158" s="271" t="n"/>
      <x:c r="J158" s="271" t="n"/>
    </x:row>
    <x:row r="159">
      <x:c r="A159" s="271" t="n"/>
      <x:c r="B159" s="271" t="n"/>
      <x:c r="C159" s="271" t="n"/>
      <x:c r="D159" s="271" t="n"/>
      <x:c r="E159" s="271" t="n"/>
      <x:c r="F159" s="271" t="n"/>
      <x:c r="G159" s="271" t="n"/>
      <x:c r="H159" s="271" t="n"/>
      <x:c r="I159" s="271" t="n"/>
      <x:c r="J159" s="271" t="n"/>
    </x:row>
    <x:row r="160">
      <x:c r="A160" s="271" t="n"/>
      <x:c r="B160" s="271" t="n"/>
      <x:c r="C160" s="271" t="n"/>
      <x:c r="D160" s="271" t="n"/>
      <x:c r="E160" s="271" t="n"/>
      <x:c r="F160" s="271" t="n"/>
      <x:c r="G160" s="271" t="n"/>
      <x:c r="H160" s="271" t="n"/>
      <x:c r="I160" s="271" t="n"/>
      <x:c r="J160" s="271" t="n"/>
    </x:row>
    <x:row r="161">
      <x:c r="A161" s="271" t="n"/>
      <x:c r="B161" s="271" t="n"/>
      <x:c r="C161" s="271" t="n"/>
      <x:c r="D161" s="271" t="n"/>
      <x:c r="E161" s="271" t="n"/>
      <x:c r="F161" s="271" t="n"/>
      <x:c r="G161" s="271" t="n"/>
      <x:c r="H161" s="271" t="n"/>
      <x:c r="I161" s="271" t="n"/>
      <x:c r="J161" s="271" t="n"/>
    </x:row>
    <x:row r="162">
      <x:c r="A162" s="271" t="n"/>
      <x:c r="B162" s="271" t="n"/>
      <x:c r="C162" s="271" t="n"/>
      <x:c r="D162" s="271" t="n"/>
      <x:c r="E162" s="271" t="n"/>
      <x:c r="F162" s="271" t="n"/>
      <x:c r="G162" s="271" t="n"/>
      <x:c r="H162" s="271" t="n"/>
      <x:c r="I162" s="271" t="n"/>
      <x:c r="J162" s="271" t="n"/>
    </x:row>
    <x:row r="163">
      <x:c r="A163" s="271" t="n"/>
      <x:c r="B163" s="271" t="n"/>
      <x:c r="C163" s="271" t="n"/>
      <x:c r="D163" s="271" t="n"/>
      <x:c r="E163" s="271" t="n"/>
      <x:c r="F163" s="271" t="n"/>
      <x:c r="G163" s="271" t="n"/>
      <x:c r="H163" s="271" t="n"/>
      <x:c r="I163" s="271" t="n"/>
      <x:c r="J163" s="271" t="n"/>
    </x:row>
    <x:row r="164">
      <x:c r="A164" s="271" t="n"/>
      <x:c r="B164" s="271" t="n"/>
      <x:c r="C164" s="271" t="n"/>
      <x:c r="D164" s="271" t="n"/>
      <x:c r="E164" s="271" t="n"/>
      <x:c r="F164" s="271" t="n"/>
      <x:c r="G164" s="271" t="n"/>
      <x:c r="H164" s="271" t="n"/>
      <x:c r="I164" s="271" t="n"/>
      <x:c r="J164" s="271" t="n"/>
    </x:row>
    <x:row r="165">
      <x:c r="A165" s="271" t="n"/>
      <x:c r="B165" s="271" t="n"/>
      <x:c r="C165" s="271" t="n"/>
      <x:c r="D165" s="271" t="n"/>
      <x:c r="E165" s="271" t="n"/>
      <x:c r="F165" s="271" t="n"/>
      <x:c r="G165" s="271" t="n"/>
      <x:c r="H165" s="271" t="n"/>
      <x:c r="I165" s="271" t="n"/>
      <x:c r="J165" s="271" t="n"/>
    </x:row>
    <x:row r="166">
      <x:c r="A166" s="271" t="n"/>
      <x:c r="B166" s="271" t="n"/>
      <x:c r="C166" s="271" t="n"/>
      <x:c r="D166" s="271" t="n"/>
      <x:c r="E166" s="271" t="n"/>
      <x:c r="F166" s="271" t="n"/>
      <x:c r="G166" s="271" t="n"/>
      <x:c r="H166" s="271" t="n"/>
      <x:c r="I166" s="271" t="n"/>
      <x:c r="J166" s="271" t="n"/>
    </x:row>
    <x:row r="167">
      <x:c r="A167" s="271" t="n"/>
      <x:c r="B167" s="271" t="n"/>
      <x:c r="C167" s="271" t="n"/>
      <x:c r="D167" s="271" t="n"/>
      <x:c r="E167" s="271" t="n"/>
      <x:c r="F167" s="271" t="n"/>
      <x:c r="G167" s="271" t="n"/>
      <x:c r="H167" s="271" t="n"/>
      <x:c r="I167" s="271" t="n"/>
      <x:c r="J167" s="271" t="n"/>
    </x:row>
    <x:row r="168">
      <x:c r="A168" s="271" t="n"/>
      <x:c r="B168" s="271" t="n"/>
      <x:c r="C168" s="271" t="n"/>
      <x:c r="D168" s="271" t="n"/>
      <x:c r="E168" s="271" t="n"/>
      <x:c r="F168" s="271" t="n"/>
      <x:c r="G168" s="271" t="n"/>
      <x:c r="H168" s="271" t="n"/>
      <x:c r="I168" s="271" t="n"/>
      <x:c r="J168" s="271" t="n"/>
    </x:row>
    <x:row r="169">
      <x:c r="A169" s="271" t="n"/>
      <x:c r="B169" s="271" t="n"/>
      <x:c r="C169" s="271" t="n"/>
      <x:c r="D169" s="271" t="n"/>
      <x:c r="E169" s="271" t="n"/>
      <x:c r="F169" s="271" t="n"/>
      <x:c r="G169" s="271" t="n"/>
      <x:c r="H169" s="271" t="n"/>
      <x:c r="I169" s="271" t="n"/>
      <x:c r="J169" s="271" t="n"/>
    </x:row>
    <x:row r="170">
      <x:c r="A170" s="271" t="n"/>
      <x:c r="B170" s="271" t="n"/>
      <x:c r="C170" s="271" t="n"/>
      <x:c r="D170" s="271" t="n"/>
      <x:c r="E170" s="271" t="n"/>
      <x:c r="F170" s="271" t="n"/>
      <x:c r="G170" s="271" t="n"/>
      <x:c r="H170" s="271" t="n"/>
      <x:c r="I170" s="271" t="n"/>
      <x:c r="J170" s="271" t="n"/>
    </x:row>
    <x:row r="171">
      <x:c r="A171" s="271" t="n"/>
      <x:c r="B171" s="271" t="n"/>
      <x:c r="C171" s="271" t="n"/>
      <x:c r="D171" s="271" t="n"/>
      <x:c r="E171" s="271" t="n"/>
      <x:c r="F171" s="271" t="n"/>
      <x:c r="G171" s="271" t="n"/>
      <x:c r="H171" s="271" t="n"/>
      <x:c r="I171" s="271" t="n"/>
      <x:c r="J171" s="271" t="n"/>
    </x:row>
    <x:row r="172">
      <x:c r="A172" s="271" t="n"/>
      <x:c r="B172" s="271" t="n"/>
      <x:c r="C172" s="271" t="n"/>
      <x:c r="D172" s="271" t="n"/>
      <x:c r="E172" s="271" t="n"/>
      <x:c r="F172" s="271" t="n"/>
      <x:c r="G172" s="271" t="n"/>
      <x:c r="H172" s="271" t="n"/>
      <x:c r="I172" s="271" t="n"/>
      <x:c r="J172" s="271" t="n"/>
    </x:row>
    <x:row r="173">
      <x:c r="A173" s="271" t="n"/>
      <x:c r="B173" s="271" t="n"/>
      <x:c r="C173" s="271" t="n"/>
      <x:c r="D173" s="271" t="n"/>
      <x:c r="E173" s="271" t="n"/>
      <x:c r="F173" s="271" t="n"/>
      <x:c r="G173" s="271" t="n"/>
      <x:c r="H173" s="271" t="n"/>
      <x:c r="I173" s="271" t="n"/>
      <x:c r="J173" s="271" t="n"/>
    </x:row>
    <x:row r="174">
      <x:c r="A174" s="271" t="n"/>
      <x:c r="B174" s="271" t="n"/>
      <x:c r="C174" s="271" t="n"/>
      <x:c r="D174" s="271" t="n"/>
      <x:c r="E174" s="271" t="n"/>
      <x:c r="F174" s="271" t="n"/>
      <x:c r="G174" s="271" t="n"/>
      <x:c r="H174" s="271" t="n"/>
      <x:c r="I174" s="271" t="n"/>
      <x:c r="J174" s="271" t="n"/>
    </x:row>
    <x:row r="175">
      <x:c r="A175" s="271" t="n"/>
      <x:c r="B175" s="271" t="n"/>
      <x:c r="C175" s="271" t="n"/>
      <x:c r="D175" s="271" t="n"/>
      <x:c r="E175" s="271" t="n"/>
      <x:c r="F175" s="271" t="n"/>
      <x:c r="G175" s="271" t="n"/>
      <x:c r="H175" s="271" t="n"/>
      <x:c r="I175" s="271" t="n"/>
      <x:c r="J175" s="271" t="n"/>
    </x:row>
    <x:row r="176">
      <x:c r="A176" s="271" t="n"/>
      <x:c r="B176" s="271" t="n"/>
      <x:c r="C176" s="271" t="n"/>
      <x:c r="D176" s="271" t="n"/>
      <x:c r="E176" s="271" t="n"/>
      <x:c r="F176" s="271" t="n"/>
      <x:c r="G176" s="271" t="n"/>
      <x:c r="H176" s="271" t="n"/>
      <x:c r="I176" s="271" t="n"/>
      <x:c r="J176" s="271" t="n"/>
    </x:row>
    <x:row r="177">
      <x:c r="A177" s="271" t="n"/>
      <x:c r="B177" s="271" t="n"/>
      <x:c r="C177" s="271" t="n"/>
      <x:c r="D177" s="271" t="n"/>
      <x:c r="E177" s="271" t="n"/>
      <x:c r="F177" s="271" t="n"/>
      <x:c r="G177" s="271" t="n"/>
      <x:c r="H177" s="271" t="n"/>
      <x:c r="I177" s="271" t="n"/>
      <x:c r="J177" s="271" t="n"/>
    </x:row>
    <x:row r="178">
      <x:c r="A178" s="271" t="n"/>
      <x:c r="B178" s="271" t="n"/>
      <x:c r="C178" s="271" t="n"/>
      <x:c r="D178" s="271" t="n"/>
      <x:c r="E178" s="271" t="n"/>
      <x:c r="F178" s="271" t="n"/>
      <x:c r="G178" s="271" t="n"/>
      <x:c r="H178" s="271" t="n"/>
      <x:c r="I178" s="271" t="n"/>
      <x:c r="J178" s="271" t="n"/>
    </x:row>
    <x:row r="179">
      <x:c r="A179" s="271" t="n"/>
      <x:c r="B179" s="271" t="n"/>
      <x:c r="C179" s="271" t="n"/>
      <x:c r="D179" s="271" t="n"/>
      <x:c r="E179" s="271" t="n"/>
      <x:c r="F179" s="271" t="n"/>
      <x:c r="G179" s="271" t="n"/>
      <x:c r="H179" s="271" t="n"/>
      <x:c r="I179" s="271" t="n"/>
      <x:c r="J179" s="271" t="n"/>
    </x:row>
    <x:row r="180">
      <x:c r="A180" s="271" t="n"/>
      <x:c r="B180" s="271" t="n"/>
      <x:c r="C180" s="271" t="n"/>
      <x:c r="D180" s="271" t="n"/>
      <x:c r="E180" s="271" t="n"/>
      <x:c r="F180" s="271" t="n"/>
      <x:c r="G180" s="271" t="n"/>
      <x:c r="H180" s="271" t="n"/>
      <x:c r="I180" s="271" t="n"/>
      <x:c r="J180" s="271" t="n"/>
    </x:row>
    <x:row r="181">
      <x:c r="A181" s="271" t="n"/>
      <x:c r="B181" s="271" t="n"/>
      <x:c r="C181" s="271" t="n"/>
      <x:c r="D181" s="271" t="n"/>
      <x:c r="E181" s="271" t="n"/>
      <x:c r="F181" s="271" t="n"/>
      <x:c r="G181" s="271" t="n"/>
      <x:c r="H181" s="271" t="n"/>
      <x:c r="I181" s="271" t="n"/>
      <x:c r="J181" s="271" t="n"/>
    </x:row>
    <x:row r="182">
      <x:c r="A182" s="271" t="n"/>
      <x:c r="B182" s="271" t="n"/>
      <x:c r="C182" s="271" t="n"/>
      <x:c r="D182" s="271" t="n"/>
      <x:c r="E182" s="271" t="n"/>
      <x:c r="F182" s="271" t="n"/>
      <x:c r="G182" s="271" t="n"/>
      <x:c r="H182" s="271" t="n"/>
      <x:c r="I182" s="271" t="n"/>
      <x:c r="J182" s="271" t="n"/>
    </x:row>
    <x:row r="183">
      <x:c r="A183" s="271" t="n"/>
      <x:c r="B183" s="271" t="n"/>
      <x:c r="C183" s="271" t="n"/>
      <x:c r="D183" s="271" t="n"/>
      <x:c r="E183" s="271" t="n"/>
      <x:c r="F183" s="271" t="n"/>
      <x:c r="G183" s="271" t="n"/>
      <x:c r="H183" s="271" t="n"/>
      <x:c r="I183" s="271" t="n"/>
      <x:c r="J183" s="271" t="n"/>
    </x:row>
    <x:row r="184">
      <x:c r="A184" s="271" t="n"/>
      <x:c r="B184" s="271" t="n"/>
      <x:c r="C184" s="271" t="n"/>
      <x:c r="D184" s="271" t="n"/>
      <x:c r="E184" s="271" t="n"/>
      <x:c r="F184" s="271" t="n"/>
      <x:c r="G184" s="271" t="n"/>
      <x:c r="H184" s="271" t="n"/>
      <x:c r="I184" s="271" t="n"/>
      <x:c r="J184" s="271" t="n"/>
    </x:row>
    <x:row r="185">
      <x:c r="A185" s="271" t="n"/>
      <x:c r="B185" s="271" t="n"/>
      <x:c r="C185" s="271" t="n"/>
      <x:c r="D185" s="271" t="n"/>
      <x:c r="E185" s="271" t="n"/>
      <x:c r="F185" s="271" t="n"/>
      <x:c r="G185" s="271" t="n"/>
      <x:c r="H185" s="271" t="n"/>
      <x:c r="I185" s="271" t="n"/>
      <x:c r="J185" s="271" t="n"/>
    </x:row>
    <x:row r="186">
      <x:c r="A186" s="271" t="n"/>
      <x:c r="B186" s="271" t="n"/>
      <x:c r="C186" s="271" t="n"/>
      <x:c r="D186" s="271" t="n"/>
      <x:c r="E186" s="271" t="n"/>
      <x:c r="F186" s="271" t="n"/>
      <x:c r="G186" s="271" t="n"/>
      <x:c r="H186" s="271" t="n"/>
      <x:c r="I186" s="271" t="n"/>
      <x:c r="J186" s="271" t="n"/>
    </x:row>
    <x:row r="187">
      <x:c r="A187" s="271" t="n"/>
      <x:c r="B187" s="271" t="n"/>
      <x:c r="C187" s="271" t="n"/>
      <x:c r="D187" s="271" t="n"/>
      <x:c r="E187" s="271" t="n"/>
      <x:c r="F187" s="271" t="n"/>
      <x:c r="G187" s="271" t="n"/>
      <x:c r="H187" s="271" t="n"/>
      <x:c r="I187" s="271" t="n"/>
      <x:c r="J187" s="271" t="n"/>
    </x:row>
    <x:row r="188">
      <x:c r="A188" s="271" t="n"/>
      <x:c r="B188" s="271" t="n"/>
      <x:c r="C188" s="271" t="n"/>
      <x:c r="D188" s="271" t="n"/>
      <x:c r="E188" s="271" t="n"/>
      <x:c r="F188" s="271" t="n"/>
      <x:c r="G188" s="271" t="n"/>
      <x:c r="H188" s="271" t="n"/>
      <x:c r="I188" s="271" t="n"/>
      <x:c r="J188" s="271" t="n"/>
    </x:row>
    <x:row r="189">
      <x:c r="A189" s="271" t="n"/>
      <x:c r="B189" s="271" t="n"/>
      <x:c r="C189" s="271" t="n"/>
      <x:c r="D189" s="271" t="n"/>
      <x:c r="E189" s="271" t="n"/>
      <x:c r="F189" s="271" t="n"/>
      <x:c r="G189" s="271" t="n"/>
      <x:c r="H189" s="271" t="n"/>
      <x:c r="I189" s="271" t="n"/>
      <x:c r="J189" s="271" t="n"/>
    </x:row>
    <x:row r="190">
      <x:c r="A190" s="271" t="n"/>
      <x:c r="B190" s="271" t="n"/>
      <x:c r="C190" s="271" t="n"/>
      <x:c r="D190" s="271" t="n"/>
      <x:c r="E190" s="271" t="n"/>
      <x:c r="F190" s="271" t="n"/>
      <x:c r="G190" s="271" t="n"/>
      <x:c r="H190" s="271" t="n"/>
      <x:c r="I190" s="271" t="n"/>
      <x:c r="J190" s="271" t="n"/>
    </x:row>
    <x:row r="191">
      <x:c r="A191" s="271" t="n"/>
      <x:c r="B191" s="271" t="n"/>
      <x:c r="C191" s="271" t="n"/>
      <x:c r="D191" s="271" t="n"/>
      <x:c r="E191" s="271" t="n"/>
      <x:c r="F191" s="271" t="n"/>
      <x:c r="G191" s="271" t="n"/>
      <x:c r="H191" s="271" t="n"/>
      <x:c r="I191" s="271" t="n"/>
      <x:c r="J191" s="271" t="n"/>
    </x:row>
    <x:row r="192">
      <x:c r="A192" s="271" t="n"/>
      <x:c r="B192" s="271" t="n"/>
      <x:c r="C192" s="271" t="n"/>
      <x:c r="D192" s="271" t="n"/>
      <x:c r="E192" s="271" t="n"/>
      <x:c r="F192" s="271" t="n"/>
      <x:c r="G192" s="271" t="n"/>
      <x:c r="H192" s="271" t="n"/>
      <x:c r="I192" s="271" t="n"/>
      <x:c r="J192" s="271" t="n"/>
    </x:row>
    <x:row r="193">
      <x:c r="A193" s="271" t="n"/>
      <x:c r="B193" s="271" t="n"/>
      <x:c r="C193" s="271" t="n"/>
      <x:c r="D193" s="271" t="n"/>
      <x:c r="E193" s="271" t="n"/>
      <x:c r="F193" s="271" t="n"/>
      <x:c r="G193" s="271" t="n"/>
      <x:c r="H193" s="271" t="n"/>
      <x:c r="I193" s="271" t="n"/>
      <x:c r="J193" s="271" t="n"/>
    </x:row>
    <x:row r="194">
      <x:c r="A194" s="271" t="n"/>
      <x:c r="B194" s="271" t="n"/>
      <x:c r="C194" s="271" t="n"/>
      <x:c r="D194" s="271" t="n"/>
      <x:c r="E194" s="271" t="n"/>
      <x:c r="F194" s="271" t="n"/>
      <x:c r="G194" s="271" t="n"/>
      <x:c r="H194" s="271" t="n"/>
      <x:c r="I194" s="271" t="n"/>
      <x:c r="J194" s="271" t="n"/>
    </x:row>
    <x:row r="195">
      <x:c r="A195" s="271" t="n"/>
      <x:c r="B195" s="271" t="n"/>
      <x:c r="C195" s="271" t="n"/>
      <x:c r="D195" s="271" t="n"/>
      <x:c r="E195" s="271" t="n"/>
      <x:c r="F195" s="271" t="n"/>
      <x:c r="G195" s="271" t="n"/>
      <x:c r="H195" s="271" t="n"/>
      <x:c r="I195" s="271" t="n"/>
      <x:c r="J195" s="271" t="n"/>
    </x:row>
    <x:row r="196">
      <x:c r="A196" s="271" t="n"/>
      <x:c r="B196" s="271" t="n"/>
      <x:c r="C196" s="271" t="n"/>
      <x:c r="D196" s="271" t="n"/>
      <x:c r="E196" s="271" t="n"/>
      <x:c r="F196" s="271" t="n"/>
      <x:c r="G196" s="271" t="n"/>
      <x:c r="H196" s="271" t="n"/>
      <x:c r="I196" s="271" t="n"/>
      <x:c r="J196" s="271" t="n"/>
    </x:row>
    <x:row r="197">
      <x:c r="A197" s="271" t="n"/>
      <x:c r="B197" s="271" t="n"/>
      <x:c r="C197" s="271" t="n"/>
      <x:c r="D197" s="271" t="n"/>
      <x:c r="E197" s="271" t="n"/>
      <x:c r="F197" s="271" t="n"/>
      <x:c r="G197" s="271" t="n"/>
      <x:c r="H197" s="271" t="n"/>
      <x:c r="I197" s="271" t="n"/>
      <x:c r="J197" s="271" t="n"/>
    </x:row>
    <x:row r="198">
      <x:c r="A198" s="271" t="n"/>
      <x:c r="B198" s="271" t="n"/>
      <x:c r="C198" s="271" t="n"/>
      <x:c r="D198" s="271" t="n"/>
      <x:c r="E198" s="271" t="n"/>
      <x:c r="F198" s="271" t="n"/>
      <x:c r="G198" s="271" t="n"/>
      <x:c r="H198" s="271" t="n"/>
      <x:c r="I198" s="271" t="n"/>
      <x:c r="J198" s="271" t="n"/>
    </x:row>
    <x:row r="199">
      <x:c r="A199" s="271" t="n"/>
      <x:c r="B199" s="271" t="n"/>
      <x:c r="C199" s="271" t="n"/>
      <x:c r="D199" s="271" t="n"/>
      <x:c r="E199" s="271" t="n"/>
      <x:c r="F199" s="271" t="n"/>
      <x:c r="G199" s="271" t="n"/>
      <x:c r="H199" s="271" t="n"/>
      <x:c r="I199" s="271" t="n"/>
      <x:c r="J199" s="271" t="n"/>
    </x:row>
    <x:row r="200">
      <x:c r="A200" s="271" t="n"/>
      <x:c r="B200" s="271" t="n"/>
      <x:c r="C200" s="271" t="n"/>
      <x:c r="D200" s="271" t="n"/>
      <x:c r="E200" s="271" t="n"/>
      <x:c r="F200" s="271" t="n"/>
      <x:c r="G200" s="271" t="n"/>
      <x:c r="H200" s="271" t="n"/>
      <x:c r="I200" s="271" t="n"/>
      <x:c r="J200" s="271" t="n"/>
    </x:row>
  </x:sheetData>
  <x:mergeCells>
    <x:mergeCell ref="A1:J1"/>
  </x:mergeCells>
  <x:dataValidations count="1">
    <x:dataValidation type="list" allowBlank="0" showDropDown="0" showInputMessage="0" showErrorMessage="0" sqref="F4:F50">
      <x:formula1>"Not Started,Pending,In Progress,Completed,Blocked"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01454bb9c64738"/>
  </x:tableParts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18" style="265" customWidth="1"/>
    <x:col min="7" max="7" width="18" style="265" customWidth="1"/>
    <x:col min="8" max="8" width="18" style="265" customWidth="1"/>
    <x:col min="9" max="9" width="18" style="265" customWidth="1"/>
    <x:col min="10" max="10" width="18" style="265" customWidth="1"/>
    <x:col min="11" max="11" width="18" style="265" customWidth="1"/>
    <x:col min="12" max="12" width="18" style="265" customWidth="1"/>
    <x:col min="13" max="13" width="18" style="265" customWidth="1"/>
    <x:col min="14" max="14" width="18" style="265" customWidth="1"/>
    <x:col min="15" max="15" width="18" style="265" customWidth="1"/>
    <x:col min="16" max="16" width="18" style="265" customWidth="1"/>
    <x:col min="17" max="17" width="18" style="265" customWidth="1"/>
    <x:col min="18" max="18" width="18" style="265" customWidth="1"/>
    <x:col min="19" max="19" width="18" style="265" customWidth="1"/>
    <x:col min="20" max="20" width="18" style="265" customWidth="1"/>
    <x:col min="21" max="21" width="18" style="265" customWidth="1"/>
    <x:col min="22" max="22" width="18" style="265" customWidth="1"/>
    <x:col min="23" max="23" width="18" style="265" customWidth="1"/>
    <x:col min="24" max="24" width="18" style="265" customWidth="1"/>
    <x:col min="25" max="25" width="18" style="265" customWidth="1"/>
    <x:col min="26" max="26" width="18" style="265" customWidth="1"/>
  </x:cols>
  <x:sheetData>
    <x:row r="1" s="265" customFormat="1" ht="28" customHeight="1">
      <x:c r="A1" s="139" t="inlineStr">
        <x:is>
          <x:t xml:space="preserve">Regulatory Obligation Register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279" t="n"/>
      <x:c r="N1" s="279" t="n"/>
      <x:c r="O1" s="279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 s="265" customFormat="1" ht="22" customHeight="1">
      <x:c r="A2" s="140" t="inlineStr">
        <x:is>
          <x:t xml:space="preserve">Master inventory of recurring/ad-hoc regulatory obligations for Manulife Vietnam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</x:row>
    <x:row r="4" s="265" customFormat="1" ht="30" customHeight="1">
      <x:c r="A4" s="86" t="inlineStr">
        <x:is>
          <x:t xml:space="preserve">Obligation ID</x:t>
        </x:is>
      </x:c>
      <x:c r="B4" s="86" t="inlineStr">
        <x:is>
          <x:t xml:space="preserve">Obligation</x:t>
        </x:is>
      </x:c>
      <x:c r="C4" s="86" t="inlineStr">
        <x:is>
          <x:t xml:space="preserve">Regulator</x:t>
        </x:is>
      </x:c>
      <x:c r="D4" s="86" t="inlineStr">
        <x:is>
          <x:t xml:space="preserve">Legal Basis / Source</x:t>
        </x:is>
      </x:c>
      <x:c r="E4" s="86" t="inlineStr">
        <x:is>
          <x:t xml:space="preserve">Frequency</x:t>
        </x:is>
      </x:c>
      <x:c r="F4" s="86" t="inlineStr">
        <x:is>
          <x:t xml:space="preserve">Owner Dept</x:t>
        </x:is>
      </x:c>
      <x:c r="G4" s="86" t="inlineStr">
        <x:is>
          <x:t xml:space="preserve">Submission Channel</x:t>
        </x:is>
      </x:c>
      <x:c r="H4" s="86" t="inlineStr">
        <x:is>
          <x:t xml:space="preserve">Due Rule</x:t>
        </x:is>
      </x:c>
      <x:c r="I4" s="86" t="inlineStr">
        <x:is>
          <x:t xml:space="preserve">Next Due Date</x:t>
        </x:is>
      </x:c>
      <x:c r="J4" s="86" t="inlineStr">
        <x:is>
          <x:t xml:space="preserve">Penalty / Consequence</x:t>
        </x:is>
      </x:c>
      <x:c r="K4" s="86" t="inlineStr">
        <x:is>
          <x:t xml:space="preserve">Criticality</x:t>
        </x:is>
      </x:c>
      <x:c r="L4" s="86" t="inlineStr">
        <x:is>
          <x:t xml:space="preserve">Evidence Required</x:t>
        </x:is>
      </x:c>
      <x:c r="M4" s="86" t="inlineStr">
        <x:is>
          <x:t xml:space="preserve">Control Owner</x:t>
        </x:is>
      </x:c>
      <x:c r="N4" s="86" t="inlineStr">
        <x:is>
          <x:t xml:space="preserve">Status</x:t>
        </x:is>
      </x:c>
      <x:c r="O4" s="86" t="inlineStr">
        <x:is>
          <x:t xml:space="preserve">Days to Due</x:t>
        </x:is>
      </x:c>
      <x:c r="P4" s="86" t="inlineStr">
        <x:is>
          <x:t xml:space="preserve">RAG</x:t>
        </x:is>
      </x:c>
    </x:row>
    <x:row r="5">
      <x:c r="A5" s="279" t="inlineStr">
        <x:is>
          <x:t xml:space="preserve">OBL-001</x:t>
        </x:is>
      </x:c>
      <x:c r="B5" s="279" t="inlineStr">
        <x:is>
          <x:t xml:space="preserve">Monthly solvency monitoring report</x:t>
        </x:is>
      </x:c>
      <x:c r="C5" s="279" t="inlineStr">
        <x:is>
          <x:t xml:space="preserve">ISA / MOF</x:t>
        </x:is>
      </x:c>
      <x:c r="D5" s="279" t="inlineStr">
        <x:is>
          <x:t xml:space="preserve">Insurance Law / MOF guidance</x:t>
        </x:is>
      </x:c>
      <x:c r="E5" s="279" t="inlineStr">
        <x:is>
          <x:t xml:space="preserve">Monthly</x:t>
        </x:is>
      </x:c>
      <x:c r="F5" s="279" t="inlineStr">
        <x:is>
          <x:t xml:space="preserve">Finance</x:t>
        </x:is>
      </x:c>
      <x:c r="G5" s="279" t="inlineStr">
        <x:is>
          <x:t xml:space="preserve">e-Portal + hard copy</x:t>
        </x:is>
      </x:c>
      <x:c r="H5" s="279" t="inlineStr">
        <x:is>
          <x:t xml:space="preserve">10th working day</x:t>
        </x:is>
      </x:c>
      <x:c r="I5" s="210" t="n">
        <x:v>46193</x:v>
      </x:c>
      <x:c r="J5" s="279" t="inlineStr">
        <x:is>
          <x:t xml:space="preserve">Regulatory reminder / inspection focus</x:t>
        </x:is>
      </x:c>
      <x:c r="K5" s="279" t="inlineStr">
        <x:is>
          <x:t xml:space="preserve">Critical</x:t>
        </x:is>
      </x:c>
      <x:c r="L5" s="279" t="inlineStr">
        <x:is>
          <x:t xml:space="preserve">Signed report, calculation file, management approval</x:t>
        </x:is>
      </x:c>
      <x:c r="M5" s="279" t="inlineStr">
        <x:is>
          <x:t xml:space="preserve">Regulatory Affairs</x:t>
        </x:is>
      </x:c>
      <x:c r="N5" s="279" t="inlineStr">
        <x:is>
          <x:t xml:space="preserve">Open</x:t>
        </x:is>
      </x:c>
      <x:c r="O5" s="211" t="n">
        <x:f>I5-TODAY()</x:f>
        <x:v>-25</x:v>
      </x:c>
      <x:c r="P5" s="279" t="str">
        <x:f>IF(O5&lt;0,"Red",IF(O5&lt;=7,"Amber","Green"))</x:f>
        <x:v>Red</x:v>
      </x:c>
    </x:row>
    <x:row r="6">
      <x:c r="A6" s="279" t="inlineStr">
        <x:is>
          <x:t xml:space="preserve">OBL-002</x:t>
        </x:is>
      </x:c>
      <x:c r="B6" s="279" t="inlineStr">
        <x:is>
          <x:t xml:space="preserve">Quarterly capital adequacy report</x:t>
        </x:is>
      </x:c>
      <x:c r="C6" s="279" t="inlineStr">
        <x:is>
          <x:t xml:space="preserve">MOF</x:t>
        </x:is>
      </x:c>
      <x:c r="D6" s="279" t="inlineStr">
        <x:is>
          <x:t xml:space="preserve">Insurance supervisory reporting rules</x:t>
        </x:is>
      </x:c>
      <x:c r="E6" s="279" t="inlineStr">
        <x:is>
          <x:t xml:space="preserve">Quarterly</x:t>
        </x:is>
      </x:c>
      <x:c r="F6" s="279" t="inlineStr">
        <x:is>
          <x:t xml:space="preserve">Finance / Risk</x:t>
        </x:is>
      </x:c>
      <x:c r="G6" s="279" t="inlineStr">
        <x:is>
          <x:t xml:space="preserve">Hard copy + official letter</x:t>
        </x:is>
      </x:c>
      <x:c r="H6" s="279" t="inlineStr">
        <x:is>
          <x:t xml:space="preserve">Quarter end + 15 days</x:t>
        </x:is>
      </x:c>
      <x:c r="I6" s="210" t="n">
        <x:v>46218</x:v>
      </x:c>
      <x:c r="J6" s="279" t="inlineStr">
        <x:is>
          <x:t xml:space="preserve">High regulatory concern if delayed</x:t>
        </x:is>
      </x:c>
      <x:c r="K6" s="279" t="inlineStr">
        <x:is>
          <x:t xml:space="preserve">Critical</x:t>
        </x:is>
      </x:c>
      <x:c r="L6" s="279" t="inlineStr">
        <x:is>
          <x:t xml:space="preserve">Actuary sign-off, Finance review, Compliance review</x:t>
        </x:is>
      </x:c>
      <x:c r="M6" s="279" t="inlineStr">
        <x:is>
          <x:t xml:space="preserve">Finance</x:t>
        </x:is>
      </x:c>
      <x:c r="N6" s="279" t="inlineStr">
        <x:is>
          <x:t xml:space="preserve">Open</x:t>
        </x:is>
      </x:c>
      <x:c r="O6" s="211" t="n">
        <x:f>I6-TODAY()</x:f>
        <x:v>0</x:v>
      </x:c>
      <x:c r="P6" s="279" t="str">
        <x:f>IF(O6&lt;0,"Red",IF(O6&lt;=7,"Amber","Green"))</x:f>
        <x:v>Amber</x:v>
      </x:c>
    </x:row>
    <x:row r="7">
      <x:c r="A7" s="279" t="inlineStr">
        <x:is>
          <x:t xml:space="preserve">OBL-003</x:t>
        </x:is>
      </x:c>
      <x:c r="B7" s="279" t="inlineStr">
        <x:is>
          <x:t xml:space="preserve">New product filing / approval dossier</x:t>
        </x:is>
      </x:c>
      <x:c r="C7" s="279" t="inlineStr">
        <x:is>
          <x:t xml:space="preserve">ISA</x:t>
        </x:is>
      </x:c>
      <x:c r="D7" s="279" t="inlineStr">
        <x:is>
          <x:t xml:space="preserve">Product approval requirements</x:t>
        </x:is>
      </x:c>
      <x:c r="E7" s="279" t="inlineStr">
        <x:is>
          <x:t xml:space="preserve">Ad-hoc</x:t>
        </x:is>
      </x:c>
      <x:c r="F7" s="279" t="inlineStr">
        <x:is>
          <x:t xml:space="preserve">Product / Legal</x:t>
        </x:is>
      </x:c>
      <x:c r="G7" s="279" t="inlineStr">
        <x:is>
          <x:t xml:space="preserve">Hard copy one-stop desk</x:t>
        </x:is>
      </x:c>
      <x:c r="H7" s="279" t="inlineStr">
        <x:is>
          <x:t xml:space="preserve">Before launch</x:t>
        </x:is>
      </x:c>
      <x:c r="I7" s="210" t="n">
        <x:v>46201</x:v>
      </x:c>
      <x:c r="J7" s="279" t="inlineStr">
        <x:is>
          <x:t xml:space="preserve">Product launch delay</x:t>
        </x:is>
      </x:c>
      <x:c r="K7" s="279" t="inlineStr">
        <x:is>
          <x:t xml:space="preserve">High</x:t>
        </x:is>
      </x:c>
      <x:c r="L7" s="279" t="inlineStr">
        <x:is>
          <x:t xml:space="preserve">Product wording, pricing note, disclosure, legal opinion</x:t>
        </x:is>
      </x:c>
      <x:c r="M7" s="279" t="inlineStr">
        <x:is>
          <x:t xml:space="preserve">Product</x:t>
        </x:is>
      </x:c>
      <x:c r="N7" s="279" t="inlineStr">
        <x:is>
          <x:t xml:space="preserve">In Progress</x:t>
        </x:is>
      </x:c>
      <x:c r="O7" s="211" t="n">
        <x:f>I7-TODAY()</x:f>
        <x:v>-17</x:v>
      </x:c>
      <x:c r="P7" s="279" t="str">
        <x:f>IF(O7&lt;0,"Red",IF(O7&lt;=7,"Amber","Green"))</x:f>
        <x:v>Red</x:v>
      </x:c>
    </x:row>
    <x:row r="8">
      <x:c r="A8" s="279" t="inlineStr">
        <x:is>
          <x:t xml:space="preserve">OBL-004</x:t>
        </x:is>
      </x:c>
      <x:c r="B8" s="279" t="inlineStr">
        <x:is>
          <x:t xml:space="preserve">Agent training program registration</x:t>
        </x:is>
      </x:c>
      <x:c r="C8" s="279" t="inlineStr">
        <x:is>
          <x:t xml:space="preserve">ISA</x:t>
        </x:is>
      </x:c>
      <x:c r="D8" s="279" t="inlineStr">
        <x:is>
          <x:t xml:space="preserve">Agency management regulation</x:t>
        </x:is>
      </x:c>
      <x:c r="E8" s="279" t="inlineStr">
        <x:is>
          <x:t xml:space="preserve">Ad-hoc</x:t>
        </x:is>
      </x:c>
      <x:c r="F8" s="279" t="inlineStr">
        <x:is>
          <x:t xml:space="preserve">Agency / Distribution</x:t>
        </x:is>
      </x:c>
      <x:c r="G8" s="279" t="inlineStr">
        <x:is>
          <x:t xml:space="preserve">Hard copy</x:t>
        </x:is>
      </x:c>
      <x:c r="H8" s="279" t="inlineStr">
        <x:is>
          <x:t xml:space="preserve">Before training roll-out</x:t>
        </x:is>
      </x:c>
      <x:c r="I8" s="210" t="n">
        <x:v>46191</x:v>
      </x:c>
      <x:c r="J8" s="279" t="inlineStr">
        <x:is>
          <x:t xml:space="preserve">Training delay / distribution impact</x:t>
        </x:is>
      </x:c>
      <x:c r="K8" s="279" t="inlineStr">
        <x:is>
          <x:t xml:space="preserve">Medium</x:t>
        </x:is>
      </x:c>
      <x:c r="L8" s="279" t="inlineStr">
        <x:is>
          <x:t xml:space="preserve">Training materials, trainer list, timetable</x:t>
        </x:is>
      </x:c>
      <x:c r="M8" s="279" t="inlineStr">
        <x:is>
          <x:t xml:space="preserve">Agency</x:t>
        </x:is>
      </x:c>
      <x:c r="N8" s="279" t="inlineStr">
        <x:is>
          <x:t xml:space="preserve">Open</x:t>
        </x:is>
      </x:c>
      <x:c r="O8" s="211" t="n">
        <x:f>I8-TODAY()</x:f>
        <x:v>-27</x:v>
      </x:c>
      <x:c r="P8" s="279" t="str">
        <x:f>IF(O8&lt;0,"Red",IF(O8&lt;=7,"Amber","Green"))</x:f>
        <x:v>Red</x:v>
      </x:c>
    </x:row>
    <x:row r="9">
      <x:c r="A9" s="279" t="inlineStr">
        <x:is>
          <x:t xml:space="preserve">OBL-005</x:t>
        </x:is>
      </x:c>
      <x:c r="B9" s="279" t="inlineStr">
        <x:is>
          <x:t xml:space="preserve">Anti-money laundering periodic update</x:t>
        </x:is>
      </x:c>
      <x:c r="C9" s="279" t="inlineStr">
        <x:is>
          <x:t xml:space="preserve">SBV / MOF</x:t>
        </x:is>
      </x:c>
      <x:c r="D9" s="279" t="inlineStr">
        <x:is>
          <x:t xml:space="preserve">AML regulatory framework</x:t>
        </x:is>
      </x:c>
      <x:c r="E9" s="279" t="inlineStr">
        <x:is>
          <x:t xml:space="preserve">Quarterly</x:t>
        </x:is>
      </x:c>
      <x:c r="F9" s="279" t="inlineStr">
        <x:is>
          <x:t xml:space="preserve">Compliance</x:t>
        </x:is>
      </x:c>
      <x:c r="G9" s="279" t="inlineStr">
        <x:is>
          <x:t xml:space="preserve">e-Portal</x:t>
        </x:is>
      </x:c>
      <x:c r="H9" s="279" t="inlineStr">
        <x:is>
          <x:t xml:space="preserve">Quarter end + 20 days</x:t>
        </x:is>
      </x:c>
      <x:c r="I9" s="210" t="n">
        <x:v>46223</x:v>
      </x:c>
      <x:c r="J9" s="279" t="inlineStr">
        <x:is>
          <x:t xml:space="preserve">Compliance finding</x:t>
        </x:is>
      </x:c>
      <x:c r="K9" s="279" t="inlineStr">
        <x:is>
          <x:t xml:space="preserve">High</x:t>
        </x:is>
      </x:c>
      <x:c r="L9" s="279" t="inlineStr">
        <x:is>
          <x:t xml:space="preserve">AML statistics, suspicious transaction controls</x:t>
        </x:is>
      </x:c>
      <x:c r="M9" s="279" t="inlineStr">
        <x:is>
          <x:t xml:space="preserve">Compliance</x:t>
        </x:is>
      </x:c>
      <x:c r="N9" s="279" t="inlineStr">
        <x:is>
          <x:t xml:space="preserve">Open</x:t>
        </x:is>
      </x:c>
      <x:c r="O9" s="211" t="n">
        <x:f>I9-TODAY()</x:f>
        <x:v>5</x:v>
      </x:c>
      <x:c r="P9" s="279" t="str">
        <x:f>IF(O9&lt;0,"Red",IF(O9&lt;=7,"Amber","Green"))</x:f>
        <x:v>Amber</x:v>
      </x:c>
    </x:row>
    <x:row r="10">
      <x:c r="A10" s="279" t="inlineStr">
        <x:is>
          <x:t xml:space="preserve">OBL-006</x:t>
        </x:is>
      </x:c>
      <x:c r="B10" s="279" t="inlineStr">
        <x:is>
          <x:t xml:space="preserve">Personal data processing compliance update</x:t>
        </x:is>
      </x:c>
      <x:c r="C10" s="279" t="inlineStr">
        <x:is>
          <x:t xml:space="preserve">MIC / MPS</x:t>
        </x:is>
      </x:c>
      <x:c r="D10" s="279" t="inlineStr">
        <x:is>
          <x:t xml:space="preserve">Personal data protection decree</x:t>
        </x:is>
      </x:c>
      <x:c r="E10" s="279" t="inlineStr">
        <x:is>
          <x:t xml:space="preserve">Annual / Ad-hoc</x:t>
        </x:is>
      </x:c>
      <x:c r="F10" s="279" t="inlineStr">
        <x:is>
          <x:t xml:space="preserve">IT / Legal</x:t>
        </x:is>
      </x:c>
      <x:c r="G10" s="279" t="inlineStr">
        <x:is>
          <x:t xml:space="preserve">Official letter</x:t>
        </x:is>
      </x:c>
      <x:c r="H10" s="279" t="inlineStr">
        <x:is>
          <x:t xml:space="preserve">Upon request / annual refresh</x:t>
        </x:is>
      </x:c>
      <x:c r="I10" s="210" t="n">
        <x:v>46239</x:v>
      </x:c>
      <x:c r="J10" s="279" t="inlineStr">
        <x:is>
          <x:t xml:space="preserve">Data privacy remediation order</x:t>
        </x:is>
      </x:c>
      <x:c r="K10" s="279" t="inlineStr">
        <x:is>
          <x:t xml:space="preserve">High</x:t>
        </x:is>
      </x:c>
      <x:c r="L10" s="279" t="inlineStr">
        <x:is>
          <x:t xml:space="preserve">DPIA, consent process, data inventory</x:t>
        </x:is>
      </x:c>
      <x:c r="M10" s="279" t="inlineStr">
        <x:is>
          <x:t xml:space="preserve">Legal</x:t>
        </x:is>
      </x:c>
      <x:c r="N10" s="279" t="inlineStr">
        <x:is>
          <x:t xml:space="preserve">Monitoring</x:t>
        </x:is>
      </x:c>
      <x:c r="O10" s="211" t="n">
        <x:f>I10-TODAY()</x:f>
        <x:v>21</x:v>
      </x:c>
      <x:c r="P10" s="279" t="str">
        <x:f>IF(O10&lt;0,"Red",IF(O10&lt;=7,"Amber","Green"))</x:f>
        <x:v>Green</x:v>
      </x:c>
    </x:row>
    <x:row r="11">
      <x:c r="A11" s="279" t="inlineStr">
        <x:is>
          <x:t xml:space="preserve">OBL-007</x:t>
        </x:is>
      </x:c>
      <x:c r="B11" s="279" t="inlineStr">
        <x:is>
          <x:t xml:space="preserve">Consumer complaint handling report</x:t>
        </x:is>
      </x:c>
      <x:c r="C11" s="279" t="inlineStr">
        <x:is>
          <x:t xml:space="preserve">MOF / ISA</x:t>
        </x:is>
      </x:c>
      <x:c r="D11" s="279" t="inlineStr">
        <x:is>
          <x:t xml:space="preserve">Market conduct supervision</x:t>
        </x:is>
      </x:c>
      <x:c r="E11" s="279" t="inlineStr">
        <x:is>
          <x:t xml:space="preserve">Monthly</x:t>
        </x:is>
      </x:c>
      <x:c r="F11" s="279" t="inlineStr">
        <x:is>
          <x:t xml:space="preserve">Customer Service</x:t>
        </x:is>
      </x:c>
      <x:c r="G11" s="279" t="inlineStr">
        <x:is>
          <x:t xml:space="preserve">Email + hard copy</x:t>
        </x:is>
      </x:c>
      <x:c r="H11" s="279" t="inlineStr">
        <x:is>
          <x:t xml:space="preserve">5th working day</x:t>
        </x:is>
      </x:c>
      <x:c r="I11" s="210" t="n">
        <x:v>46188</x:v>
      </x:c>
      <x:c r="J11" s="279" t="inlineStr">
        <x:is>
          <x:t xml:space="preserve">Market conduct scrutiny</x:t>
        </x:is>
      </x:c>
      <x:c r="K11" s="279" t="inlineStr">
        <x:is>
          <x:t xml:space="preserve">High</x:t>
        </x:is>
      </x:c>
      <x:c r="L11" s="279" t="inlineStr">
        <x:is>
          <x:t xml:space="preserve">Complaint log, resolution SLA, root-cause analysis</x:t>
        </x:is>
      </x:c>
      <x:c r="M11" s="279" t="inlineStr">
        <x:is>
          <x:t xml:space="preserve">Customer Service</x:t>
        </x:is>
      </x:c>
      <x:c r="N11" s="279" t="inlineStr">
        <x:is>
          <x:t xml:space="preserve">Open</x:t>
        </x:is>
      </x:c>
      <x:c r="O11" s="211" t="n">
        <x:f>I11-TODAY()</x:f>
        <x:v>-30</x:v>
      </x:c>
      <x:c r="P11" s="279" t="str">
        <x:f>IF(O11&lt;0,"Red",IF(O11&lt;=7,"Amber","Green"))</x:f>
        <x:v>Red</x:v>
      </x:c>
    </x:row>
    <x:row r="12">
      <x:c r="A12" s="279" t="inlineStr">
        <x:is>
          <x:t xml:space="preserve">OBL-008</x:t>
        </x:is>
      </x:c>
      <x:c r="B12" s="279" t="inlineStr">
        <x:is>
          <x:t xml:space="preserve">Bancassurance conduct update</x:t>
        </x:is>
      </x:c>
      <x:c r="C12" s="279" t="inlineStr">
        <x:is>
          <x:t xml:space="preserve">MOF / ISA / SBV</x:t>
        </x:is>
      </x:c>
      <x:c r="D12" s="279" t="inlineStr">
        <x:is>
          <x:t xml:space="preserve">Bancassurance supervision guidance</x:t>
        </x:is>
      </x:c>
      <x:c r="E12" s="279" t="inlineStr">
        <x:is>
          <x:t xml:space="preserve">Ad-hoc</x:t>
        </x:is>
      </x:c>
      <x:c r="F12" s="279" t="inlineStr">
        <x:is>
          <x:t xml:space="preserve">Partnership Distribution</x:t>
        </x:is>
      </x:c>
      <x:c r="G12" s="279" t="inlineStr">
        <x:is>
          <x:t xml:space="preserve">Working group / letter</x:t>
        </x:is>
      </x:c>
      <x:c r="H12" s="279" t="inlineStr">
        <x:is>
          <x:t xml:space="preserve">Upon regulator request</x:t>
        </x:is>
      </x:c>
      <x:c r="I12" s="210" t="n">
        <x:v>46205</x:v>
      </x:c>
      <x:c r="J12" s="279" t="inlineStr">
        <x:is>
          <x:t xml:space="preserve">Distribution channel restriction risk</x:t>
        </x:is>
      </x:c>
      <x:c r="K12" s="279" t="inlineStr">
        <x:is>
          <x:t xml:space="preserve">High</x:t>
        </x:is>
      </x:c>
      <x:c r="L12" s="279" t="inlineStr">
        <x:is>
          <x:t xml:space="preserve">Sales scripts, training evidence, bank partner data</x:t>
        </x:is>
      </x:c>
      <x:c r="M12" s="279" t="inlineStr">
        <x:is>
          <x:t xml:space="preserve">Distribution</x:t>
        </x:is>
      </x:c>
      <x:c r="N12" s="279" t="inlineStr">
        <x:is>
          <x:t xml:space="preserve">Open</x:t>
        </x:is>
      </x:c>
      <x:c r="O12" s="211" t="n">
        <x:f>I12-TODAY()</x:f>
        <x:v>-13</x:v>
      </x:c>
      <x:c r="P12" s="279" t="str">
        <x:f>IF(O12&lt;0,"Red",IF(O12&lt;=7,"Amber","Green"))</x:f>
        <x:v>Red</x:v>
      </x:c>
    </x:row>
    <x:row r="13">
      <x:c r="A13" s="279" t="inlineStr">
        <x:is>
          <x:t xml:space="preserve">OBL-009</x:t>
        </x:is>
      </x:c>
      <x:c r="B13" s="279" t="inlineStr">
        <x:is>
          <x:t xml:space="preserve">ESG / sustainable finance disclosure readiness</x:t>
        </x:is>
      </x:c>
      <x:c r="C13" s="279" t="inlineStr">
        <x:is>
          <x:t xml:space="preserve">MOF</x:t>
        </x:is>
      </x:c>
      <x:c r="D13" s="279" t="inlineStr">
        <x:is>
          <x:t xml:space="preserve">ESG disclosure roadmap</x:t>
        </x:is>
      </x:c>
      <x:c r="E13" s="279" t="inlineStr">
        <x:is>
          <x:t xml:space="preserve">Annual</x:t>
        </x:is>
      </x:c>
      <x:c r="F13" s="279" t="inlineStr">
        <x:is>
          <x:t xml:space="preserve">Strategy / Finance</x:t>
        </x:is>
      </x:c>
      <x:c r="G13" s="279" t="inlineStr">
        <x:is>
          <x:t xml:space="preserve">Regional pack + local submission</x:t>
        </x:is>
      </x:c>
      <x:c r="H13" s="279" t="inlineStr">
        <x:is>
          <x:t xml:space="preserve">Annual planning cycle</x:t>
        </x:is>
      </x:c>
      <x:c r="I13" s="210" t="n">
        <x:v>46295</x:v>
      </x:c>
      <x:c r="J13" s="279" t="inlineStr">
        <x:is>
          <x:t xml:space="preserve">Reputation / regional reporting gap</x:t>
        </x:is>
      </x:c>
      <x:c r="K13" s="279" t="inlineStr">
        <x:is>
          <x:t xml:space="preserve">Medium</x:t>
        </x:is>
      </x:c>
      <x:c r="L13" s="279" t="inlineStr">
        <x:is>
          <x:t xml:space="preserve">ESG KPI, governance note, investment policy summary</x:t>
        </x:is>
      </x:c>
      <x:c r="M13" s="279" t="inlineStr">
        <x:is>
          <x:t xml:space="preserve">Strategy</x:t>
        </x:is>
      </x:c>
      <x:c r="N13" s="279" t="inlineStr">
        <x:is>
          <x:t xml:space="preserve">Monitoring</x:t>
        </x:is>
      </x:c>
      <x:c r="O13" s="211" t="n">
        <x:f>I13-TODAY()</x:f>
        <x:v>77</x:v>
      </x:c>
      <x:c r="P13" s="279" t="str">
        <x:f>IF(O13&lt;0,"Red",IF(O13&lt;=7,"Amber","Green"))</x:f>
        <x:v>Green</x:v>
      </x:c>
    </x:row>
    <x:row r="14">
      <x:c r="A14" s="279" t="inlineStr">
        <x:is>
          <x:t xml:space="preserve">OBL-010</x:t>
        </x:is>
      </x:c>
      <x:c r="B14" s="279" t="inlineStr">
        <x:is>
          <x:t xml:space="preserve">Regulator meeting minutes and action tracking</x:t>
        </x:is>
      </x:c>
      <x:c r="C14" s="279" t="inlineStr">
        <x:is>
          <x:t xml:space="preserve">MOF / ISA / IAV</x:t>
        </x:is>
      </x:c>
      <x:c r="D14" s="279" t="inlineStr">
        <x:is>
          <x:t xml:space="preserve">Internal PA operating standard</x:t>
        </x:is>
      </x:c>
      <x:c r="E14" s="279" t="inlineStr">
        <x:is>
          <x:t xml:space="preserve">After each meeting</x:t>
        </x:is>
      </x:c>
      <x:c r="F14" s="279" t="inlineStr">
        <x:is>
          <x:t xml:space="preserve">Regulatory &amp; PA</x:t>
        </x:is>
      </x:c>
      <x:c r="G14" s="279" t="inlineStr">
        <x:is>
          <x:t xml:space="preserve">Internal archive</x:t>
        </x:is>
      </x:c>
      <x:c r="H14" s="279" t="inlineStr">
        <x:is>
          <x:t xml:space="preserve">2 working days after meeting</x:t>
        </x:is>
      </x:c>
      <x:c r="I14" s="210" t="n">
        <x:v>46186</x:v>
      </x:c>
      <x:c r="J14" s="279" t="inlineStr">
        <x:is>
          <x:t xml:space="preserve">Loss of institutional memory</x:t>
        </x:is>
      </x:c>
      <x:c r="K14" s="279" t="inlineStr">
        <x:is>
          <x:t xml:space="preserve">Medium</x:t>
        </x:is>
      </x:c>
      <x:c r="L14" s="279" t="inlineStr">
        <x:is>
          <x:t xml:space="preserve">Minutes, action log, owner confirmation</x:t>
        </x:is>
      </x:c>
      <x:c r="M14" s="279" t="inlineStr">
        <x:is>
          <x:t xml:space="preserve">Regulatory Affairs</x:t>
        </x:is>
      </x:c>
      <x:c r="N14" s="279" t="inlineStr">
        <x:is>
          <x:t xml:space="preserve">Open</x:t>
        </x:is>
      </x:c>
      <x:c r="O14" s="211" t="n">
        <x:f>I14-TODAY()</x:f>
        <x:v>-32</x:v>
      </x:c>
      <x:c r="P14" s="279" t="str">
        <x:f>IF(O14&lt;0,"Red",IF(O14&lt;=7,"Amber","Green"))</x:f>
        <x:v>Red</x:v>
      </x:c>
    </x:row>
  </x:sheetData>
  <x:mergeCells>
    <x:mergeCell ref="A2:L2"/>
    <x:mergeCell ref="A1:L1"/>
  </x:mergeCells>
  <x:conditionalFormatting sqref="P5:P14">
    <x:cfRule type="expression" dxfId="3" priority="1">
      <x:formula>P5="Red"</x:formula>
    </x:cfRule>
    <x:cfRule type="expression" dxfId="5" priority="2">
      <x:formula>P5="Amber"</x:formula>
    </x:cfRule>
    <x:cfRule type="expression" dxfId="6" priority="3">
      <x:formula>P5="Green"</x:formula>
    </x:cfRule>
  </x:conditionalFormatting>
  <x:dataValidations count="4">
    <x:dataValidation type="list" allowBlank="0" showDropDown="0" showInputMessage="0" showErrorMessage="0" sqref="K5:K50">
      <x:formula1>"Low,Medium,High,Critical"</x:formula1>
    </x:dataValidation>
    <x:dataValidation type="list" allowBlank="0" showDropDown="0" showInputMessage="0" showErrorMessage="0" sqref="N5:N50">
      <x:formula1>"Open,In Progress,Submitted,Approved,Closed,Monitoring"</x:formula1>
    </x:dataValidation>
    <x:dataValidation type="list" allowBlank="0" showDropDown="0" showInputMessage="0" showErrorMessage="0" sqref="D4:D200">
      <x:formula1>"MOF,ISA,IAV,SBV,MIC,VCA,Regional Office"</x:formula1>
    </x:dataValidation>
    <x:dataValidation type="list" allowBlank="0" showDropDown="0" showInputMessage="0" showErrorMessage="0" sqref="E4:E200">
      <x:formula1>"Legal,Compliance,Finance,Product,Agency,Bancassurance,Operations,CEO Office,Public Affairs,Risk"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913596049a44d6"/>
  </x:tableParts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18" style="265" customWidth="1"/>
    <x:col min="7" max="7" width="18" style="265" customWidth="1"/>
    <x:col min="8" max="8" width="18" style="265" customWidth="1"/>
    <x:col min="9" max="9" width="18" style="265" customWidth="1"/>
    <x:col min="10" max="10" width="18" style="265" customWidth="1"/>
    <x:col min="11" max="11" width="18" style="265" customWidth="1"/>
    <x:col min="12" max="12" width="18" style="265" customWidth="1"/>
    <x:col min="13" max="13" width="18" style="265" customWidth="1"/>
    <x:col min="14" max="14" width="18" style="265" customWidth="1"/>
    <x:col min="15" max="15" width="18" style="265" customWidth="1"/>
    <x:col min="16" max="16" width="18" style="265" customWidth="1"/>
    <x:col min="17" max="17" width="18" style="265" customWidth="1"/>
    <x:col min="18" max="18" width="18" style="265" customWidth="1"/>
    <x:col min="19" max="19" width="18" style="265" customWidth="1"/>
    <x:col min="20" max="20" width="18" style="265" customWidth="1"/>
    <x:col min="21" max="21" width="18" style="265" customWidth="1"/>
    <x:col min="22" max="22" width="18" style="265" customWidth="1"/>
    <x:col min="23" max="23" width="18" style="265" customWidth="1"/>
    <x:col min="24" max="24" width="18" style="265" customWidth="1"/>
    <x:col min="25" max="25" width="18" style="265" customWidth="1"/>
    <x:col min="26" max="26" width="18" style="265" customWidth="1"/>
  </x:cols>
  <x:sheetData>
    <x:row r="1" s="265" customFormat="1" ht="28" customHeight="1">
      <x:c r="A1" s="139" t="inlineStr">
        <x:is>
          <x:t xml:space="preserve">Regulatory Response Tracker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279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 s="265" customFormat="1" ht="22" customHeight="1">
      <x:c r="A2" s="140" t="inlineStr">
        <x:is>
          <x:t xml:space="preserve">Track incoming/outgoing official letters, regulator requests and response SLA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</x:row>
    <x:row r="4" s="265" customFormat="1" ht="30" customHeight="1">
      <x:c r="A4" s="86" t="inlineStr">
        <x:is>
          <x:t xml:space="preserve">Ref No</x:t>
        </x:is>
      </x:c>
      <x:c r="B4" s="86" t="inlineStr">
        <x:is>
          <x:t xml:space="preserve">Date Received / Sent</x:t>
        </x:is>
      </x:c>
      <x:c r="C4" s="86" t="inlineStr">
        <x:is>
          <x:t xml:space="preserve">Direction</x:t>
        </x:is>
      </x:c>
      <x:c r="D4" s="86" t="inlineStr">
        <x:is>
          <x:t xml:space="preserve">Regulator</x:t>
        </x:is>
      </x:c>
      <x:c r="E4" s="86" t="inlineStr">
        <x:is>
          <x:t xml:space="preserve">Topic</x:t>
        </x:is>
      </x:c>
      <x:c r="F4" s="86" t="inlineStr">
        <x:is>
          <x:t xml:space="preserve">Linked Obligation / Submission</x:t>
        </x:is>
      </x:c>
      <x:c r="G4" s="86" t="inlineStr">
        <x:is>
          <x:t xml:space="preserve">Internal Owner</x:t>
        </x:is>
      </x:c>
      <x:c r="H4" s="86" t="inlineStr">
        <x:is>
          <x:t xml:space="preserve">Response Due Date</x:t>
        </x:is>
      </x:c>
      <x:c r="I4" s="86" t="inlineStr">
        <x:is>
          <x:t xml:space="preserve">Status</x:t>
        </x:is>
      </x:c>
      <x:c r="J4" s="86" t="inlineStr">
        <x:is>
          <x:t xml:space="preserve">Response Sent Date</x:t>
        </x:is>
      </x:c>
      <x:c r="K4" s="86" t="inlineStr">
        <x:is>
          <x:t xml:space="preserve">Days Open</x:t>
        </x:is>
      </x:c>
      <x:c r="L4" s="86" t="inlineStr">
        <x:is>
          <x:t xml:space="preserve">SLA Status</x:t>
        </x:is>
      </x:c>
      <x:c r="M4" s="86" t="inlineStr">
        <x:is>
          <x:t xml:space="preserve">Next Action</x:t>
        </x:is>
      </x:c>
      <x:c r="N4" s="86" t="inlineStr">
        <x:is>
          <x:t xml:space="preserve">Archive Location</x:t>
        </x:is>
      </x:c>
    </x:row>
    <x:row r="5">
      <x:c r="A5" s="279" t="inlineStr">
        <x:is>
          <x:t xml:space="preserve">ISA-IN-2026-021</x:t>
        </x:is>
      </x:c>
      <x:c r="B5" s="210" t="n">
        <x:v>46178</x:v>
      </x:c>
      <x:c r="C5" s="279" t="inlineStr">
        <x:is>
          <x:t xml:space="preserve">Incoming</x:t>
        </x:is>
      </x:c>
      <x:c r="D5" s="279" t="inlineStr">
        <x:is>
          <x:t xml:space="preserve">ISA</x:t>
        </x:is>
      </x:c>
      <x:c r="E5" s="279" t="inlineStr">
        <x:is>
          <x:t xml:space="preserve">Clarification on product filing dossier</x:t>
        </x:is>
      </x:c>
      <x:c r="F5" s="279" t="inlineStr">
        <x:is>
          <x:t xml:space="preserve">OBL-003</x:t>
        </x:is>
      </x:c>
      <x:c r="G5" s="279" t="inlineStr">
        <x:is>
          <x:t xml:space="preserve">Product / Legal</x:t>
        </x:is>
      </x:c>
      <x:c r="H5" s="210" t="n">
        <x:v>46187</x:v>
      </x:c>
      <x:c r="I5" s="279" t="inlineStr">
        <x:is>
          <x:t xml:space="preserve">Open</x:t>
        </x:is>
      </x:c>
      <x:c r="J5" s="210" t="str"/>
      <x:c r="K5" s="279" t="n">
        <x:f>IF(J5="",TODAY()-B5,J5-B5)</x:f>
        <x:v>40</x:v>
      </x:c>
      <x:c r="L5" s="279" t="str">
        <x:f>IF(AND(J5="",H5&lt;TODAY()),"Overdue",IF(AND(J5="",H5-TODAY()&lt;=3),"Due Soon","On Track"))</x:f>
        <x:v>Overdue</x:v>
      </x:c>
      <x:c r="M5" s="279" t="inlineStr">
        <x:is>
          <x:t xml:space="preserve">Prepare Q&amp;A and supporting product disclosure</x:t>
        </x:is>
      </x:c>
      <x:c r="N5" s="279" t="inlineStr">
        <x:is>
          <x:t xml:space="preserve">/Regulatory/ISA/ProductA/</x:t>
        </x:is>
      </x:c>
    </x:row>
    <x:row r="6">
      <x:c r="A6" s="279" t="inlineStr">
        <x:is>
          <x:t xml:space="preserve">MOF-OUT-2026-034</x:t>
        </x:is>
      </x:c>
      <x:c r="B6" s="210" t="n">
        <x:v>46179</x:v>
      </x:c>
      <x:c r="C6" s="279" t="inlineStr">
        <x:is>
          <x:t xml:space="preserve">Outgoing</x:t>
        </x:is>
      </x:c>
      <x:c r="D6" s="279" t="inlineStr">
        <x:is>
          <x:t xml:space="preserve">MOF</x:t>
        </x:is>
      </x:c>
      <x:c r="E6" s="279" t="inlineStr">
        <x:is>
          <x:t xml:space="preserve">Quarterly capital adequacy submission</x:t>
        </x:is>
      </x:c>
      <x:c r="F6" s="279" t="inlineStr">
        <x:is>
          <x:t xml:space="preserve">OBL-002</x:t>
        </x:is>
      </x:c>
      <x:c r="G6" s="279" t="inlineStr">
        <x:is>
          <x:t xml:space="preserve">Finance</x:t>
        </x:is>
      </x:c>
      <x:c r="H6" s="210" t="n">
        <x:v>46218</x:v>
      </x:c>
      <x:c r="I6" s="279" t="inlineStr">
        <x:is>
          <x:t xml:space="preserve">Waiting Reply</x:t>
        </x:is>
      </x:c>
      <x:c r="J6" s="210" t="n">
        <x:v>46179</x:v>
      </x:c>
      <x:c r="K6" s="279" t="n">
        <x:f>IF(J6="",TODAY()-B6,J6-B6)</x:f>
        <x:v>0</x:v>
      </x:c>
      <x:c r="L6" s="279" t="str">
        <x:f>IF(AND(J6="",H6&lt;TODAY()),"Overdue",IF(AND(J6="",H6-TODAY()&lt;=3),"Due Soon","On Track"))</x:f>
        <x:v>On Track</x:v>
      </x:c>
      <x:c r="M6" s="279" t="inlineStr">
        <x:is>
          <x:t xml:space="preserve">Monitor acknowledgement from MOF</x:t>
        </x:is>
      </x:c>
      <x:c r="N6" s="279" t="inlineStr">
        <x:is>
          <x:t xml:space="preserve">/Regulatory/MOF/Capital/</x:t>
        </x:is>
      </x:c>
    </x:row>
    <x:row r="7">
      <x:c r="A7" s="279" t="inlineStr">
        <x:is>
          <x:t xml:space="preserve">MOF-IN-2026-022</x:t>
        </x:is>
      </x:c>
      <x:c r="B7" s="210" t="n">
        <x:v>46180</x:v>
      </x:c>
      <x:c r="C7" s="279" t="inlineStr">
        <x:is>
          <x:t xml:space="preserve">Incoming</x:t>
        </x:is>
      </x:c>
      <x:c r="D7" s="279" t="inlineStr">
        <x:is>
          <x:t xml:space="preserve">MOF</x:t>
        </x:is>
      </x:c>
      <x:c r="E7" s="279" t="inlineStr">
        <x:is>
          <x:t xml:space="preserve">Request for complaint-handling statistics</x:t>
        </x:is>
      </x:c>
      <x:c r="F7" s="279" t="inlineStr">
        <x:is>
          <x:t xml:space="preserve">OBL-007</x:t>
        </x:is>
      </x:c>
      <x:c r="G7" s="279" t="inlineStr">
        <x:is>
          <x:t xml:space="preserve">Customer Service</x:t>
        </x:is>
      </x:c>
      <x:c r="H7" s="210" t="n">
        <x:v>46188</x:v>
      </x:c>
      <x:c r="I7" s="279" t="inlineStr">
        <x:is>
          <x:t xml:space="preserve">In Progress</x:t>
        </x:is>
      </x:c>
      <x:c r="J7" s="210" t="str"/>
      <x:c r="K7" s="279" t="n">
        <x:f>IF(J7="",TODAY()-B7,J7-B7)</x:f>
        <x:v>38</x:v>
      </x:c>
      <x:c r="L7" s="279" t="str">
        <x:f>IF(AND(J7="",H7&lt;TODAY()),"Overdue",IF(AND(J7="",H7-TODAY()&lt;=3),"Due Soon","On Track"))</x:f>
        <x:v>Overdue</x:v>
      </x:c>
      <x:c r="M7" s="279" t="inlineStr">
        <x:is>
          <x:t xml:space="preserve">Collect complaint SLA data and root-cause summary</x:t>
        </x:is>
      </x:c>
      <x:c r="N7" s="279" t="inlineStr">
        <x:is>
          <x:t xml:space="preserve">/Regulatory/MOF/MarketConduct/</x:t>
        </x:is>
      </x:c>
    </x:row>
    <x:row r="8">
      <x:c r="A8" s="279" t="inlineStr">
        <x:is>
          <x:t xml:space="preserve">SBV-IN-2026-006</x:t>
        </x:is>
      </x:c>
      <x:c r="B8" s="210" t="n">
        <x:v>46175</x:v>
      </x:c>
      <x:c r="C8" s="279" t="inlineStr">
        <x:is>
          <x:t xml:space="preserve">Incoming</x:t>
        </x:is>
      </x:c>
      <x:c r="D8" s="279" t="inlineStr">
        <x:is>
          <x:t xml:space="preserve">SBV</x:t>
        </x:is>
      </x:c>
      <x:c r="E8" s="279" t="inlineStr">
        <x:is>
          <x:t xml:space="preserve">Bancassurance conduct information request</x:t>
        </x:is>
      </x:c>
      <x:c r="F8" s="279" t="inlineStr">
        <x:is>
          <x:t xml:space="preserve">OBL-008</x:t>
        </x:is>
      </x:c>
      <x:c r="G8" s="279" t="inlineStr">
        <x:is>
          <x:t xml:space="preserve">Distribution / Compliance</x:t>
        </x:is>
      </x:c>
      <x:c r="H8" s="210" t="n">
        <x:v>46185</x:v>
      </x:c>
      <x:c r="I8" s="279" t="inlineStr">
        <x:is>
          <x:t xml:space="preserve">Open</x:t>
        </x:is>
      </x:c>
      <x:c r="J8" s="210" t="str"/>
      <x:c r="K8" s="279" t="n">
        <x:f>IF(J8="",TODAY()-B8,J8-B8)</x:f>
        <x:v>43</x:v>
      </x:c>
      <x:c r="L8" s="279" t="str">
        <x:f>IF(AND(J8="",H8&lt;TODAY()),"Overdue",IF(AND(J8="",H8-TODAY()&lt;=3),"Due Soon","On Track"))</x:f>
        <x:v>Overdue</x:v>
      </x:c>
      <x:c r="M8" s="279" t="inlineStr">
        <x:is>
          <x:t xml:space="preserve">Align data with bank partner before response</x:t>
        </x:is>
      </x:c>
      <x:c r="N8" s="279" t="inlineStr">
        <x:is>
          <x:t xml:space="preserve">/Regulatory/SBV/Banca/</x:t>
        </x:is>
      </x:c>
    </x:row>
    <x:row r="9">
      <x:c r="A9" s="279" t="inlineStr">
        <x:is>
          <x:t xml:space="preserve">MIC-IN-2026-004</x:t>
        </x:is>
      </x:c>
      <x:c r="B9" s="210" t="n">
        <x:v>46170</x:v>
      </x:c>
      <x:c r="C9" s="279" t="inlineStr">
        <x:is>
          <x:t xml:space="preserve">Incoming</x:t>
        </x:is>
      </x:c>
      <x:c r="D9" s="279" t="inlineStr">
        <x:is>
          <x:t xml:space="preserve">MIC</x:t>
        </x:is>
      </x:c>
      <x:c r="E9" s="279" t="inlineStr">
        <x:is>
          <x:t xml:space="preserve">Data localization consultation draft</x:t>
        </x:is>
      </x:c>
      <x:c r="F9" s="279" t="inlineStr">
        <x:is>
          <x:t xml:space="preserve">OBL-006</x:t>
        </x:is>
      </x:c>
      <x:c r="G9" s="279" t="inlineStr">
        <x:is>
          <x:t xml:space="preserve">IT / Legal</x:t>
        </x:is>
      </x:c>
      <x:c r="H9" s="210" t="n">
        <x:v>46193</x:v>
      </x:c>
      <x:c r="I9" s="279" t="inlineStr">
        <x:is>
          <x:t xml:space="preserve">In Progress</x:t>
        </x:is>
      </x:c>
      <x:c r="J9" s="210" t="str"/>
      <x:c r="K9" s="279" t="n">
        <x:f>IF(J9="",TODAY()-B9,J9-B9)</x:f>
        <x:v>48</x:v>
      </x:c>
      <x:c r="L9" s="279" t="str">
        <x:f>IF(AND(J9="",H9&lt;TODAY()),"Overdue",IF(AND(J9="",H9-TODAY()&lt;=3),"Due Soon","On Track"))</x:f>
        <x:v>Overdue</x:v>
      </x:c>
      <x:c r="M9" s="279" t="inlineStr">
        <x:is>
          <x:t xml:space="preserve">Submit industry feedback through IAV where appropriate</x:t>
        </x:is>
      </x:c>
      <x:c r="N9" s="279" t="inlineStr">
        <x:is>
          <x:t xml:space="preserve">/Regulatory/MIC/Data/</x:t>
        </x:is>
      </x:c>
    </x:row>
    <x:row r="10">
      <x:c r="A10" s="279" t="inlineStr">
        <x:is>
          <x:t xml:space="preserve">IAV-IN-2026-011</x:t>
        </x:is>
      </x:c>
      <x:c r="B10" s="210" t="n">
        <x:v>46176</x:v>
      </x:c>
      <x:c r="C10" s="279" t="inlineStr">
        <x:is>
          <x:t xml:space="preserve">Incoming</x:t>
        </x:is>
      </x:c>
      <x:c r="D10" s="279" t="inlineStr">
        <x:is>
          <x:t xml:space="preserve">IAV</x:t>
        </x:is>
      </x:c>
      <x:c r="E10" s="279" t="inlineStr">
        <x:is>
          <x:t xml:space="preserve">Industry working group on product transparency</x:t>
        </x:is>
      </x:c>
      <x:c r="F10" s="279" t="inlineStr">
        <x:is>
          <x:t xml:space="preserve">OBL-003</x:t>
        </x:is>
      </x:c>
      <x:c r="G10" s="279" t="inlineStr">
        <x:is>
          <x:t xml:space="preserve">Regulatory &amp; PA</x:t>
        </x:is>
      </x:c>
      <x:c r="H10" s="210" t="n">
        <x:v>46186</x:v>
      </x:c>
      <x:c r="I10" s="279" t="inlineStr">
        <x:is>
          <x:t xml:space="preserve">Closed</x:t>
        </x:is>
      </x:c>
      <x:c r="J10" s="210" t="n">
        <x:v>46183</x:v>
      </x:c>
      <x:c r="K10" s="279" t="n">
        <x:f>IF(J10="",TODAY()-B10,J10-B10)</x:f>
        <x:v>7</x:v>
      </x:c>
      <x:c r="L10" s="279" t="str">
        <x:f>IF(AND(J10="",H10&lt;TODAY()),"Overdue",IF(AND(J10="",H10-TODAY()&lt;=3),"Due Soon","On Track"))</x:f>
        <x:v>On Track</x:v>
      </x:c>
      <x:c r="M10" s="279" t="inlineStr">
        <x:is>
          <x:t xml:space="preserve">Prepare internal summary of IAV position</x:t>
        </x:is>
      </x:c>
      <x:c r="N10" s="279" t="inlineStr">
        <x:is>
          <x:t xml:space="preserve">/Regulatory/IAV/ProductTransparency/</x:t>
        </x:is>
      </x:c>
    </x:row>
    <x:row r="11">
      <x:c r="A11" s="279" t="inlineStr">
        <x:is>
          <x:t xml:space="preserve">ISA-OUT-2026-035</x:t>
        </x:is>
      </x:c>
      <x:c r="B11" s="210" t="n">
        <x:v>46182</x:v>
      </x:c>
      <x:c r="C11" s="279" t="inlineStr">
        <x:is>
          <x:t xml:space="preserve">Outgoing</x:t>
        </x:is>
      </x:c>
      <x:c r="D11" s="279" t="inlineStr">
        <x:is>
          <x:t xml:space="preserve">ISA</x:t>
        </x:is>
      </x:c>
      <x:c r="E11" s="279" t="inlineStr">
        <x:is>
          <x:t xml:space="preserve">Agent training materials registration</x:t>
        </x:is>
      </x:c>
      <x:c r="F11" s="279" t="inlineStr">
        <x:is>
          <x:t xml:space="preserve">OBL-004</x:t>
        </x:is>
      </x:c>
      <x:c r="G11" s="279" t="inlineStr">
        <x:is>
          <x:t xml:space="preserve">Agency</x:t>
        </x:is>
      </x:c>
      <x:c r="H11" s="210" t="n">
        <x:v>46191</x:v>
      </x:c>
      <x:c r="I11" s="279" t="inlineStr">
        <x:is>
          <x:t xml:space="preserve">Submitted</x:t>
        </x:is>
      </x:c>
      <x:c r="J11" s="210" t="n">
        <x:v>46182</x:v>
      </x:c>
      <x:c r="K11" s="279" t="n">
        <x:f>IF(J11="",TODAY()-B11,J11-B11)</x:f>
        <x:v>0</x:v>
      </x:c>
      <x:c r="L11" s="279" t="str">
        <x:f>IF(AND(J11="",H11&lt;TODAY()),"Overdue",IF(AND(J11="",H11-TODAY()&lt;=3),"Due Soon","On Track"))</x:f>
        <x:v>On Track</x:v>
      </x:c>
      <x:c r="M11" s="279" t="inlineStr">
        <x:is>
          <x:t xml:space="preserve">Wait for receipt stamp and update archive</x:t>
        </x:is>
      </x:c>
      <x:c r="N11" s="279" t="inlineStr">
        <x:is>
          <x:t xml:space="preserve">/Regulatory/ISA/AgentTraining/</x:t>
        </x:is>
      </x:c>
    </x:row>
  </x:sheetData>
  <x:mergeCells>
    <x:mergeCell ref="A2:N2"/>
    <x:mergeCell ref="A1:N1"/>
  </x:mergeCells>
  <x:conditionalFormatting sqref="L5:L11">
    <x:cfRule type="expression" dxfId="3" priority="1">
      <x:formula>L5="Overdue"</x:formula>
    </x:cfRule>
    <x:cfRule type="expression" dxfId="5" priority="2">
      <x:formula>L5="Due Soon"</x:formula>
    </x:cfRule>
  </x:conditionalFormatting>
  <x:dataValidations count="4">
    <x:dataValidation type="list" allowBlank="0" showDropDown="0" showInputMessage="0" showErrorMessage="0" sqref="C5:C80">
      <x:formula1>"Incoming,Outgoing"</x:formula1>
    </x:dataValidation>
    <x:dataValidation type="list" allowBlank="0" showDropDown="0" showInputMessage="0" showErrorMessage="0" sqref="I5:I80">
      <x:formula1>"Open,In Progress,Submitted,Waiting Reply,Closed,Overdue"</x:formula1>
    </x:dataValidation>
    <x:dataValidation type="list" allowBlank="0" showDropDown="0" showInputMessage="0" showErrorMessage="0" sqref="D4:D200">
      <x:formula1>"MOF,ISA,IAV,SBV,MIC,VCA,Regional Office"</x:formula1>
    </x:dataValidation>
    <x:dataValidation type="list" allowBlank="0" showDropDown="0" showInputMessage="0" showErrorMessage="0" sqref="C4:C200">
      <x:formula1>"Incoming,Outgoing"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ee9808291b4ae8"/>
  </x:tableParts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18" style="265" customWidth="1"/>
    <x:col min="7" max="7" width="18" style="265" customWidth="1"/>
    <x:col min="8" max="8" width="18" style="265" customWidth="1"/>
    <x:col min="9" max="9" width="18" style="265" customWidth="1"/>
    <x:col min="10" max="10" width="18" style="265" customWidth="1"/>
    <x:col min="11" max="11" width="18" style="265" customWidth="1"/>
    <x:col min="12" max="12" width="18" style="265" customWidth="1"/>
    <x:col min="13" max="13" width="18" style="265" customWidth="1"/>
    <x:col min="14" max="14" width="18" style="265" customWidth="1"/>
    <x:col min="15" max="15" width="18" style="265" customWidth="1"/>
    <x:col min="16" max="16" width="18" style="265" customWidth="1"/>
    <x:col min="17" max="17" width="18" style="265" customWidth="1"/>
    <x:col min="18" max="18" width="18" style="265" customWidth="1"/>
    <x:col min="19" max="19" width="18" style="265" customWidth="1"/>
    <x:col min="20" max="20" width="18" style="265" customWidth="1"/>
    <x:col min="21" max="21" width="18" style="265" customWidth="1"/>
    <x:col min="22" max="22" width="18" style="265" customWidth="1"/>
    <x:col min="23" max="23" width="18" style="265" customWidth="1"/>
    <x:col min="24" max="24" width="18" style="265" customWidth="1"/>
    <x:col min="25" max="25" width="18" style="265" customWidth="1"/>
    <x:col min="26" max="26" width="18" style="265" customWidth="1"/>
  </x:cols>
  <x:sheetData>
    <x:row r="1" s="265" customFormat="1" ht="28" customHeight="1">
      <x:c r="A1" s="139" t="inlineStr">
        <x:is>
          <x:t xml:space="preserve">Product Approval Command Center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279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 s="265" customFormat="1" ht="22" customHeight="1">
      <x:c r="A2" s="140" t="inlineStr">
        <x:is>
          <x:t xml:space="preserve">Dedicated tracker for product approval dossiers, bottlenecks and expected timeline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</x:row>
    <x:row r="4" s="265" customFormat="1" ht="30" customHeight="1">
      <x:c r="A4" s="86" t="inlineStr">
        <x:is>
          <x:t xml:space="preserve">Product ID</x:t>
        </x:is>
      </x:c>
      <x:c r="B4" s="86" t="inlineStr">
        <x:is>
          <x:t xml:space="preserve">Product Name</x:t>
        </x:is>
      </x:c>
      <x:c r="C4" s="86" t="inlineStr">
        <x:is>
          <x:t xml:space="preserve">Product Type</x:t>
        </x:is>
      </x:c>
      <x:c r="D4" s="86" t="inlineStr">
        <x:is>
          <x:t xml:space="preserve">Business Owner</x:t>
        </x:is>
      </x:c>
      <x:c r="E4" s="86" t="inlineStr">
        <x:is>
          <x:t xml:space="preserve">Regulator</x:t>
        </x:is>
      </x:c>
      <x:c r="F4" s="86" t="inlineStr">
        <x:is>
          <x:t xml:space="preserve">Current Stage</x:t>
        </x:is>
      </x:c>
      <x:c r="G4" s="86" t="inlineStr">
        <x:is>
          <x:t xml:space="preserve">Request Date</x:t>
        </x:is>
      </x:c>
      <x:c r="H4" s="86" t="inlineStr">
        <x:is>
          <x:t xml:space="preserve">Submitted Date</x:t>
        </x:is>
      </x:c>
      <x:c r="I4" s="86" t="inlineStr">
        <x:is>
          <x:t xml:space="preserve">Target Approval Date</x:t>
        </x:is>
      </x:c>
      <x:c r="J4" s="86" t="inlineStr">
        <x:is>
          <x:t xml:space="preserve">Expected Approval Days</x:t>
        </x:is>
      </x:c>
      <x:c r="K4" s="86" t="inlineStr">
        <x:is>
          <x:t xml:space="preserve">Actual Approval Date</x:t>
        </x:is>
      </x:c>
      <x:c r="L4" s="86" t="inlineStr">
        <x:is>
          <x:t xml:space="preserve">Bottleneck</x:t>
        </x:is>
      </x:c>
      <x:c r="M4" s="86" t="inlineStr">
        <x:is>
          <x:t xml:space="preserve">Approval Risk</x:t>
        </x:is>
      </x:c>
      <x:c r="N4" s="86" t="inlineStr">
        <x:is>
          <x:t xml:space="preserve">Next Action</x:t>
        </x:is>
      </x:c>
    </x:row>
    <x:row r="5">
      <x:c r="A5" s="279" t="inlineStr">
        <x:is>
          <x:t xml:space="preserve">PROD-001</x:t>
        </x:is>
      </x:c>
      <x:c r="B5" s="279" t="inlineStr">
        <x:is>
          <x:t xml:space="preserve">FutureCare UL Plus</x:t>
        </x:is>
      </x:c>
      <x:c r="C5" s="279" t="inlineStr">
        <x:is>
          <x:t xml:space="preserve">Unit-linked</x:t>
        </x:is>
      </x:c>
      <x:c r="D5" s="279" t="inlineStr">
        <x:is>
          <x:t xml:space="preserve">Product</x:t>
        </x:is>
      </x:c>
      <x:c r="E5" s="279" t="inlineStr">
        <x:is>
          <x:t xml:space="preserve">ISA</x:t>
        </x:is>
      </x:c>
      <x:c r="F5" s="279" t="inlineStr">
        <x:is>
          <x:t xml:space="preserve">Regulator Review</x:t>
        </x:is>
      </x:c>
      <x:c r="G5" s="210" t="n">
        <x:v>46154</x:v>
      </x:c>
      <x:c r="H5" s="210" t="n">
        <x:v>46175</x:v>
      </x:c>
      <x:c r="I5" s="210" t="n">
        <x:v>46218</x:v>
      </x:c>
      <x:c r="J5" s="279" t="n">
        <x:f>IF(K5="",I5-G5,K5-G5)</x:f>
        <x:v>64</x:v>
      </x:c>
      <x:c r="K5" s="210" t="str"/>
      <x:c r="L5" s="279" t="inlineStr">
        <x:is>
          <x:t xml:space="preserve">Additional disclosure questions</x:t>
        </x:is>
      </x:c>
      <x:c r="M5" s="279" t="inlineStr">
        <x:is>
          <x:t xml:space="preserve">Medium</x:t>
        </x:is>
      </x:c>
      <x:c r="N5" s="279" t="inlineStr">
        <x:is>
          <x:t xml:space="preserve">Prepare written clarification on benefit illustration</x:t>
        </x:is>
      </x:c>
    </x:row>
    <x:row r="6">
      <x:c r="A6" s="279" t="inlineStr">
        <x:is>
          <x:t xml:space="preserve">PROD-002</x:t>
        </x:is>
      </x:c>
      <x:c r="B6" s="279" t="inlineStr">
        <x:is>
          <x:t xml:space="preserve">Health Shield Rider 2026</x:t>
        </x:is>
      </x:c>
      <x:c r="C6" s="279" t="inlineStr">
        <x:is>
          <x:t xml:space="preserve">Health rider</x:t>
        </x:is>
      </x:c>
      <x:c r="D6" s="279" t="inlineStr">
        <x:is>
          <x:t xml:space="preserve">Product / Actuary</x:t>
        </x:is>
      </x:c>
      <x:c r="E6" s="279" t="inlineStr">
        <x:is>
          <x:t xml:space="preserve">ISA</x:t>
        </x:is>
      </x:c>
      <x:c r="F6" s="279" t="inlineStr">
        <x:is>
          <x:t xml:space="preserve">Internal Legal Review</x:t>
        </x:is>
      </x:c>
      <x:c r="G6" s="210" t="n">
        <x:v>46174</x:v>
      </x:c>
      <x:c r="H6" s="210" t="str"/>
      <x:c r="I6" s="210" t="n">
        <x:v>46233</x:v>
      </x:c>
      <x:c r="J6" s="279" t="n">
        <x:f>IF(K6="",I6-G6,K6-G6)</x:f>
        <x:v>59</x:v>
      </x:c>
      <x:c r="K6" s="210" t="str"/>
      <x:c r="L6" s="279" t="inlineStr">
        <x:is>
          <x:t xml:space="preserve">Legal wording and exclusion clauses</x:t>
        </x:is>
      </x:c>
      <x:c r="M6" s="279" t="inlineStr">
        <x:is>
          <x:t xml:space="preserve">Medium</x:t>
        </x:is>
      </x:c>
      <x:c r="N6" s="279" t="inlineStr">
        <x:is>
          <x:t xml:space="preserve">Finalize wording and submit to Compliance</x:t>
        </x:is>
      </x:c>
    </x:row>
    <x:row r="7">
      <x:c r="A7" s="279" t="inlineStr">
        <x:is>
          <x:t xml:space="preserve">PROD-003</x:t>
        </x:is>
      </x:c>
      <x:c r="B7" s="279" t="inlineStr">
        <x:is>
          <x:t xml:space="preserve">Retirement Income Plan</x:t>
        </x:is>
      </x:c>
      <x:c r="C7" s="279" t="inlineStr">
        <x:is>
          <x:t xml:space="preserve">Pension / savings</x:t>
        </x:is>
      </x:c>
      <x:c r="D7" s="279" t="inlineStr">
        <x:is>
          <x:t xml:space="preserve">Product / Finance</x:t>
        </x:is>
      </x:c>
      <x:c r="E7" s="279" t="inlineStr">
        <x:is>
          <x:t xml:space="preserve">ISA</x:t>
        </x:is>
      </x:c>
      <x:c r="F7" s="279" t="inlineStr">
        <x:is>
          <x:t xml:space="preserve">Drafting</x:t>
        </x:is>
      </x:c>
      <x:c r="G7" s="210" t="n">
        <x:v>46178</x:v>
      </x:c>
      <x:c r="H7" s="210" t="str"/>
      <x:c r="I7" s="210" t="n">
        <x:v>46254</x:v>
      </x:c>
      <x:c r="J7" s="279" t="n">
        <x:f>IF(K7="",I7-G7,K7-G7)</x:f>
        <x:v>76</x:v>
      </x:c>
      <x:c r="K7" s="210" t="str"/>
      <x:c r="L7" s="279" t="inlineStr">
        <x:is>
          <x:t xml:space="preserve">Pricing assumptions alignment</x:t>
        </x:is>
      </x:c>
      <x:c r="M7" s="279" t="inlineStr">
        <x:is>
          <x:t xml:space="preserve">Low</x:t>
        </x:is>
      </x:c>
      <x:c r="N7" s="279" t="inlineStr">
        <x:is>
          <x:t xml:space="preserve">Complete actuarial memo</x:t>
        </x:is>
      </x:c>
    </x:row>
    <x:row r="8">
      <x:c r="A8" s="279" t="inlineStr">
        <x:is>
          <x:t xml:space="preserve">PROD-004</x:t>
        </x:is>
      </x:c>
      <x:c r="B8" s="279" t="inlineStr">
        <x:is>
          <x:t xml:space="preserve">Family Protection 2026</x:t>
        </x:is>
      </x:c>
      <x:c r="C8" s="279" t="inlineStr">
        <x:is>
          <x:t xml:space="preserve">Traditional life</x:t>
        </x:is>
      </x:c>
      <x:c r="D8" s="279" t="inlineStr">
        <x:is>
          <x:t xml:space="preserve">Product</x:t>
        </x:is>
      </x:c>
      <x:c r="E8" s="279" t="inlineStr">
        <x:is>
          <x:t xml:space="preserve">ISA</x:t>
        </x:is>
      </x:c>
      <x:c r="F8" s="279" t="inlineStr">
        <x:is>
          <x:t xml:space="preserve">Approved</x:t>
        </x:is>
      </x:c>
      <x:c r="G8" s="210" t="n">
        <x:v>46127</x:v>
      </x:c>
      <x:c r="H8" s="210" t="n">
        <x:v>46147</x:v>
      </x:c>
      <x:c r="I8" s="210" t="n">
        <x:v>46198</x:v>
      </x:c>
      <x:c r="J8" s="279" t="n">
        <x:f>IF(K8="",I8-G8,K8-G8)</x:f>
        <x:v>54</x:v>
      </x:c>
      <x:c r="K8" s="210" t="n">
        <x:v>46181</x:v>
      </x:c>
      <x:c r="L8" s="279" t="inlineStr">
        <x:is>
          <x:t xml:space="preserve">None</x:t>
        </x:is>
      </x:c>
      <x:c r="M8" s="279" t="inlineStr">
        <x:is>
          <x:t xml:space="preserve">Low</x:t>
        </x:is>
      </x:c>
      <x:c r="N8" s="279" t="inlineStr">
        <x:is>
          <x:t xml:space="preserve">Archive approval and notify distribution</x:t>
        </x:is>
      </x:c>
    </x:row>
    <x:row r="9">
      <x:c r="A9" s="279" t="inlineStr">
        <x:is>
          <x:t xml:space="preserve">PROD-005</x:t>
        </x:is>
      </x:c>
      <x:c r="B9" s="279" t="inlineStr">
        <x:is>
          <x:t xml:space="preserve">Digital Term Life</x:t>
        </x:is>
      </x:c>
      <x:c r="C9" s="279" t="inlineStr">
        <x:is>
          <x:t xml:space="preserve">Protection / digital</x:t>
        </x:is>
      </x:c>
      <x:c r="D9" s="279" t="inlineStr">
        <x:is>
          <x:t xml:space="preserve">Digital / Product</x:t>
        </x:is>
      </x:c>
      <x:c r="E9" s="279" t="inlineStr">
        <x:is>
          <x:t xml:space="preserve">ISA / MIC</x:t>
        </x:is>
      </x:c>
      <x:c r="F9" s="279" t="inlineStr">
        <x:is>
          <x:t xml:space="preserve">Pre-consultation</x:t>
        </x:is>
      </x:c>
      <x:c r="G9" s="210" t="n">
        <x:v>46176</x:v>
      </x:c>
      <x:c r="H9" s="210" t="str"/>
      <x:c r="I9" s="210" t="n">
        <x:v>46275</x:v>
      </x:c>
      <x:c r="J9" s="279" t="n">
        <x:f>IF(K9="",I9-G9,K9-G9)</x:f>
        <x:v>99</x:v>
      </x:c>
      <x:c r="K9" s="210" t="str"/>
      <x:c r="L9" s="279" t="inlineStr">
        <x:is>
          <x:t xml:space="preserve">Data consent and e-KYC process</x:t>
        </x:is>
      </x:c>
      <x:c r="M9" s="279" t="inlineStr">
        <x:is>
          <x:t xml:space="preserve">High</x:t>
        </x:is>
      </x:c>
      <x:c r="N9" s="279" t="inlineStr">
        <x:is>
          <x:t xml:space="preserve">Hold pre-consultation with data/legal team</x:t>
        </x:is>
      </x:c>
    </x:row>
    <x:row r="10">
      <x:c r="A10" s="279" t="inlineStr">
        <x:is>
          <x:t xml:space="preserve">PROD-006</x:t>
        </x:is>
      </x:c>
      <x:c r="B10" s="279" t="inlineStr">
        <x:is>
          <x:t xml:space="preserve">Banca Savings Plan</x:t>
        </x:is>
      </x:c>
      <x:c r="C10" s="279" t="inlineStr">
        <x:is>
          <x:t xml:space="preserve">Bancassurance</x:t>
        </x:is>
      </x:c>
      <x:c r="D10" s="279" t="inlineStr">
        <x:is>
          <x:t xml:space="preserve">Partnership Distribution</x:t>
        </x:is>
      </x:c>
      <x:c r="E10" s="279" t="inlineStr">
        <x:is>
          <x:t xml:space="preserve">ISA / SBV</x:t>
        </x:is>
      </x:c>
      <x:c r="F10" s="279" t="inlineStr">
        <x:is>
          <x:t xml:space="preserve">On Hold</x:t>
        </x:is>
      </x:c>
      <x:c r="G10" s="210" t="n">
        <x:v>46162</x:v>
      </x:c>
      <x:c r="H10" s="210" t="str"/>
      <x:c r="I10" s="210" t="n">
        <x:v>46239</x:v>
      </x:c>
      <x:c r="J10" s="279" t="n">
        <x:f>IF(K10="",I10-G10,K10-G10)</x:f>
        <x:v>77</x:v>
      </x:c>
      <x:c r="K10" s="210" t="str"/>
      <x:c r="L10" s="279" t="inlineStr">
        <x:is>
          <x:t xml:space="preserve">Bancassurance conduct review</x:t>
        </x:is>
      </x:c>
      <x:c r="M10" s="279" t="inlineStr">
        <x:is>
          <x:t xml:space="preserve">High</x:t>
        </x:is>
      </x:c>
      <x:c r="N10" s="279" t="inlineStr">
        <x:is>
          <x:t xml:space="preserve">Await internal conduct remediation evidence</x:t>
        </x:is>
      </x:c>
    </x:row>
  </x:sheetData>
  <x:mergeCells>
    <x:mergeCell ref="A2:N2"/>
    <x:mergeCell ref="A1:N1"/>
  </x:mergeCells>
  <x:conditionalFormatting sqref="M5:M10">
    <x:cfRule type="expression" dxfId="3" priority="1">
      <x:formula>M5="High"</x:formula>
    </x:cfRule>
    <x:cfRule type="expression" dxfId="5" priority="2">
      <x:formula>M5="Medium"</x:formula>
    </x:cfRule>
  </x:conditionalFormatting>
  <x:dataValidations count="3">
    <x:dataValidation type="list" allowBlank="0" showDropDown="0" showInputMessage="0" showErrorMessage="0" sqref="F5:F80">
      <x:formula1>"Drafting,Internal Legal Review,Compliance Review,Submitted,Regulator Review,Pre-consultation,Approved,On Hold,Rejected/Withdrawn"</x:formula1>
    </x:dataValidation>
    <x:dataValidation type="list" allowBlank="0" showDropDown="0" showInputMessage="0" showErrorMessage="0" sqref="M5:M80">
      <x:formula1>"Low,Medium,High"</x:formula1>
    </x:dataValidation>
    <x:dataValidation type="list" allowBlank="0" showDropDown="0" showInputMessage="0" showErrorMessage="0" sqref="D4:D200">
      <x:formula1>"MOF,ISA,IAV,SBV,MIC,VCA,Regional Office"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68b0404b184bb4"/>
  </x:tableParts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18" style="265" customWidth="1"/>
    <x:col min="7" max="7" width="18" style="265" customWidth="1"/>
    <x:col min="8" max="8" width="18" style="265" customWidth="1"/>
    <x:col min="9" max="9" width="18" style="265" customWidth="1"/>
    <x:col min="10" max="10" width="18" style="265" customWidth="1"/>
    <x:col min="11" max="11" width="18" style="265" customWidth="1"/>
    <x:col min="12" max="12" width="18" style="265" customWidth="1"/>
    <x:col min="13" max="13" width="18" style="265" customWidth="1"/>
    <x:col min="14" max="14" width="18" style="265" customWidth="1"/>
    <x:col min="15" max="15" width="18" style="265" customWidth="1"/>
    <x:col min="16" max="16" width="18" style="265" customWidth="1"/>
    <x:col min="17" max="17" width="18" style="265" customWidth="1"/>
    <x:col min="18" max="18" width="18" style="265" customWidth="1"/>
    <x:col min="19" max="19" width="18" style="265" customWidth="1"/>
    <x:col min="20" max="20" width="18" style="265" customWidth="1"/>
    <x:col min="21" max="21" width="18" style="265" customWidth="1"/>
    <x:col min="22" max="22" width="18" style="265" customWidth="1"/>
    <x:col min="23" max="23" width="18" style="265" customWidth="1"/>
    <x:col min="24" max="24" width="18" style="265" customWidth="1"/>
    <x:col min="25" max="25" width="18" style="265" customWidth="1"/>
    <x:col min="26" max="26" width="18" style="265" customWidth="1"/>
  </x:cols>
  <x:sheetData>
    <x:row r="1" s="265" customFormat="1" ht="28" customHeight="1">
      <x:c r="A1" s="139" t="inlineStr">
        <x:is>
          <x:t xml:space="preserve">Internal Coordination Tracker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279" t="n"/>
      <x:c r="O1" s="279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 s="265" customFormat="1" ht="22" customHeight="1">
      <x:c r="A2" s="140" t="inlineStr">
        <x:is>
          <x:t xml:space="preserve">Follow-up matrix with Legal, Compliance, Product, Finance, Distribution and Regional Office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</x:row>
    <x:row r="4" s="265" customFormat="1" ht="30" customHeight="1">
      <x:c r="A4" s="86" t="inlineStr">
        <x:is>
          <x:t xml:space="preserve">Item ID</x:t>
        </x:is>
      </x:c>
      <x:c r="B4" s="86" t="inlineStr">
        <x:is>
          <x:t xml:space="preserve">Department</x:t>
        </x:is>
      </x:c>
      <x:c r="C4" s="86" t="inlineStr">
        <x:is>
          <x:t xml:space="preserve">Request / Input Needed</x:t>
        </x:is>
      </x:c>
      <x:c r="D4" s="86" t="inlineStr">
        <x:is>
          <x:t xml:space="preserve">Linked Matter</x:t>
        </x:is>
      </x:c>
      <x:c r="E4" s="86" t="inlineStr">
        <x:is>
          <x:t xml:space="preserve">Request Date</x:t>
        </x:is>
      </x:c>
      <x:c r="F4" s="86" t="inlineStr">
        <x:is>
          <x:t xml:space="preserve">Due Date</x:t>
        </x:is>
      </x:c>
      <x:c r="G4" s="86" t="inlineStr">
        <x:is>
          <x:t xml:space="preserve">SLA Days</x:t>
        </x:is>
      </x:c>
      <x:c r="H4" s="86" t="inlineStr">
        <x:is>
          <x:t xml:space="preserve">Owner</x:t>
        </x:is>
      </x:c>
      <x:c r="I4" s="86" t="inlineStr">
        <x:is>
          <x:t xml:space="preserve">Status</x:t>
        </x:is>
      </x:c>
      <x:c r="J4" s="86" t="inlineStr">
        <x:is>
          <x:t xml:space="preserve">Escalation</x:t>
        </x:is>
      </x:c>
      <x:c r="K4" s="86" t="inlineStr">
        <x:is>
          <x:t xml:space="preserve">Days to Due</x:t>
        </x:is>
      </x:c>
      <x:c r="L4" s="86" t="inlineStr">
        <x:is>
          <x:t xml:space="preserve">Reminder Sent</x:t>
        </x:is>
      </x:c>
      <x:c r="M4" s="86" t="inlineStr">
        <x:is>
          <x:t xml:space="preserve">Management Attention</x:t>
        </x:is>
      </x:c>
    </x:row>
    <x:row r="5">
      <x:c r="A5" s="279" t="inlineStr">
        <x:is>
          <x:t xml:space="preserve">INT-001</x:t>
        </x:is>
      </x:c>
      <x:c r="B5" s="279" t="inlineStr">
        <x:is>
          <x:t xml:space="preserve">Legal</x:t>
        </x:is>
      </x:c>
      <x:c r="C5" s="279" t="inlineStr">
        <x:is>
          <x:t xml:space="preserve">Review official letter to ISA for product clarification</x:t>
        </x:is>
      </x:c>
      <x:c r="D5" s="279" t="inlineStr">
        <x:is>
          <x:t xml:space="preserve">PROD-001</x:t>
        </x:is>
      </x:c>
      <x:c r="E5" s="210" t="n">
        <x:v>46181</x:v>
      </x:c>
      <x:c r="F5" s="210" t="n">
        <x:v>46186</x:v>
      </x:c>
      <x:c r="G5" s="279" t="n">
        <x:f>F5-E5</x:f>
        <x:v>5</x:v>
      </x:c>
      <x:c r="H5" s="279" t="inlineStr">
        <x:is>
          <x:t xml:space="preserve">Legal Counsel</x:t>
        </x:is>
      </x:c>
      <x:c r="I5" s="279" t="inlineStr">
        <x:is>
          <x:t xml:space="preserve">In Progress</x:t>
        </x:is>
      </x:c>
      <x:c r="J5" s="279" t="inlineStr">
        <x:is>
          <x:t xml:space="preserve">No</x:t>
        </x:is>
      </x:c>
      <x:c r="K5" s="279" t="n">
        <x:f>F5-TODAY()</x:f>
        <x:v>-32</x:v>
      </x:c>
      <x:c r="L5" s="279" t="inlineStr">
        <x:is>
          <x:t xml:space="preserve">Yes</x:t>
        </x:is>
      </x:c>
      <x:c r="M5" s="279" t="str">
        <x:f>IF(K5&lt;0,"Yes",IF(AND(K5&lt;=2,I5&lt;&gt;"Done"),"Potential","No"))</x:f>
        <x:v>Yes</x:v>
      </x:c>
    </x:row>
    <x:row r="6">
      <x:c r="A6" s="279" t="inlineStr">
        <x:is>
          <x:t xml:space="preserve">INT-002</x:t>
        </x:is>
      </x:c>
      <x:c r="B6" s="279" t="inlineStr">
        <x:is>
          <x:t xml:space="preserve">Compliance</x:t>
        </x:is>
      </x:c>
      <x:c r="C6" s="279" t="inlineStr">
        <x:is>
          <x:t xml:space="preserve">Confirm market conduct controls for bancassurance response</x:t>
        </x:is>
      </x:c>
      <x:c r="D6" s="279" t="inlineStr">
        <x:is>
          <x:t xml:space="preserve">SBV-IN-2026-006</x:t>
        </x:is>
      </x:c>
      <x:c r="E6" s="210" t="n">
        <x:v>46179</x:v>
      </x:c>
      <x:c r="F6" s="210" t="n">
        <x:v>46185</x:v>
      </x:c>
      <x:c r="G6" s="279" t="n">
        <x:f>F6-E6</x:f>
        <x:v>6</x:v>
      </x:c>
      <x:c r="H6" s="279" t="inlineStr">
        <x:is>
          <x:t xml:space="preserve">Compliance Manager</x:t>
        </x:is>
      </x:c>
      <x:c r="I6" s="279" t="inlineStr">
        <x:is>
          <x:t xml:space="preserve">Pending</x:t>
        </x:is>
      </x:c>
      <x:c r="J6" s="279" t="inlineStr">
        <x:is>
          <x:t xml:space="preserve">Yes</x:t>
        </x:is>
      </x:c>
      <x:c r="K6" s="279" t="n">
        <x:f>F6-TODAY()</x:f>
        <x:v>-33</x:v>
      </x:c>
      <x:c r="L6" s="279" t="inlineStr">
        <x:is>
          <x:t xml:space="preserve">Yes</x:t>
        </x:is>
      </x:c>
      <x:c r="M6" s="279" t="str">
        <x:f>IF(K6&lt;0,"Yes",IF(AND(K6&lt;=2,I6&lt;&gt;"Done"),"Potential","No"))</x:f>
        <x:v>Yes</x:v>
      </x:c>
    </x:row>
    <x:row r="7">
      <x:c r="A7" s="279" t="inlineStr">
        <x:is>
          <x:t xml:space="preserve">INT-003</x:t>
        </x:is>
      </x:c>
      <x:c r="B7" s="279" t="inlineStr">
        <x:is>
          <x:t xml:space="preserve">Finance</x:t>
        </x:is>
      </x:c>
      <x:c r="C7" s="279" t="inlineStr">
        <x:is>
          <x:t xml:space="preserve">Provide capital adequacy figures and management sign-off</x:t>
        </x:is>
      </x:c>
      <x:c r="D7" s="279" t="inlineStr">
        <x:is>
          <x:t xml:space="preserve">OBL-002</x:t>
        </x:is>
      </x:c>
      <x:c r="E7" s="210" t="n">
        <x:v>46183</x:v>
      </x:c>
      <x:c r="F7" s="210" t="n">
        <x:v>46191</x:v>
      </x:c>
      <x:c r="G7" s="279" t="n">
        <x:f>F7-E7</x:f>
        <x:v>8</x:v>
      </x:c>
      <x:c r="H7" s="279" t="inlineStr">
        <x:is>
          <x:t xml:space="preserve">Finance Controller</x:t>
        </x:is>
      </x:c>
      <x:c r="I7" s="279" t="inlineStr">
        <x:is>
          <x:t xml:space="preserve">Open</x:t>
        </x:is>
      </x:c>
      <x:c r="J7" s="279" t="inlineStr">
        <x:is>
          <x:t xml:space="preserve">No</x:t>
        </x:is>
      </x:c>
      <x:c r="K7" s="279" t="n">
        <x:f>F7-TODAY()</x:f>
        <x:v>-27</x:v>
      </x:c>
      <x:c r="L7" s="279" t="inlineStr">
        <x:is>
          <x:t xml:space="preserve">No</x:t>
        </x:is>
      </x:c>
      <x:c r="M7" s="279" t="str">
        <x:f>IF(K7&lt;0,"Yes",IF(AND(K7&lt;=2,I7&lt;&gt;"Done"),"Potential","No"))</x:f>
        <x:v>Yes</x:v>
      </x:c>
    </x:row>
    <x:row r="8">
      <x:c r="A8" s="279" t="inlineStr">
        <x:is>
          <x:t xml:space="preserve">INT-004</x:t>
        </x:is>
      </x:c>
      <x:c r="B8" s="279" t="inlineStr">
        <x:is>
          <x:t xml:space="preserve">Product</x:t>
        </x:is>
      </x:c>
      <x:c r="C8" s="279" t="inlineStr">
        <x:is>
          <x:t xml:space="preserve">Update product disclosure comparison table</x:t>
        </x:is>
      </x:c>
      <x:c r="D8" s="279" t="inlineStr">
        <x:is>
          <x:t xml:space="preserve">PROD-001</x:t>
        </x:is>
      </x:c>
      <x:c r="E8" s="210" t="n">
        <x:v>46182</x:v>
      </x:c>
      <x:c r="F8" s="210" t="n">
        <x:v>46187</x:v>
      </x:c>
      <x:c r="G8" s="279" t="n">
        <x:f>F8-E8</x:f>
        <x:v>5</x:v>
      </x:c>
      <x:c r="H8" s="279" t="inlineStr">
        <x:is>
          <x:t xml:space="preserve">Product Lead</x:t>
        </x:is>
      </x:c>
      <x:c r="I8" s="279" t="inlineStr">
        <x:is>
          <x:t xml:space="preserve">In Progress</x:t>
        </x:is>
      </x:c>
      <x:c r="J8" s="279" t="inlineStr">
        <x:is>
          <x:t xml:space="preserve">No</x:t>
        </x:is>
      </x:c>
      <x:c r="K8" s="279" t="n">
        <x:f>F8-TODAY()</x:f>
        <x:v>-31</x:v>
      </x:c>
      <x:c r="L8" s="279" t="inlineStr">
        <x:is>
          <x:t xml:space="preserve">Yes</x:t>
        </x:is>
      </x:c>
      <x:c r="M8" s="279" t="str">
        <x:f>IF(K8&lt;0,"Yes",IF(AND(K8&lt;=2,I8&lt;&gt;"Done"),"Potential","No"))</x:f>
        <x:v>Yes</x:v>
      </x:c>
    </x:row>
    <x:row r="9">
      <x:c r="A9" s="279" t="inlineStr">
        <x:is>
          <x:t xml:space="preserve">INT-005</x:t>
        </x:is>
      </x:c>
      <x:c r="B9" s="279" t="inlineStr">
        <x:is>
          <x:t xml:space="preserve">Customer Service</x:t>
        </x:is>
      </x:c>
      <x:c r="C9" s="279" t="inlineStr">
        <x:is>
          <x:t xml:space="preserve">Extract monthly complaint statistics and root-cause analysis</x:t>
        </x:is>
      </x:c>
      <x:c r="D9" s="279" t="inlineStr">
        <x:is>
          <x:t xml:space="preserve">MOF-IN-2026-022</x:t>
        </x:is>
      </x:c>
      <x:c r="E9" s="210" t="n">
        <x:v>46180</x:v>
      </x:c>
      <x:c r="F9" s="210" t="n">
        <x:v>46186</x:v>
      </x:c>
      <x:c r="G9" s="279" t="n">
        <x:f>F9-E9</x:f>
        <x:v>6</x:v>
      </x:c>
      <x:c r="H9" s="279" t="inlineStr">
        <x:is>
          <x:t xml:space="preserve">CS Manager</x:t>
        </x:is>
      </x:c>
      <x:c r="I9" s="279" t="inlineStr">
        <x:is>
          <x:t xml:space="preserve">In Progress</x:t>
        </x:is>
      </x:c>
      <x:c r="J9" s="279" t="inlineStr">
        <x:is>
          <x:t xml:space="preserve">No</x:t>
        </x:is>
      </x:c>
      <x:c r="K9" s="279" t="n">
        <x:f>F9-TODAY()</x:f>
        <x:v>-32</x:v>
      </x:c>
      <x:c r="L9" s="279" t="inlineStr">
        <x:is>
          <x:t xml:space="preserve">Yes</x:t>
        </x:is>
      </x:c>
      <x:c r="M9" s="279" t="str">
        <x:f>IF(K9&lt;0,"Yes",IF(AND(K9&lt;=2,I9&lt;&gt;"Done"),"Potential","No"))</x:f>
        <x:v>Yes</x:v>
      </x:c>
    </x:row>
    <x:row r="10">
      <x:c r="A10" s="279" t="inlineStr">
        <x:is>
          <x:t xml:space="preserve">INT-006</x:t>
        </x:is>
      </x:c>
      <x:c r="B10" s="279" t="inlineStr">
        <x:is>
          <x:t xml:space="preserve">IT / Data</x:t>
        </x:is>
      </x:c>
      <x:c r="C10" s="279" t="inlineStr">
        <x:is>
          <x:t xml:space="preserve">Validate data processing inventory for MIC consultation</x:t>
        </x:is>
      </x:c>
      <x:c r="D10" s="279" t="inlineStr">
        <x:is>
          <x:t xml:space="preserve">MIC-IN-2026-004</x:t>
        </x:is>
      </x:c>
      <x:c r="E10" s="210" t="n">
        <x:v>46178</x:v>
      </x:c>
      <x:c r="F10" s="210" t="n">
        <x:v>46192</x:v>
      </x:c>
      <x:c r="G10" s="279" t="n">
        <x:f>F10-E10</x:f>
        <x:v>14</x:v>
      </x:c>
      <x:c r="H10" s="279" t="inlineStr">
        <x:is>
          <x:t xml:space="preserve">Data Privacy Officer</x:t>
        </x:is>
      </x:c>
      <x:c r="I10" s="279" t="inlineStr">
        <x:is>
          <x:t xml:space="preserve">Open</x:t>
        </x:is>
      </x:c>
      <x:c r="J10" s="279" t="inlineStr">
        <x:is>
          <x:t xml:space="preserve">No</x:t>
        </x:is>
      </x:c>
      <x:c r="K10" s="279" t="n">
        <x:f>F10-TODAY()</x:f>
        <x:v>-26</x:v>
      </x:c>
      <x:c r="L10" s="279" t="inlineStr">
        <x:is>
          <x:t xml:space="preserve">No</x:t>
        </x:is>
      </x:c>
      <x:c r="M10" s="279" t="str">
        <x:f>IF(K10&lt;0,"Yes",IF(AND(K10&lt;=2,I10&lt;&gt;"Done"),"Potential","No"))</x:f>
        <x:v>Yes</x:v>
      </x:c>
    </x:row>
    <x:row r="11">
      <x:c r="A11" s="279" t="inlineStr">
        <x:is>
          <x:t xml:space="preserve">INT-007</x:t>
        </x:is>
      </x:c>
      <x:c r="B11" s="279" t="inlineStr">
        <x:is>
          <x:t xml:space="preserve">Regional Office</x:t>
        </x:is>
      </x:c>
      <x:c r="C11" s="279" t="inlineStr">
        <x:is>
          <x:t xml:space="preserve">Confirm APAC position on ESG disclosure readiness</x:t>
        </x:is>
      </x:c>
      <x:c r="D11" s="279" t="inlineStr">
        <x:is>
          <x:t xml:space="preserve">OBL-009</x:t>
        </x:is>
      </x:c>
      <x:c r="E11" s="210" t="n">
        <x:v>46183</x:v>
      </x:c>
      <x:c r="F11" s="210" t="n">
        <x:v>46198</x:v>
      </x:c>
      <x:c r="G11" s="279" t="n">
        <x:f>F11-E11</x:f>
        <x:v>15</x:v>
      </x:c>
      <x:c r="H11" s="279" t="inlineStr">
        <x:is>
          <x:t xml:space="preserve">Regional PA</x:t>
        </x:is>
      </x:c>
      <x:c r="I11" s="279" t="inlineStr">
        <x:is>
          <x:t xml:space="preserve">Open</x:t>
        </x:is>
      </x:c>
      <x:c r="J11" s="279" t="inlineStr">
        <x:is>
          <x:t xml:space="preserve">No</x:t>
        </x:is>
      </x:c>
      <x:c r="K11" s="279" t="n">
        <x:f>F11-TODAY()</x:f>
        <x:v>-20</x:v>
      </x:c>
      <x:c r="L11" s="279" t="inlineStr">
        <x:is>
          <x:t xml:space="preserve">No</x:t>
        </x:is>
      </x:c>
      <x:c r="M11" s="279" t="str">
        <x:f>IF(K11&lt;0,"Yes",IF(AND(K11&lt;=2,I11&lt;&gt;"Done"),"Potential","No"))</x:f>
        <x:v>Yes</x:v>
      </x:c>
    </x:row>
  </x:sheetData>
  <x:mergeCells>
    <x:mergeCell ref="A2:M2"/>
    <x:mergeCell ref="A1:M1"/>
  </x:mergeCells>
  <x:conditionalFormatting sqref="J5:J11">
    <x:cfRule type="expression" dxfId="3" priority="1">
      <x:formula>J5="Yes"</x:formula>
    </x:cfRule>
  </x:conditionalFormatting>
  <x:conditionalFormatting sqref="M5:M11">
    <x:cfRule type="expression" dxfId="3" priority="2">
      <x:formula>M5="Yes"</x:formula>
    </x:cfRule>
  </x:conditionalFormatting>
  <x:dataValidations count="3">
    <x:dataValidation type="list" allowBlank="0" showDropDown="0" showInputMessage="0" showErrorMessage="0" sqref="I5:I80">
      <x:formula1>"Open,Pending,In Progress,Done,Blocked"</x:formula1>
    </x:dataValidation>
    <x:dataValidation type="list" allowBlank="0" showDropDown="0" showInputMessage="0" showErrorMessage="0" sqref="C4:C200">
      <x:formula1>"Legal,Compliance,Finance,Product,Agency,Bancassurance,Operations,CEO Office,Public Affairs,Risk"</x:formula1>
    </x:dataValidation>
    <x:dataValidation type="list" allowBlank="0" showDropDown="0" showInputMessage="0" showErrorMessage="0" sqref="H4:H200">
      <x:formula1>"On Track,Due Soon,Overdue,Submitted,Approved,In Review,Drafting,Waiting Internal Input,Open,Closed,In Progress,Blocked,Pending,Done,Not Started"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4cf93f3f84401a"/>
  </x:tableParts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18" style="265" customWidth="1"/>
    <x:col min="7" max="7" width="18" style="265" customWidth="1"/>
    <x:col min="8" max="8" width="18" style="265" customWidth="1"/>
    <x:col min="9" max="9" width="18" style="265" customWidth="1"/>
    <x:col min="10" max="10" width="18" style="265" customWidth="1"/>
    <x:col min="11" max="11" width="18" style="265" customWidth="1"/>
    <x:col min="12" max="12" width="18" style="265" customWidth="1"/>
    <x:col min="13" max="13" width="18" style="265" customWidth="1"/>
    <x:col min="14" max="14" width="18" style="265" customWidth="1"/>
    <x:col min="15" max="15" width="18" style="265" customWidth="1"/>
    <x:col min="16" max="16" width="18" style="265" customWidth="1"/>
    <x:col min="17" max="17" width="18" style="265" customWidth="1"/>
    <x:col min="18" max="18" width="18" style="265" customWidth="1"/>
    <x:col min="19" max="19" width="18" style="265" customWidth="1"/>
    <x:col min="20" max="20" width="18" style="265" customWidth="1"/>
    <x:col min="21" max="21" width="18" style="265" customWidth="1"/>
    <x:col min="22" max="22" width="18" style="265" customWidth="1"/>
    <x:col min="23" max="23" width="18" style="265" customWidth="1"/>
    <x:col min="24" max="24" width="18" style="265" customWidth="1"/>
    <x:col min="25" max="25" width="18" style="265" customWidth="1"/>
    <x:col min="26" max="26" width="18" style="265" customWidth="1"/>
  </x:cols>
  <x:sheetData>
    <x:row r="1" s="265" customFormat="1" ht="28" customHeight="1">
      <x:c r="A1" s="139" t="inlineStr">
        <x:is>
          <x:t xml:space="preserve">Meeting Intelligence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 s="265" customFormat="1" ht="22" customHeight="1">
      <x:c r="A2" s="143" t="inlineStr">
        <x:is>
          <x:t xml:space="preserve">Before-meeting preparation and after-meeting commitments/action tracking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279" t="n"/>
      <x:c r="Q2" s="279" t="n"/>
      <x:c r="R2" s="279" t="n"/>
      <x:c r="S2" s="279" t="n"/>
      <x:c r="T2" s="279" t="n"/>
      <x:c r="U2" s="279" t="n"/>
      <x:c r="V2" s="279" t="n"/>
      <x:c r="W2" s="279" t="n"/>
      <x:c r="X2" s="279" t="n"/>
      <x:c r="Y2" s="279" t="n"/>
      <x:c r="Z2" s="279" t="n"/>
    </x:row>
    <x:row r="3">
      <x:c r="A3" s="279" t="n"/>
      <x:c r="B3" s="279" t="n"/>
      <x:c r="C3" s="279" t="n"/>
      <x:c r="D3" s="279" t="n"/>
      <x:c r="E3" s="279" t="n"/>
      <x:c r="F3" s="279" t="n"/>
      <x:c r="G3" s="279" t="n"/>
      <x:c r="H3" s="279" t="n"/>
      <x:c r="I3" s="279" t="n"/>
      <x:c r="J3" s="279" t="n"/>
      <x:c r="K3" s="279" t="n"/>
      <x:c r="L3" s="279" t="n"/>
      <x:c r="M3" s="279" t="n"/>
      <x:c r="N3" s="279" t="n"/>
      <x:c r="O3" s="279" t="n"/>
      <x:c r="P3" s="279" t="n"/>
      <x:c r="Q3" s="279" t="n"/>
      <x:c r="R3" s="279" t="n"/>
      <x:c r="S3" s="279" t="n"/>
      <x:c r="T3" s="279" t="n"/>
      <x:c r="U3" s="279" t="n"/>
      <x:c r="V3" s="279" t="n"/>
      <x:c r="W3" s="279" t="n"/>
      <x:c r="X3" s="279" t="n"/>
      <x:c r="Y3" s="279" t="n"/>
      <x:c r="Z3" s="279" t="n"/>
    </x:row>
    <x:row r="4" s="265" customFormat="1" ht="30" customHeight="1">
      <x:c r="A4" s="144" t="inlineStr">
        <x:is>
          <x:t xml:space="preserve">Meeting ID</x:t>
        </x:is>
      </x:c>
      <x:c r="B4" s="144" t="inlineStr">
        <x:is>
          <x:t xml:space="preserve">Date</x:t>
        </x:is>
      </x:c>
      <x:c r="C4" s="144" t="inlineStr">
        <x:is>
          <x:t xml:space="preserve">Regulator</x:t>
        </x:is>
      </x:c>
      <x:c r="D4" s="144" t="inlineStr">
        <x:is>
          <x:t xml:space="preserve">Topic</x:t>
        </x:is>
      </x:c>
      <x:c r="E4" s="144" t="inlineStr">
        <x:is>
          <x:t xml:space="preserve">Meeting Type</x:t>
        </x:is>
      </x:c>
      <x:c r="F4" s="144" t="inlineStr">
        <x:is>
          <x:t xml:space="preserve">Pre-Meeting Objective</x:t>
        </x:is>
      </x:c>
      <x:c r="G4" s="144" t="inlineStr">
        <x:is>
          <x:t xml:space="preserve">Key Talking Points</x:t>
        </x:is>
      </x:c>
      <x:c r="H4" s="144" t="inlineStr">
        <x:is>
          <x:t xml:space="preserve">Potential Regulator Questions</x:t>
        </x:is>
      </x:c>
      <x:c r="I4" s="144" t="inlineStr">
        <x:is>
          <x:t xml:space="preserve">Recommended Position</x:t>
        </x:is>
      </x:c>
      <x:c r="J4" s="144" t="inlineStr">
        <x:is>
          <x:t xml:space="preserve">Commitments Made</x:t>
        </x:is>
      </x:c>
      <x:c r="K4" s="144" t="inlineStr">
        <x:is>
          <x:t xml:space="preserve">Action Owner</x:t>
        </x:is>
      </x:c>
      <x:c r="L4" s="144" t="inlineStr">
        <x:is>
          <x:t xml:space="preserve">Action Due Date</x:t>
        </x:is>
      </x:c>
      <x:c r="M4" s="144" t="inlineStr">
        <x:is>
          <x:t xml:space="preserve">Status</x:t>
        </x:is>
      </x:c>
      <x:c r="N4" s="144" t="inlineStr">
        <x:is>
          <x:t xml:space="preserve">Institutional Memory Note</x:t>
        </x:is>
      </x:c>
      <x:c r="O4" s="144" t="inlineStr">
        <x:is>
          <x:t xml:space="preserve">Linked Documents</x:t>
        </x:is>
      </x:c>
      <x:c r="P4" s="279" t="n"/>
      <x:c r="Q4" s="279" t="n"/>
      <x:c r="R4" s="279" t="n"/>
      <x:c r="S4" s="279" t="n"/>
      <x:c r="T4" s="279" t="n"/>
      <x:c r="U4" s="279" t="n"/>
      <x:c r="V4" s="279" t="n"/>
      <x:c r="W4" s="279" t="n"/>
      <x:c r="X4" s="279" t="n"/>
      <x:c r="Y4" s="279" t="n"/>
      <x:c r="Z4" s="279" t="n"/>
    </x:row>
    <x:row r="5">
      <x:c r="A5" s="279" t="inlineStr">
        <x:is>
          <x:t xml:space="preserve">MTG-001</x:t>
        </x:is>
      </x:c>
      <x:c r="B5" s="210" t="n">
        <x:v>46187</x:v>
      </x:c>
      <x:c r="C5" s="279" t="inlineStr">
        <x:is>
          <x:t xml:space="preserve">ISA</x:t>
        </x:is>
      </x:c>
      <x:c r="D5" s="279" t="inlineStr">
        <x:is>
          <x:t xml:space="preserve">Product approval clarification</x:t>
        </x:is>
      </x:c>
      <x:c r="E5" s="279" t="inlineStr">
        <x:is>
          <x:t xml:space="preserve">Technical session</x:t>
        </x:is>
      </x:c>
      <x:c r="F5" s="279" t="inlineStr">
        <x:is>
          <x:t xml:space="preserve">Clarify disclosure and benefit illustration questions</x:t>
        </x:is>
      </x:c>
      <x:c r="G5" s="279" t="inlineStr">
        <x:is>
          <x:t xml:space="preserve">Customer protection; transparent illustration; internal controls</x:t>
        </x:is>
      </x:c>
      <x:c r="H5" s="279" t="inlineStr">
        <x:is>
          <x:t xml:space="preserve">How does the product avoid mis-selling? What disclosures are provided?</x:t>
        </x:is>
      </x:c>
      <x:c r="I5" s="279" t="inlineStr">
        <x:is>
          <x:t xml:space="preserve">Support ISA's customer protection objective with evidence</x:t>
        </x:is>
      </x:c>
      <x:c r="J5" s="279" t="inlineStr">
        <x:is>
          <x:t xml:space="preserve">Submit revised Q&amp;A and disclosure note</x:t>
        </x:is>
      </x:c>
      <x:c r="K5" s="279" t="inlineStr">
        <x:is>
          <x:t xml:space="preserve">Product / Legal</x:t>
        </x:is>
      </x:c>
      <x:c r="L5" s="210" t="n">
        <x:v>46190</x:v>
      </x:c>
      <x:c r="M5" s="279" t="inlineStr">
        <x:is>
          <x:t xml:space="preserve">Open</x:t>
        </x:is>
      </x:c>
      <x:c r="N5" s="279" t="inlineStr">
        <x:is>
          <x:t xml:space="preserve">ISA focused strongly on customer understanding and sales training evidence</x:t>
        </x:is>
      </x:c>
      <x:c r="O5" s="279" t="inlineStr">
        <x:is>
          <x:t xml:space="preserve">PROD-001 dossier</x:t>
        </x:is>
      </x:c>
      <x:c r="P5" s="279" t="n"/>
      <x:c r="Q5" s="279" t="n"/>
      <x:c r="R5" s="279" t="n"/>
      <x:c r="S5" s="279" t="n"/>
      <x:c r="T5" s="279" t="n"/>
      <x:c r="U5" s="279" t="n"/>
      <x:c r="V5" s="279" t="n"/>
      <x:c r="W5" s="279" t="n"/>
      <x:c r="X5" s="279" t="n"/>
      <x:c r="Y5" s="279" t="n"/>
      <x:c r="Z5" s="279" t="n"/>
    </x:row>
    <x:row r="6">
      <x:c r="A6" s="279" t="inlineStr">
        <x:is>
          <x:t xml:space="preserve">MTG-002</x:t>
        </x:is>
      </x:c>
      <x:c r="B6" s="210" t="n">
        <x:v>46191</x:v>
      </x:c>
      <x:c r="C6" s="279" t="inlineStr">
        <x:is>
          <x:t xml:space="preserve">MOF</x:t>
        </x:is>
      </x:c>
      <x:c r="D6" s="279" t="inlineStr">
        <x:is>
          <x:t xml:space="preserve">Capital adequacy reporting</x:t>
        </x:is>
      </x:c>
      <x:c r="E6" s="279" t="inlineStr">
        <x:is>
          <x:t xml:space="preserve">Strategic dialogue</x:t>
        </x:is>
      </x:c>
      <x:c r="F6" s="279" t="inlineStr">
        <x:is>
          <x:t xml:space="preserve">Confirm reporting expectations and timeline</x:t>
        </x:is>
      </x:c>
      <x:c r="G6" s="279" t="inlineStr">
        <x:is>
          <x:t xml:space="preserve">Capital strength; consistency; no delay</x:t>
        </x:is>
      </x:c>
      <x:c r="H6" s="279" t="inlineStr">
        <x:is>
          <x:t xml:space="preserve">Are solvency assumptions consistent with last quarter?</x:t>
        </x:is>
      </x:c>
      <x:c r="I6" s="279" t="inlineStr">
        <x:is>
          <x:t xml:space="preserve">Transparent and technical, avoid over-promising</x:t>
        </x:is>
      </x:c>
      <x:c r="J6" s="279" t="inlineStr">
        <x:is>
          <x:t xml:space="preserve">Provide signed actuarial memo</x:t>
        </x:is>
      </x:c>
      <x:c r="K6" s="279" t="inlineStr">
        <x:is>
          <x:t xml:space="preserve">Finance</x:t>
        </x:is>
      </x:c>
      <x:c r="L6" s="210" t="n">
        <x:v>46195</x:v>
      </x:c>
      <x:c r="M6" s="279" t="inlineStr">
        <x:is>
          <x:t xml:space="preserve">Open</x:t>
        </x:is>
      </x:c>
      <x:c r="N6" s="279" t="inlineStr">
        <x:is>
          <x:t xml:space="preserve">MOF values concise explanations and audited evidence</x:t>
        </x:is>
      </x:c>
      <x:c r="O6" s="279" t="inlineStr">
        <x:is>
          <x:t xml:space="preserve">Capital report pack</x:t>
        </x:is>
      </x:c>
      <x:c r="P6" s="279" t="n"/>
      <x:c r="Q6" s="279" t="n"/>
      <x:c r="R6" s="279" t="n"/>
      <x:c r="S6" s="279" t="n"/>
      <x:c r="T6" s="279" t="n"/>
      <x:c r="U6" s="279" t="n"/>
      <x:c r="V6" s="279" t="n"/>
      <x:c r="W6" s="279" t="n"/>
      <x:c r="X6" s="279" t="n"/>
      <x:c r="Y6" s="279" t="n"/>
      <x:c r="Z6" s="279" t="n"/>
    </x:row>
    <x:row r="7">
      <x:c r="A7" s="279" t="inlineStr">
        <x:is>
          <x:t xml:space="preserve">MTG-003</x:t>
        </x:is>
      </x:c>
      <x:c r="B7" s="210" t="n">
        <x:v>46193</x:v>
      </x:c>
      <x:c r="C7" s="279" t="inlineStr">
        <x:is>
          <x:t xml:space="preserve">IAV</x:t>
        </x:is>
      </x:c>
      <x:c r="D7" s="279" t="inlineStr">
        <x:is>
          <x:t xml:space="preserve">Product transparency working group</x:t>
        </x:is>
      </x:c>
      <x:c r="E7" s="279" t="inlineStr">
        <x:is>
          <x:t xml:space="preserve">Industry working group</x:t>
        </x:is>
      </x:c>
      <x:c r="F7" s="279" t="inlineStr">
        <x:is>
          <x:t xml:space="preserve">Align industry feedback on product disclosure</x:t>
        </x:is>
      </x:c>
      <x:c r="G7" s="279" t="inlineStr">
        <x:is>
          <x:t xml:space="preserve">Comparable disclosure; consumer education; implementation timeline</x:t>
        </x:is>
      </x:c>
      <x:c r="H7" s="279" t="inlineStr">
        <x:is>
          <x:t xml:space="preserve">Can industry agree on minimum disclosure standards?</x:t>
        </x:is>
      </x:c>
      <x:c r="I7" s="279" t="inlineStr">
        <x:is>
          <x:t xml:space="preserve">Use IAV channel to support balanced implementation</x:t>
        </x:is>
      </x:c>
      <x:c r="J7" s="279" t="inlineStr">
        <x:is>
          <x:t xml:space="preserve">Share Manulife draft position</x:t>
        </x:is>
      </x:c>
      <x:c r="K7" s="279" t="inlineStr">
        <x:is>
          <x:t xml:space="preserve">Regulatory &amp; PA</x:t>
        </x:is>
      </x:c>
      <x:c r="L7" s="210" t="n">
        <x:v>46197</x:v>
      </x:c>
      <x:c r="M7" s="279" t="inlineStr">
        <x:is>
          <x:t xml:space="preserve">Open</x:t>
        </x:is>
      </x:c>
      <x:c r="N7" s="279" t="inlineStr">
        <x:is>
          <x:t xml:space="preserve">IAV can help aggregate technical input</x:t>
        </x:is>
      </x:c>
      <x:c r="O7" s="279" t="inlineStr">
        <x:is>
          <x:t xml:space="preserve">IAV memo</x:t>
        </x:is>
      </x:c>
      <x:c r="P7" s="279" t="n"/>
      <x:c r="Q7" s="279" t="n"/>
      <x:c r="R7" s="279" t="n"/>
      <x:c r="S7" s="279" t="n"/>
      <x:c r="T7" s="279" t="n"/>
      <x:c r="U7" s="279" t="n"/>
      <x:c r="V7" s="279" t="n"/>
      <x:c r="W7" s="279" t="n"/>
      <x:c r="X7" s="279" t="n"/>
      <x:c r="Y7" s="279" t="n"/>
      <x:c r="Z7" s="279" t="n"/>
    </x:row>
    <x:row r="8">
      <x:c r="A8" s="279" t="inlineStr">
        <x:is>
          <x:t xml:space="preserve">MTG-004</x:t>
        </x:is>
      </x:c>
      <x:c r="B8" s="210" t="n">
        <x:v>46198</x:v>
      </x:c>
      <x:c r="C8" s="279" t="inlineStr">
        <x:is>
          <x:t xml:space="preserve">MIC</x:t>
        </x:is>
      </x:c>
      <x:c r="D8" s="279" t="inlineStr">
        <x:is>
          <x:t xml:space="preserve">Data localization consultation</x:t>
        </x:is>
      </x:c>
      <x:c r="E8" s="279" t="inlineStr">
        <x:is>
          <x:t xml:space="preserve">Consultation meeting</x:t>
        </x:is>
      </x:c>
      <x:c r="F8" s="279" t="inlineStr">
        <x:is>
          <x:t xml:space="preserve">Understand data storage interpretation</x:t>
        </x:is>
      </x:c>
      <x:c r="G8" s="279" t="inlineStr">
        <x:is>
          <x:t xml:space="preserve">Data security; cross-border processing; customer consent</x:t>
        </x:is>
      </x:c>
      <x:c r="H8" s="279" t="inlineStr">
        <x:is>
          <x:t xml:space="preserve">What data is stored overseas and why?</x:t>
        </x:is>
      </x:c>
      <x:c r="I8" s="279" t="inlineStr">
        <x:is>
          <x:t xml:space="preserve">Acknowledge policy objective; propose practical transition period</x:t>
        </x:is>
      </x:c>
      <x:c r="J8" s="279" t="inlineStr">
        <x:is>
          <x:t xml:space="preserve">Submit data flow summary</x:t>
        </x:is>
      </x:c>
      <x:c r="K8" s="279" t="inlineStr">
        <x:is>
          <x:t xml:space="preserve">IT / Legal</x:t>
        </x:is>
      </x:c>
      <x:c r="L8" s="210" t="n">
        <x:v>46203</x:v>
      </x:c>
      <x:c r="M8" s="279" t="inlineStr">
        <x:is>
          <x:t xml:space="preserve">Planned</x:t>
        </x:is>
      </x:c>
      <x:c r="N8" s="279" t="inlineStr">
        <x:is>
          <x:t xml:space="preserve">MIC likely expects clear mapping of customer data flows</x:t>
        </x:is>
      </x:c>
      <x:c r="O8" s="279" t="inlineStr">
        <x:is>
          <x:t xml:space="preserve">Data privacy inventory</x:t>
        </x:is>
      </x:c>
      <x:c r="P8" s="279" t="n"/>
      <x:c r="Q8" s="279" t="n"/>
      <x:c r="R8" s="279" t="n"/>
      <x:c r="S8" s="279" t="n"/>
      <x:c r="T8" s="279" t="n"/>
      <x:c r="U8" s="279" t="n"/>
      <x:c r="V8" s="279" t="n"/>
      <x:c r="W8" s="279" t="n"/>
      <x:c r="X8" s="279" t="n"/>
      <x:c r="Y8" s="279" t="n"/>
      <x:c r="Z8" s="279" t="n"/>
    </x:row>
    <x:row r="9">
      <x:c r="A9" s="279" t="n"/>
      <x:c r="B9" s="279" t="n"/>
      <x:c r="C9" s="279" t="n"/>
      <x:c r="D9" s="279" t="n"/>
      <x:c r="E9" s="279" t="n"/>
      <x:c r="F9" s="279" t="n"/>
      <x:c r="G9" s="279" t="n"/>
      <x:c r="H9" s="279" t="n"/>
      <x:c r="I9" s="279" t="n"/>
      <x:c r="J9" s="279" t="n"/>
      <x:c r="K9" s="279" t="n"/>
      <x:c r="L9" s="279" t="n"/>
      <x:c r="M9" s="279" t="n"/>
      <x:c r="N9" s="279" t="n"/>
      <x:c r="O9" s="279" t="n"/>
      <x:c r="P9" s="279" t="n"/>
      <x:c r="Q9" s="279" t="n"/>
      <x:c r="R9" s="279" t="n"/>
      <x:c r="S9" s="279" t="n"/>
      <x:c r="T9" s="279" t="n"/>
      <x:c r="U9" s="279" t="n"/>
      <x:c r="V9" s="279" t="n"/>
      <x:c r="W9" s="279" t="n"/>
      <x:c r="X9" s="279" t="n"/>
      <x:c r="Y9" s="279" t="n"/>
      <x:c r="Z9" s="279" t="n"/>
    </x:row>
    <x:row r="10">
      <x:c r="A10" s="279" t="inlineStr">
        <x:is>
          <x:t xml:space="preserve">Consolidation Note</x:t>
        </x:is>
      </x:c>
      <x:c r="B10" s="279" t="inlineStr">
        <x:is>
          <x:t xml:space="preserve">Merged Meeting_Brief into Meeting_Intelligence. Use this sheet for before-meeting briefs, commitments and follow-ups.</x:t>
        </x:is>
      </x:c>
      <x:c r="C10" s="279" t="n"/>
      <x:c r="D10" s="279" t="n"/>
      <x:c r="E10" s="279" t="n"/>
      <x:c r="F10" s="279" t="n"/>
      <x:c r="G10" s="279" t="n"/>
      <x:c r="H10" s="279" t="n"/>
      <x:c r="I10" s="279" t="n"/>
      <x:c r="J10" s="279" t="n"/>
      <x:c r="K10" s="279" t="n"/>
      <x:c r="L10" s="279" t="n"/>
      <x:c r="M10" s="279" t="n"/>
      <x:c r="N10" s="279" t="n"/>
      <x:c r="O10" s="279" t="n"/>
      <x:c r="P10" s="279" t="n"/>
      <x:c r="Q10" s="279" t="n"/>
      <x:c r="R10" s="279" t="n"/>
      <x:c r="S10" s="279" t="n"/>
      <x:c r="T10" s="279" t="n"/>
      <x:c r="U10" s="279" t="n"/>
      <x:c r="V10" s="279" t="n"/>
      <x:c r="W10" s="279" t="n"/>
      <x:c r="X10" s="279" t="n"/>
      <x:c r="Y10" s="279" t="n"/>
      <x:c r="Z10" s="279" t="n"/>
    </x:row>
    <x:row r="11">
      <x:c r="A11" s="279" t="inlineStr">
        <x:is>
          <x:t xml:space="preserve">Legacy Meeting Brief Summary</x:t>
        </x:is>
      </x:c>
      <x:c r="B11" s="279" t="inlineStr">
        <x:is>
          <x:t xml:space="preserve">Brief Field: Content | Meeting Title: ISA Technical Working Session - Product Approval | Date: 2026-06-11 00:00:00 | Purpose: Clarify regulator questions and present Manulife's compliance approach. | Background: Manulife has submitted a new product approval dossier and is awaiting technical feedback. | Key Talking Points: 1) Customer protection; 2) Product transparency; 3) Agent training; 4) Timely response to questions. | Potential Questions: How does Manulife prevent mis-selling? What disclosures are provided to customers? | Recommended Position: Support policy objectives, provide transparent evidence, avoid confrontational language. | Next Actions: Send follow-up note within 2 working days; assign owners for additional documents.</x:t>
        </x:is>
      </x:c>
      <x:c r="C11" s="279" t="n"/>
      <x:c r="D11" s="279" t="n"/>
      <x:c r="E11" s="279" t="n"/>
      <x:c r="F11" s="279" t="n"/>
      <x:c r="G11" s="279" t="n"/>
      <x:c r="H11" s="279" t="n"/>
      <x:c r="I11" s="279" t="n"/>
      <x:c r="J11" s="279" t="n"/>
      <x:c r="K11" s="279" t="n"/>
      <x:c r="L11" s="279" t="n"/>
      <x:c r="M11" s="279" t="n"/>
      <x:c r="N11" s="279" t="n"/>
      <x:c r="O11" s="279" t="n"/>
      <x:c r="P11" s="279" t="n"/>
      <x:c r="Q11" s="279" t="n"/>
      <x:c r="R11" s="279" t="n"/>
      <x:c r="S11" s="279" t="n"/>
      <x:c r="T11" s="279" t="n"/>
      <x:c r="U11" s="279" t="n"/>
      <x:c r="V11" s="279" t="n"/>
      <x:c r="W11" s="279" t="n"/>
      <x:c r="X11" s="279" t="n"/>
      <x:c r="Y11" s="279" t="n"/>
      <x:c r="Z11" s="279" t="n"/>
    </x:row>
  </x:sheetData>
  <x:mergeCells>
    <x:mergeCell ref="A1:O1"/>
    <x:mergeCell ref="A2:O2"/>
  </x:mergeCells>
  <x:dataValidations count="1">
    <x:dataValidation type="list" allowBlank="0" showDropDown="0" showInputMessage="0" showErrorMessage="0" sqref="M5:M80">
      <x:formula1>"Planned,Open,In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76be0d3c0b45b5"/>
  </x:tableParts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18" style="265" customWidth="1"/>
    <x:col min="7" max="7" width="18" style="265" customWidth="1"/>
    <x:col min="8" max="8" width="18" style="265" customWidth="1"/>
    <x:col min="9" max="9" width="18" style="265" customWidth="1"/>
    <x:col min="10" max="10" width="18" style="265" customWidth="1"/>
    <x:col min="11" max="11" width="18" style="265" customWidth="1"/>
    <x:col min="12" max="12" width="18" style="265" customWidth="1"/>
    <x:col min="13" max="13" width="18" style="265" customWidth="1"/>
    <x:col min="14" max="14" width="18" style="265" customWidth="1"/>
    <x:col min="15" max="15" width="18" style="265" customWidth="1"/>
    <x:col min="16" max="16" width="18" style="265" customWidth="1"/>
    <x:col min="17" max="17" width="18" style="265" customWidth="1"/>
    <x:col min="18" max="18" width="18" style="265" customWidth="1"/>
    <x:col min="19" max="19" width="18" style="265" customWidth="1"/>
    <x:col min="20" max="20" width="18" style="265" customWidth="1"/>
    <x:col min="21" max="21" width="18" style="265" customWidth="1"/>
    <x:col min="22" max="22" width="18" style="265" customWidth="1"/>
    <x:col min="23" max="23" width="18" style="265" customWidth="1"/>
    <x:col min="24" max="24" width="18" style="265" customWidth="1"/>
    <x:col min="25" max="25" width="18" style="265" customWidth="1"/>
    <x:col min="26" max="26" width="18" style="265" customWidth="1"/>
  </x:cols>
  <x:sheetData>
    <x:row r="1" s="265" customFormat="1" ht="28" customHeight="1">
      <x:c r="A1" s="139" t="inlineStr">
        <x:is>
          <x:t xml:space="preserve">Regulatory Inspection Readiness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279" t="n"/>
      <x:c r="M1" s="279" t="n"/>
      <x:c r="N1" s="279" t="n"/>
      <x:c r="O1" s="279" t="n"/>
      <x:c r="P1" s="279" t="n"/>
      <x:c r="Q1" s="279" t="n"/>
      <x:c r="R1" s="279" t="n"/>
      <x:c r="S1" s="279" t="n"/>
      <x:c r="T1" s="279" t="n"/>
      <x:c r="U1" s="279" t="n"/>
      <x:c r="V1" s="279" t="n"/>
      <x:c r="W1" s="279" t="n"/>
      <x:c r="X1" s="279" t="n"/>
      <x:c r="Y1" s="279" t="n"/>
      <x:c r="Z1" s="279" t="n"/>
    </x:row>
    <x:row r="2" s="265" customFormat="1" ht="22" customHeight="1">
      <x:c r="A2" s="140" t="inlineStr">
        <x:is>
          <x:t xml:space="preserve">Self-assessment dashboard for regulator inspection preparedness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</x:row>
    <x:row r="4" s="265" customFormat="1" ht="30" customHeight="1">
      <x:c r="A4" s="86" t="inlineStr">
        <x:is>
          <x:t xml:space="preserve">Area</x:t>
        </x:is>
      </x:c>
      <x:c r="B4" s="86" t="inlineStr">
        <x:is>
          <x:t xml:space="preserve">Regulator Focus</x:t>
        </x:is>
      </x:c>
      <x:c r="C4" s="86" t="inlineStr">
        <x:is>
          <x:t xml:space="preserve">Required Evidence</x:t>
        </x:is>
      </x:c>
      <x:c r="D4" s="86" t="inlineStr">
        <x:is>
          <x:t xml:space="preserve">Owner</x:t>
        </x:is>
      </x:c>
      <x:c r="E4" s="86" t="inlineStr">
        <x:is>
          <x:t xml:space="preserve">Last Review Date</x:t>
        </x:is>
      </x:c>
      <x:c r="F4" s="86" t="inlineStr">
        <x:is>
          <x:t xml:space="preserve">Readiness Score (0-100)</x:t>
        </x:is>
      </x:c>
      <x:c r="G4" s="86" t="inlineStr">
        <x:is>
          <x:t xml:space="preserve">Gap</x:t>
        </x:is>
      </x:c>
      <x:c r="H4" s="86" t="inlineStr">
        <x:is>
          <x:t xml:space="preserve">Remediation Action</x:t>
        </x:is>
      </x:c>
      <x:c r="I4" s="86" t="inlineStr">
        <x:is>
          <x:t xml:space="preserve">Due Date</x:t>
        </x:is>
      </x:c>
      <x:c r="J4" s="86" t="inlineStr">
        <x:is>
          <x:t xml:space="preserve">Status</x:t>
        </x:is>
      </x:c>
      <x:c r="K4" s="86" t="inlineStr">
        <x:is>
          <x:t xml:space="preserve">RAG</x:t>
        </x:is>
      </x:c>
    </x:row>
    <x:row r="5">
      <x:c r="A5" s="279" t="inlineStr">
        <x:is>
          <x:t xml:space="preserve">Regulatory reporting</x:t>
        </x:is>
      </x:c>
      <x:c r="B5" s="279" t="inlineStr">
        <x:is>
          <x:t xml:space="preserve">Timeliness and accuracy of periodic reports</x:t>
        </x:is>
      </x:c>
      <x:c r="C5" s="279" t="inlineStr">
        <x:is>
          <x:t xml:space="preserve">Submission log, signed reports, proof of receipt</x:t>
        </x:is>
      </x:c>
      <x:c r="D5" s="279" t="inlineStr">
        <x:is>
          <x:t xml:space="preserve">Regulatory Affairs</x:t>
        </x:is>
      </x:c>
      <x:c r="E5" s="210" t="n">
        <x:v>46174</x:v>
      </x:c>
      <x:c r="F5" s="279" t="n">
        <x:v>88</x:v>
      </x:c>
      <x:c r="G5" s="279" t="inlineStr">
        <x:is>
          <x:t xml:space="preserve">Some hard-copy receipts not archived</x:t>
        </x:is>
      </x:c>
      <x:c r="H5" s="279" t="inlineStr">
        <x:is>
          <x:t xml:space="preserve">Scan and archive receipt stamps</x:t>
        </x:is>
      </x:c>
      <x:c r="I5" s="210" t="n">
        <x:v>46193</x:v>
      </x:c>
      <x:c r="J5" s="279" t="inlineStr">
        <x:is>
          <x:t xml:space="preserve">In Progress</x:t>
        </x:is>
      </x:c>
      <x:c r="K5" s="279" t="str">
        <x:f>IF(F5&lt;70,"Red",IF(F5&lt;85,"Amber","Green"))</x:f>
        <x:v>Green</x:v>
      </x:c>
    </x:row>
    <x:row r="6">
      <x:c r="A6" s="279" t="inlineStr">
        <x:is>
          <x:t xml:space="preserve">Product filing</x:t>
        </x:is>
      </x:c>
      <x:c r="B6" s="279" t="inlineStr">
        <x:is>
          <x:t xml:space="preserve">Approval dossier completeness</x:t>
        </x:is>
      </x:c>
      <x:c r="C6" s="279" t="inlineStr">
        <x:is>
          <x:t xml:space="preserve">Product wordings, approval letters, actuarial memo</x:t>
        </x:is>
      </x:c>
      <x:c r="D6" s="279" t="inlineStr">
        <x:is>
          <x:t xml:space="preserve">Product / Legal</x:t>
        </x:is>
      </x:c>
      <x:c r="E6" s="210" t="n">
        <x:v>46176</x:v>
      </x:c>
      <x:c r="F6" s="279" t="n">
        <x:v>82</x:v>
      </x:c>
      <x:c r="G6" s="279" t="inlineStr">
        <x:is>
          <x:t xml:space="preserve">Benefit illustration Q&amp;A pending</x:t>
        </x:is>
      </x:c>
      <x:c r="H6" s="279" t="inlineStr">
        <x:is>
          <x:t xml:space="preserve">Finalize regulator Q&amp;A pack</x:t>
        </x:is>
      </x:c>
      <x:c r="I6" s="210" t="n">
        <x:v>46190</x:v>
      </x:c>
      <x:c r="J6" s="279" t="inlineStr">
        <x:is>
          <x:t xml:space="preserve">In Progress</x:t>
        </x:is>
      </x:c>
      <x:c r="K6" s="279" t="str">
        <x:f>IF(F6&lt;70,"Red",IF(F6&lt;85,"Amber","Green"))</x:f>
        <x:v>Amber</x:v>
      </x:c>
    </x:row>
    <x:row r="7">
      <x:c r="A7" s="279" t="inlineStr">
        <x:is>
          <x:t xml:space="preserve">Market conduct</x:t>
        </x:is>
      </x:c>
      <x:c r="B7" s="279" t="inlineStr">
        <x:is>
          <x:t xml:space="preserve">Complaint handling and sales conduct</x:t>
        </x:is>
      </x:c>
      <x:c r="C7" s="279" t="inlineStr">
        <x:is>
          <x:t xml:space="preserve">Complaint log, training evidence, root cause analysis</x:t>
        </x:is>
      </x:c>
      <x:c r="D7" s="279" t="inlineStr">
        <x:is>
          <x:t xml:space="preserve">Compliance / CS</x:t>
        </x:is>
      </x:c>
      <x:c r="E7" s="210" t="n">
        <x:v>46178</x:v>
      </x:c>
      <x:c r="F7" s="279" t="n">
        <x:v>76</x:v>
      </x:c>
      <x:c r="G7" s="279" t="inlineStr">
        <x:is>
          <x:t xml:space="preserve">Root-cause analysis incomplete</x:t>
        </x:is>
      </x:c>
      <x:c r="H7" s="279" t="inlineStr">
        <x:is>
          <x:t xml:space="preserve">Complete complaint trend report</x:t>
        </x:is>
      </x:c>
      <x:c r="I7" s="210" t="n">
        <x:v>46188</x:v>
      </x:c>
      <x:c r="J7" s="279" t="inlineStr">
        <x:is>
          <x:t xml:space="preserve">Open</x:t>
        </x:is>
      </x:c>
      <x:c r="K7" s="279" t="str">
        <x:f>IF(F7&lt;70,"Red",IF(F7&lt;85,"Amber","Green"))</x:f>
        <x:v>Amber</x:v>
      </x:c>
    </x:row>
    <x:row r="8">
      <x:c r="A8" s="279" t="inlineStr">
        <x:is>
          <x:t xml:space="preserve">Bancassurance</x:t>
        </x:is>
      </x:c>
      <x:c r="B8" s="279" t="inlineStr">
        <x:is>
          <x:t xml:space="preserve">Bank partner sales practice controls</x:t>
        </x:is>
      </x:c>
      <x:c r="C8" s="279" t="inlineStr">
        <x:is>
          <x:t xml:space="preserve">Partner training, scripts, monitoring evidence</x:t>
        </x:is>
      </x:c>
      <x:c r="D8" s="279" t="inlineStr">
        <x:is>
          <x:t xml:space="preserve">Distribution / Compliance</x:t>
        </x:is>
      </x:c>
      <x:c r="E8" s="210" t="n">
        <x:v>46170</x:v>
      </x:c>
      <x:c r="F8" s="279" t="n">
        <x:v>68</x:v>
      </x:c>
      <x:c r="G8" s="279" t="inlineStr">
        <x:is>
          <x:t xml:space="preserve">Bank partner data validation not complete</x:t>
        </x:is>
      </x:c>
      <x:c r="H8" s="279" t="inlineStr">
        <x:is>
          <x:t xml:space="preserve">Escalate to partnership distribution</x:t>
        </x:is>
      </x:c>
      <x:c r="I8" s="210" t="n">
        <x:v>46185</x:v>
      </x:c>
      <x:c r="J8" s="279" t="inlineStr">
        <x:is>
          <x:t xml:space="preserve">Escalated</x:t>
        </x:is>
      </x:c>
      <x:c r="K8" s="279" t="str">
        <x:f>IF(F8&lt;70,"Red",IF(F8&lt;85,"Amber","Green"))</x:f>
        <x:v>Red</x:v>
      </x:c>
    </x:row>
    <x:row r="9">
      <x:c r="A9" s="279" t="inlineStr">
        <x:is>
          <x:t xml:space="preserve">Data privacy</x:t>
        </x:is>
      </x:c>
      <x:c r="B9" s="279" t="inlineStr">
        <x:is>
          <x:t xml:space="preserve">Consent, data flow, localization readiness</x:t>
        </x:is>
      </x:c>
      <x:c r="C9" s="279" t="inlineStr">
        <x:is>
          <x:t xml:space="preserve">DPIA, consent logs, data map</x:t>
        </x:is>
      </x:c>
      <x:c r="D9" s="279" t="inlineStr">
        <x:is>
          <x:t xml:space="preserve">IT / Legal</x:t>
        </x:is>
      </x:c>
      <x:c r="E9" s="210" t="n">
        <x:v>46175</x:v>
      </x:c>
      <x:c r="F9" s="279" t="n">
        <x:v>74</x:v>
      </x:c>
      <x:c r="G9" s="279" t="inlineStr">
        <x:is>
          <x:t xml:space="preserve">Data flow inventory needs update</x:t>
        </x:is>
      </x:c>
      <x:c r="H9" s="279" t="inlineStr">
        <x:is>
          <x:t xml:space="preserve">Update customer data map</x:t>
        </x:is>
      </x:c>
      <x:c r="I9" s="210" t="n">
        <x:v>46203</x:v>
      </x:c>
      <x:c r="J9" s="279" t="inlineStr">
        <x:is>
          <x:t xml:space="preserve">Open</x:t>
        </x:is>
      </x:c>
      <x:c r="K9" s="279" t="str">
        <x:f>IF(F9&lt;70,"Red",IF(F9&lt;85,"Amber","Green"))</x:f>
        <x:v>Amber</x:v>
      </x:c>
    </x:row>
    <x:row r="10">
      <x:c r="A10" s="279" t="inlineStr">
        <x:is>
          <x:t xml:space="preserve">Governance archive</x:t>
        </x:is>
      </x:c>
      <x:c r="B10" s="279" t="inlineStr">
        <x:is>
          <x:t xml:space="preserve">Institutional memory and document traceability</x:t>
        </x:is>
      </x:c>
      <x:c r="C10" s="279" t="inlineStr">
        <x:is>
          <x:t xml:space="preserve">Meeting minutes, official letters, tracker references</x:t>
        </x:is>
      </x:c>
      <x:c r="D10" s="279" t="inlineStr">
        <x:is>
          <x:t xml:space="preserve">Regulatory Affairs</x:t>
        </x:is>
      </x:c>
      <x:c r="E10" s="210" t="n">
        <x:v>46179</x:v>
      </x:c>
      <x:c r="F10" s="279" t="n">
        <x:v>90</x:v>
      </x:c>
      <x:c r="G10" s="279" t="inlineStr">
        <x:is>
          <x:t xml:space="preserve">No major gap</x:t>
        </x:is>
      </x:c>
      <x:c r="H10" s="279" t="inlineStr">
        <x:is>
          <x:t xml:space="preserve">Maintain monthly archive review</x:t>
        </x:is>
      </x:c>
      <x:c r="I10" s="210" t="n">
        <x:v>46208</x:v>
      </x:c>
      <x:c r="J10" s="279" t="inlineStr">
        <x:is>
          <x:t xml:space="preserve">On Track</x:t>
        </x:is>
      </x:c>
      <x:c r="K10" s="279" t="str">
        <x:f>IF(F10&lt;70,"Red",IF(F10&lt;85,"Amber","Green"))</x:f>
        <x:v>Green</x:v>
      </x:c>
    </x:row>
  </x:sheetData>
  <x:mergeCells>
    <x:mergeCell ref="A2:K2"/>
    <x:mergeCell ref="A1:K1"/>
  </x:mergeCells>
  <x:conditionalFormatting sqref="F5:F10">
    <x:cfRule type="colorScale" priority="1">
      <x:colorScale>
        <x:cfvo type="min"/>
        <x:cfvo type="percentile" val="50"/>
        <x:cfvo type="max"/>
        <x:color rgb="00FECACA"/>
        <x:color rgb="00FEF3C7"/>
        <x:color rgb="00DCFCE7"/>
      </x:colorScale>
    </x:cfRule>
  </x:conditionalFormatting>
  <x:conditionalFormatting sqref="K5:K10">
    <x:cfRule type="expression" dxfId="3" priority="2">
      <x:formula>K5="Red"</x:formula>
    </x:cfRule>
    <x:cfRule type="expression" dxfId="5" priority="3">
      <x:formula>K5="Amber"</x:formula>
    </x:cfRule>
  </x:conditionalFormatting>
  <x:dataValidations count="1">
    <x:dataValidation type="list" allowBlank="0" showDropDown="0" showInputMessage="0" showErrorMessage="0" sqref="J5:J80">
      <x:formula1>"Open,In Progress,Escalated,On Track,Closed"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63c17f745448f4"/>
  </x:tableParts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28" style="265" customWidth="1"/>
    <x:col min="2" max="2" width="36" style="265" customWidth="1"/>
    <x:col min="3" max="3" width="22" style="265" customWidth="1"/>
    <x:col min="4" max="4" width="18" style="265" customWidth="1"/>
    <x:col min="5" max="5" width="32" style="265" customWidth="1"/>
    <x:col min="6" max="6" width="28" style="265" customWidth="1"/>
    <x:col min="7" max="7" width="22" style="265" customWidth="1"/>
    <x:col min="8" max="8" width="36" style="265" customWidth="1"/>
  </x:cols>
  <x:sheetData>
    <x:row r="1" s="265" customFormat="1" ht="28" customHeight="1">
      <x:c r="A1" s="145" t="inlineStr">
        <x:is>
          <x:t xml:space="preserve">Data Dictionary &amp; User Guide - Handover-Ready Operating Manual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3">
      <x:c r="A3" s="222" t="inlineStr">
        <x:is>
          <x:t xml:space="preserve">Sheet / Module</x:t>
        </x:is>
      </x:c>
      <x:c r="B3" s="222" t="inlineStr">
        <x:is>
          <x:t xml:space="preserve">Purpose</x:t>
        </x:is>
      </x:c>
      <x:c r="C3" s="222" t="inlineStr">
        <x:is>
          <x:t xml:space="preserve">Primary User</x:t>
        </x:is>
      </x:c>
      <x:c r="D3" s="222" t="inlineStr">
        <x:is>
          <x:t xml:space="preserve">Update Frequency</x:t>
        </x:is>
      </x:c>
      <x:c r="E3" s="222" t="inlineStr">
        <x:is>
          <x:t xml:space="preserve">Key Inputs</x:t>
        </x:is>
      </x:c>
      <x:c r="F3" s="222" t="inlineStr">
        <x:is>
          <x:t xml:space="preserve">Key Outputs</x:t>
        </x:is>
      </x:c>
      <x:c r="G3" s="222" t="inlineStr">
        <x:is>
          <x:t xml:space="preserve">Typical KPI</x:t>
        </x:is>
      </x:c>
      <x:c r="H3" s="222" t="inlineStr">
        <x:is>
          <x:t xml:space="preserve">Notes</x:t>
        </x:is>
      </x:c>
    </x:row>
    <x:row r="4">
      <x:c r="A4" s="279" t="inlineStr">
        <x:is>
          <x:t xml:space="preserve">Executive_Dashboard</x:t>
        </x:is>
      </x:c>
      <x:c r="B4" s="279" t="inlineStr">
        <x:is>
          <x:t xml:space="preserve">Senior summary of overall PA/regulatory workload and risk.</x:t>
        </x:is>
      </x:c>
      <x:c r="C4" s="279" t="inlineStr">
        <x:is>
          <x:t xml:space="preserve">Head of Regulatory &amp; Public Affairs</x:t>
        </x:is>
      </x:c>
      <x:c r="D4" s="279" t="inlineStr">
        <x:is>
          <x:t xml:space="preserve">Weekly</x:t>
        </x:is>
      </x:c>
      <x:c r="E4" s="279" t="inlineStr">
        <x:is>
          <x:t xml:space="preserve">All tracker data</x:t>
        </x:is>
      </x:c>
      <x:c r="F4" s="279" t="inlineStr">
        <x:is>
          <x:t xml:space="preserve">KPIs, alerts, priorities</x:t>
        </x:is>
      </x:c>
      <x:c r="G4" s="279" t="inlineStr">
        <x:is>
          <x:t xml:space="preserve">Overall PA effectiveness</x:t>
        </x:is>
      </x:c>
      <x:c r="H4" s="279" t="inlineStr">
        <x:is>
          <x:t xml:space="preserve">Use in weekly management update.</x:t>
        </x:is>
      </x:c>
    </x:row>
    <x:row r="5">
      <x:c r="A5" s="279" t="inlineStr">
        <x:is>
          <x:t xml:space="preserve">Daily_Control_Tower</x:t>
        </x:is>
      </x:c>
      <x:c r="B5" s="279" t="inlineStr">
        <x:is>
          <x:t xml:space="preserve">Daily view of urgent work items.</x:t>
        </x:is>
      </x:c>
      <x:c r="C5" s="279" t="inlineStr">
        <x:is>
          <x:t xml:space="preserve">PA Executive</x:t>
        </x:is>
      </x:c>
      <x:c r="D5" s="279" t="inlineStr">
        <x:is>
          <x:t xml:space="preserve">Daily</x:t>
        </x:is>
      </x:c>
      <x:c r="E5" s="279" t="inlineStr">
        <x:is>
          <x:t xml:space="preserve">Deadlines, actions, meetings</x:t>
        </x:is>
      </x:c>
      <x:c r="F5" s="279" t="inlineStr">
        <x:is>
          <x:t xml:space="preserve">Today/this-week priorities</x:t>
        </x:is>
      </x:c>
      <x:c r="G5" s="279" t="inlineStr">
        <x:is>
          <x:t xml:space="preserve">Overdue actions</x:t>
        </x:is>
      </x:c>
      <x:c r="H5" s="279" t="inlineStr">
        <x:is>
          <x:t xml:space="preserve">Open first every morning.</x:t>
        </x:is>
      </x:c>
    </x:row>
    <x:row r="6">
      <x:c r="A6" s="279" t="inlineStr">
        <x:is>
          <x:t xml:space="preserve">Regulatory_Obligation_Register</x:t>
        </x:is>
      </x:c>
      <x:c r="B6" s="279" t="inlineStr">
        <x:is>
          <x:t xml:space="preserve">Master register of recurring and ad-hoc regulatory obligations.</x:t>
        </x:is>
      </x:c>
      <x:c r="C6" s="279" t="inlineStr">
        <x:is>
          <x:t xml:space="preserve">PA + Compliance</x:t>
        </x:is>
      </x:c>
      <x:c r="D6" s="279" t="inlineStr">
        <x:is>
          <x:t xml:space="preserve">Monthly or when rules change</x:t>
        </x:is>
      </x:c>
      <x:c r="E6" s="279" t="inlineStr">
        <x:is>
          <x:t xml:space="preserve">Obligation, regulator, owner, frequency, penalty</x:t>
        </x:is>
      </x:c>
      <x:c r="F6" s="279" t="inlineStr">
        <x:is>
          <x:t xml:space="preserve">Obligation map</x:t>
        </x:is>
      </x:c>
      <x:c r="G6" s="279" t="inlineStr">
        <x:is>
          <x:t xml:space="preserve">On-time completion rate</x:t>
        </x:is>
      </x:c>
      <x:c r="H6" s="279" t="inlineStr">
        <x:is>
          <x:t xml:space="preserve">Core control document.</x:t>
        </x:is>
      </x:c>
    </x:row>
    <x:row r="7">
      <x:c r="A7" s="279" t="inlineStr">
        <x:is>
          <x:t xml:space="preserve">Regulatory_Calendar</x:t>
        </x:is>
      </x:c>
      <x:c r="B7" s="279" t="inlineStr">
        <x:is>
          <x:t xml:space="preserve">Calendar of report due dates and regulatory milestones.</x:t>
        </x:is>
      </x:c>
      <x:c r="C7" s="279" t="inlineStr">
        <x:is>
          <x:t xml:space="preserve">PA Executive</x:t>
        </x:is>
      </x:c>
      <x:c r="D7" s="279" t="inlineStr">
        <x:is>
          <x:t xml:space="preserve">Daily/weekly</x:t>
        </x:is>
      </x:c>
      <x:c r="E7" s="279" t="inlineStr">
        <x:is>
          <x:t xml:space="preserve">Due date, regulator, owner, status</x:t>
        </x:is>
      </x:c>
      <x:c r="F7" s="279" t="inlineStr">
        <x:is>
          <x:t xml:space="preserve">Deadline countdown</x:t>
        </x:is>
      </x:c>
      <x:c r="G7" s="279" t="inlineStr">
        <x:is>
          <x:t xml:space="preserve">Reports due in 7 days</x:t>
        </x:is>
      </x:c>
      <x:c r="H7" s="279" t="inlineStr">
        <x:is>
          <x:t xml:space="preserve">Feeds daily attention view.</x:t>
        </x:is>
      </x:c>
    </x:row>
    <x:row r="8">
      <x:c r="A8" s="279" t="inlineStr">
        <x:is>
          <x:t xml:space="preserve">Submission_Tracker</x:t>
        </x:is>
      </x:c>
      <x:c r="B8" s="279" t="inlineStr">
        <x:is>
          <x:t xml:space="preserve">Tracks outgoing regulatory submissions.</x:t>
        </x:is>
      </x:c>
      <x:c r="C8" s="279" t="inlineStr">
        <x:is>
          <x:t xml:space="preserve">PA Executive</x:t>
        </x:is>
      </x:c>
      <x:c r="D8" s="279" t="inlineStr">
        <x:is>
          <x:t xml:space="preserve">Daily</x:t>
        </x:is>
      </x:c>
      <x:c r="E8" s="279" t="inlineStr">
        <x:is>
          <x:t xml:space="preserve">Submission details, status, ref no.</x:t>
        </x:is>
      </x:c>
      <x:c r="F8" s="279" t="inlineStr">
        <x:is>
          <x:t xml:space="preserve">Submission status</x:t>
        </x:is>
      </x:c>
      <x:c r="G8" s="279" t="inlineStr">
        <x:is>
          <x:t xml:space="preserve">On-time submission rate</x:t>
        </x:is>
      </x:c>
      <x:c r="H8" s="279" t="inlineStr">
        <x:is>
          <x:t xml:space="preserve">Use for MOF/ISA filings.</x:t>
        </x:is>
      </x:c>
    </x:row>
    <x:row r="9">
      <x:c r="A9" s="279" t="inlineStr">
        <x:is>
          <x:t xml:space="preserve">Regulatory_Response_Tracker</x:t>
        </x:is>
      </x:c>
      <x:c r="B9" s="279" t="inlineStr">
        <x:is>
          <x:t xml:space="preserve">Tracks incoming/outgoing regulatory letters and pending responses.</x:t>
        </x:is>
      </x:c>
      <x:c r="C9" s="279" t="inlineStr">
        <x:is>
          <x:t xml:space="preserve">PA + Legal</x:t>
        </x:is>
      </x:c>
      <x:c r="D9" s="279" t="inlineStr">
        <x:is>
          <x:t xml:space="preserve">Daily</x:t>
        </x:is>
      </x:c>
      <x:c r="E9" s="279" t="inlineStr">
        <x:is>
          <x:t xml:space="preserve">Request, response owner, due date</x:t>
        </x:is>
      </x:c>
      <x:c r="F9" s="279" t="inlineStr">
        <x:is>
          <x:t xml:space="preserve">Open regulator requests</x:t>
        </x:is>
      </x:c>
      <x:c r="G9" s="279" t="inlineStr">
        <x:is>
          <x:t xml:space="preserve">Average response time</x:t>
        </x:is>
      </x:c>
      <x:c r="H9" s="279" t="inlineStr">
        <x:is>
          <x:t xml:space="preserve">Useful for audit trail.</x:t>
        </x:is>
      </x:c>
    </x:row>
    <x:row r="10">
      <x:c r="A10" s="279" t="inlineStr">
        <x:is>
          <x:t xml:space="preserve">Product_Approval_Command_Center</x:t>
        </x:is>
      </x:c>
      <x:c r="B10" s="279" t="inlineStr">
        <x:is>
          <x:t xml:space="preserve">Tracks product/license/capital approval workflow.</x:t>
        </x:is>
      </x:c>
      <x:c r="C10" s="279" t="inlineStr">
        <x:is>
          <x:t xml:space="preserve">Product + PA + Legal</x:t>
        </x:is>
      </x:c>
      <x:c r="D10" s="279" t="inlineStr">
        <x:is>
          <x:t xml:space="preserve">Weekly</x:t>
        </x:is>
      </x:c>
      <x:c r="E10" s="279" t="inlineStr">
        <x:is>
          <x:t xml:space="preserve">Product, regulator, stage, owner</x:t>
        </x:is>
      </x:c>
      <x:c r="F10" s="279" t="inlineStr">
        <x:is>
          <x:t xml:space="preserve">Approval pipeline</x:t>
        </x:is>
      </x:c>
      <x:c r="G10" s="279" t="inlineStr">
        <x:is>
          <x:t xml:space="preserve">Average approval days</x:t>
        </x:is>
      </x:c>
      <x:c r="H10" s="279" t="inlineStr">
        <x:is>
          <x:t xml:space="preserve">Important for business enablement.</x:t>
        </x:is>
      </x:c>
    </x:row>
    <x:row r="11">
      <x:c r="A11" s="279" t="inlineStr">
        <x:is>
          <x:t xml:space="preserve">Internal_Coordination_Tracker</x:t>
        </x:is>
      </x:c>
      <x:c r="B11" s="279" t="inlineStr">
        <x:is>
          <x:t xml:space="preserve">Tracks follow-up with internal departments.</x:t>
        </x:is>
      </x:c>
      <x:c r="C11" s="279" t="inlineStr">
        <x:is>
          <x:t xml:space="preserve">PA Executive</x:t>
        </x:is>
      </x:c>
      <x:c r="D11" s="279" t="inlineStr">
        <x:is>
          <x:t xml:space="preserve">Daily</x:t>
        </x:is>
      </x:c>
      <x:c r="E11" s="279" t="inlineStr">
        <x:is>
          <x:t xml:space="preserve">Department, action, SLA, owner</x:t>
        </x:is>
      </x:c>
      <x:c r="F11" s="279" t="inlineStr">
        <x:is>
          <x:t xml:space="preserve">Overdue internal actions</x:t>
        </x:is>
      </x:c>
      <x:c r="G11" s="279" t="inlineStr">
        <x:is>
          <x:t xml:space="preserve">SLA compliance</x:t>
        </x:is>
      </x:c>
      <x:c r="H11" s="279" t="inlineStr">
        <x:is>
          <x:t xml:space="preserve">Supports cross-functional discipline.</x:t>
        </x:is>
      </x:c>
    </x:row>
    <x:row r="12">
      <x:c r="A12" s="279" t="inlineStr">
        <x:is>
          <x:t xml:space="preserve">Regulator_CRM</x:t>
        </x:is>
      </x:c>
      <x:c r="B12" s="279" t="inlineStr">
        <x:is>
          <x:t xml:space="preserve">Regulator relationship database.</x:t>
        </x:is>
      </x:c>
      <x:c r="C12" s="279" t="inlineStr">
        <x:is>
          <x:t xml:space="preserve">PA team</x:t>
        </x:is>
      </x:c>
      <x:c r="D12" s="279" t="inlineStr">
        <x:is>
          <x:t xml:space="preserve">After each meeting/contact</x:t>
        </x:is>
      </x:c>
      <x:c r="E12" s="279" t="inlineStr">
        <x:is>
          <x:t xml:space="preserve">Profile, contact history, open issues</x:t>
        </x:is>
      </x:c>
      <x:c r="F12" s="279" t="inlineStr">
        <x:is>
          <x:t xml:space="preserve">Relationship map</x:t>
        </x:is>
      </x:c>
      <x:c r="G12" s="279" t="inlineStr">
        <x:is>
          <x:t xml:space="preserve">Relationship score</x:t>
        </x:is>
      </x:c>
      <x:c r="H12" s="279" t="inlineStr">
        <x:is>
          <x:t xml:space="preserve">Institutional memory.</x:t>
        </x:is>
      </x:c>
    </x:row>
    <x:row r="13">
      <x:c r="A13" s="279" t="inlineStr">
        <x:is>
          <x:t xml:space="preserve">Meeting_Intelligence</x:t>
        </x:is>
      </x:c>
      <x:c r="B13" s="279" t="inlineStr">
        <x:is>
          <x:t xml:space="preserve">Before/after meeting brief and action log.</x:t>
        </x:is>
      </x:c>
      <x:c r="C13" s="279" t="inlineStr">
        <x:is>
          <x:t xml:space="preserve">PA + EMT</x:t>
        </x:is>
      </x:c>
      <x:c r="D13" s="279" t="inlineStr">
        <x:is>
          <x:t xml:space="preserve">Per meeting</x:t>
        </x:is>
      </x:c>
      <x:c r="E13" s="279" t="inlineStr">
        <x:is>
          <x:t xml:space="preserve">Objective, talking points, commitments</x:t>
        </x:is>
      </x:c>
      <x:c r="F13" s="279" t="inlineStr">
        <x:is>
          <x:t xml:space="preserve">Meeting brief and follow-ups</x:t>
        </x:is>
      </x:c>
      <x:c r="G13" s="279" t="inlineStr">
        <x:is>
          <x:t xml:space="preserve">Follow-up closure rate</x:t>
        </x:is>
      </x:c>
      <x:c r="H13" s="279" t="inlineStr">
        <x:is>
          <x:t xml:space="preserve">Fits JD briefing notes.</x:t>
        </x:is>
      </x:c>
    </x:row>
    <x:row r="14">
      <x:c r="A14" s="279" t="inlineStr">
        <x:is>
          <x:t xml:space="preserve">Document_QC_Checklist</x:t>
        </x:is>
      </x:c>
      <x:c r="B14" s="279" t="inlineStr">
        <x:is>
          <x:t xml:space="preserve">Quality control for official letters/reports before submission.</x:t>
        </x:is>
      </x:c>
      <x:c r="C14" s="279" t="inlineStr">
        <x:is>
          <x:t xml:space="preserve">PA + Legal + Compliance</x:t>
        </x:is>
      </x:c>
      <x:c r="D14" s="279" t="inlineStr">
        <x:is>
          <x:t xml:space="preserve">Per submission</x:t>
        </x:is>
      </x:c>
      <x:c r="E14" s="279" t="inlineStr">
        <x:is>
          <x:t xml:space="preserve">Template, attachment, review status</x:t>
        </x:is>
      </x:c>
      <x:c r="F14" s="279" t="inlineStr">
        <x:is>
          <x:t xml:space="preserve">Ready/not ready decision</x:t>
        </x:is>
      </x:c>
      <x:c r="G14" s="279" t="inlineStr">
        <x:is>
          <x:t xml:space="preserve">QC pass rate</x:t>
        </x:is>
      </x:c>
      <x:c r="H14" s="279" t="inlineStr">
        <x:is>
          <x:t xml:space="preserve">Pre-submission control gate.</x:t>
        </x:is>
      </x:c>
    </x:row>
    <x:row r="15">
      <x:c r="A15" s="279" t="inlineStr">
        <x:is>
          <x:t xml:space="preserve">Policy_Monitoring</x:t>
        </x:is>
      </x:c>
      <x:c r="B15" s="279" t="inlineStr">
        <x:is>
          <x:t xml:space="preserve">Monitors laws, circulars and regulatory developments.</x:t>
        </x:is>
      </x:c>
      <x:c r="C15" s="279" t="inlineStr">
        <x:is>
          <x:t xml:space="preserve">PA + Legal</x:t>
        </x:is>
      </x:c>
      <x:c r="D15" s="279" t="inlineStr">
        <x:is>
          <x:t xml:space="preserve">Weekly</x:t>
        </x:is>
      </x:c>
      <x:c r="E15" s="279" t="inlineStr">
        <x:is>
          <x:t xml:space="preserve">Policy item, source, impact, action</x:t>
        </x:is>
      </x:c>
      <x:c r="F15" s="279" t="inlineStr">
        <x:is>
          <x:t xml:space="preserve">Impact assessment</x:t>
        </x:is>
      </x:c>
      <x:c r="G15" s="279" t="inlineStr">
        <x:is>
          <x:t xml:space="preserve">New items assessed</x:t>
        </x:is>
      </x:c>
      <x:c r="H15" s="279" t="inlineStr">
        <x:is>
          <x:t xml:space="preserve">Supports research task in JD.</x:t>
        </x:is>
      </x:c>
    </x:row>
    <x:row r="16">
      <x:c r="A16" s="279" t="inlineStr">
        <x:is>
          <x:t xml:space="preserve">Risk_Radar</x:t>
        </x:is>
      </x:c>
      <x:c r="B16" s="279" t="inlineStr">
        <x:is>
          <x:t xml:space="preserve">Quantifies probability and business impact of policy issues.</x:t>
        </x:is>
      </x:c>
      <x:c r="C16" s="279" t="inlineStr">
        <x:is>
          <x:t xml:space="preserve">PA + Risk</x:t>
        </x:is>
      </x:c>
      <x:c r="D16" s="279" t="inlineStr">
        <x:is>
          <x:t xml:space="preserve">Monthly</x:t>
        </x:is>
      </x:c>
      <x:c r="E16" s="279" t="inlineStr">
        <x:is>
          <x:t xml:space="preserve">Probability, impact, mitigation</x:t>
        </x:is>
      </x:c>
      <x:c r="F16" s="279" t="inlineStr">
        <x:is>
          <x:t xml:space="preserve">Risk score</x:t>
        </x:is>
      </x:c>
      <x:c r="G16" s="279" t="inlineStr">
        <x:is>
          <x:t xml:space="preserve">High-risk items</x:t>
        </x:is>
      </x:c>
      <x:c r="H16" s="279" t="inlineStr">
        <x:is>
          <x:t xml:space="preserve">Differentiates candidate with risk background.</x:t>
        </x:is>
      </x:c>
    </x:row>
    <x:row r="17">
      <x:c r="A17" s="279" t="inlineStr">
        <x:is>
          <x:t xml:space="preserve">Regional_Report_Pack</x:t>
        </x:is>
      </x:c>
      <x:c r="B17" s="279" t="inlineStr">
        <x:is>
          <x:t xml:space="preserve">Regional Office update pack.</x:t>
        </x:is>
      </x:c>
      <x:c r="C17" s="279" t="inlineStr">
        <x:is>
          <x:t xml:space="preserve">PA Manager</x:t>
        </x:is>
      </x:c>
      <x:c r="D17" s="279" t="inlineStr">
        <x:is>
          <x:t xml:space="preserve">Monthly/ad-hoc</x:t>
        </x:is>
      </x:c>
      <x:c r="E17" s="279" t="inlineStr">
        <x:is>
          <x:t xml:space="preserve">Key developments, approvals, risks</x:t>
        </x:is>
      </x:c>
      <x:c r="F17" s="279" t="inlineStr">
        <x:is>
          <x:t xml:space="preserve">RO report</x:t>
        </x:is>
      </x:c>
      <x:c r="G17" s="279" t="inlineStr">
        <x:is>
          <x:t xml:space="preserve">Report readiness</x:t>
        </x:is>
      </x:c>
      <x:c r="H17" s="279" t="inlineStr">
        <x:is>
          <x:t xml:space="preserve">Use for APAC reporting.</x:t>
        </x:is>
      </x:c>
    </x:row>
    <x:row r="18">
      <x:c r="A18" s="279" t="inlineStr">
        <x:is>
          <x:t xml:space="preserve">Translation_Tracker</x:t>
        </x:is>
      </x:c>
      <x:c r="B18" s="279" t="inlineStr">
        <x:is>
          <x:t xml:space="preserve">Tracks VN/EN translation work.</x:t>
        </x:is>
      </x:c>
      <x:c r="C18" s="279" t="inlineStr">
        <x:is>
          <x:t xml:space="preserve">PA Executive</x:t>
        </x:is>
      </x:c>
      <x:c r="D18" s="279" t="inlineStr">
        <x:is>
          <x:t xml:space="preserve">As needed</x:t>
        </x:is>
      </x:c>
      <x:c r="E18" s="279" t="inlineStr">
        <x:is>
          <x:t xml:space="preserve">Document, language, owner, due date</x:t>
        </x:is>
      </x:c>
      <x:c r="F18" s="279" t="inlineStr">
        <x:is>
          <x:t xml:space="preserve">Translation status</x:t>
        </x:is>
      </x:c>
      <x:c r="G18" s="279" t="inlineStr">
        <x:is>
          <x:t xml:space="preserve">Turnaround time</x:t>
        </x:is>
      </x:c>
      <x:c r="H18" s="279" t="inlineStr">
        <x:is>
          <x:t xml:space="preserve">Small but directly in JD.</x:t>
        </x:is>
      </x:c>
    </x:row>
    <x:row r="19">
      <x:c r="A19" s="279" t="inlineStr">
        <x:is>
          <x:t xml:space="preserve">Inspection_Readiness</x:t>
        </x:is>
      </x:c>
      <x:c r="B19" s="279" t="inlineStr">
        <x:is>
          <x:t xml:space="preserve">Self-assessment for regulatory inspection readiness.</x:t>
        </x:is>
      </x:c>
      <x:c r="C19" s="279" t="inlineStr">
        <x:is>
          <x:t xml:space="preserve">PA + Compliance</x:t>
        </x:is>
      </x:c>
      <x:c r="D19" s="279" t="inlineStr">
        <x:is>
          <x:t xml:space="preserve">Quarterly</x:t>
        </x:is>
      </x:c>
      <x:c r="E19" s="279" t="inlineStr">
        <x:is>
          <x:t xml:space="preserve">Documentation and controls score</x:t>
        </x:is>
      </x:c>
      <x:c r="F19" s="279" t="inlineStr">
        <x:is>
          <x:t xml:space="preserve">Readiness score</x:t>
        </x:is>
      </x:c>
      <x:c r="G19" s="279" t="inlineStr">
        <x:is>
          <x:t xml:space="preserve">Inspection readiness %</x:t>
        </x:is>
      </x:c>
      <x:c r="H19" s="279" t="inlineStr">
        <x:is>
          <x:t xml:space="preserve">Useful for regulated industry.</x:t>
        </x:is>
      </x:c>
    </x:row>
    <x:row r="20">
      <x:c r="A20" s="279" t="inlineStr">
        <x:is>
          <x:t xml:space="preserve">Knowledge_Base</x:t>
        </x:is>
      </x:c>
      <x:c r="B20" s="279" t="inlineStr">
        <x:is>
          <x:t xml:space="preserve">Regulatory knowledge repository.</x:t>
        </x:is>
      </x:c>
      <x:c r="C20" s="279" t="inlineStr">
        <x:is>
          <x:t xml:space="preserve">PA + Legal</x:t>
        </x:is>
      </x:c>
      <x:c r="D20" s="279" t="inlineStr">
        <x:is>
          <x:t xml:space="preserve">When new policy is issued</x:t>
        </x:is>
      </x:c>
      <x:c r="E20" s="279" t="inlineStr">
        <x:is>
          <x:t xml:space="preserve">Summary, obligations, departments affected</x:t>
        </x:is>
      </x:c>
      <x:c r="F20" s="279" t="inlineStr">
        <x:is>
          <x:t xml:space="preserve">Quick reference</x:t>
        </x:is>
      </x:c>
      <x:c r="G20" s="279" t="inlineStr">
        <x:is>
          <x:t xml:space="preserve">Knowledge completeness</x:t>
        </x:is>
      </x:c>
      <x:c r="H20" s="279" t="inlineStr">
        <x:is>
          <x:t xml:space="preserve">AI-lite knowledge base.</x:t>
        </x:is>
      </x:c>
    </x:row>
    <x:row r="21">
      <x:c r="A21" s="279" t="inlineStr">
        <x:is>
          <x:t xml:space="preserve">Interview_Story_Mode</x:t>
        </x:is>
      </x:c>
      <x:c r="B21" s="279" t="inlineStr">
        <x:is>
          <x:t xml:space="preserve">3-minute demo narrative mapped to JD.</x:t>
        </x:is>
      </x:c>
      <x:c r="C21" s="279" t="inlineStr">
        <x:is>
          <x:t xml:space="preserve">Candidate</x:t>
        </x:is>
      </x:c>
      <x:c r="D21" s="279" t="inlineStr">
        <x:is>
          <x:t xml:space="preserve">Before interview</x:t>
        </x:is>
      </x:c>
      <x:c r="E21" s="279" t="inlineStr">
        <x:is>
          <x:t xml:space="preserve">JD pain points + modules</x:t>
        </x:is>
      </x:c>
      <x:c r="F21" s="279" t="inlineStr">
        <x:is>
          <x:t xml:space="preserve">Demo storyline</x:t>
        </x:is>
      </x:c>
      <x:c r="G21" s="279" t="inlineStr">
        <x:is>
          <x:t xml:space="preserve">N/A</x:t>
        </x:is>
      </x:c>
      <x:c r="H21" s="279" t="inlineStr">
        <x:is>
          <x:t xml:space="preserve">Use to present the prototype.</x:t>
        </x:is>
      </x:c>
    </x:row>
    <x:row r="22">
      <x:c r="A22" s="279" t="inlineStr">
        <x:is>
          <x:t xml:space="preserve">Monthly_RO_Report_Generator</x:t>
        </x:is>
      </x:c>
      <x:c r="B22" s="279" t="inlineStr">
        <x:is>
          <x:t xml:space="preserve">One-click style monthly report text for Regional Office.</x:t>
        </x:is>
      </x:c>
      <x:c r="C22" s="279" t="inlineStr">
        <x:is>
          <x:t xml:space="preserve">PA team</x:t>
        </x:is>
      </x:c>
      <x:c r="D22" s="279" t="inlineStr">
        <x:is>
          <x:t xml:space="preserve">Monthly</x:t>
        </x:is>
      </x:c>
      <x:c r="E22" s="279" t="inlineStr">
        <x:is>
          <x:t xml:space="preserve">Trackers + narrative fields</x:t>
        </x:is>
      </x:c>
      <x:c r="F22" s="279" t="inlineStr">
        <x:is>
          <x:t xml:space="preserve">English report</x:t>
        </x:is>
      </x:c>
      <x:c r="G22" s="279" t="inlineStr">
        <x:is>
          <x:t xml:space="preserve">Report production time</x:t>
        </x:is>
      </x:c>
      <x:c r="H22" s="279" t="inlineStr">
        <x:is>
          <x:t xml:space="preserve">New in v6 polish.</x:t>
        </x:is>
      </x:c>
    </x:row>
  </x:sheetData>
  <x:mergeCells>
    <x:mergeCell ref="A1:H1"/>
  </x:mergeCells>
  <x:dataValidations count="1">
    <x:dataValidation type="list" allowBlank="0" showDropDown="0" showInputMessage="0" showErrorMessage="0" sqref="D4:D22">
      <x:formula1>"Daily,Daily/weekly,Weekly,Monthly,Monthly/ad-hoc,Quarterly,Per meeting,Per submission,As needed,Before interview,When new policy is issued,Monthly or when rules change,After each meeting/contact"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836739d3ec4441"/>
  </x:tableParts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24" style="265" customWidth="1"/>
    <x:col min="7" max="7" width="24" style="265" customWidth="1"/>
    <x:col min="8" max="8" width="24" style="265" customWidth="1"/>
  </x:cols>
  <x:sheetData>
    <x:row r="1" s="265" customFormat="1" ht="28" customHeight="1">
      <x:c r="A1" s="146" t="inlineStr">
        <x:is>
          <x:t xml:space="preserve">SLA &amp; Escalation Rules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>
      <x:c r="A2" s="147" t="inlineStr">
        <x:is>
          <x:t xml:space="preserve">Operational rules for deadlines, regulator requests, internal follow-ups and document quality control.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3">
      <x:c r="A3" s="271" t="n"/>
      <x:c r="B3" s="271" t="n"/>
      <x:c r="C3" s="271" t="n"/>
      <x:c r="D3" s="271" t="n"/>
      <x:c r="E3" s="271" t="n"/>
      <x:c r="F3" s="271" t="n"/>
      <x:c r="G3" s="271" t="n"/>
      <x:c r="H3" s="271" t="n"/>
    </x:row>
    <x:row r="4" s="265" customFormat="1" ht="24" customHeight="1">
      <x:c r="A4" s="120" t="inlineStr">
        <x:is>
          <x:t xml:space="preserve">Process / Item Type</x:t>
        </x:is>
      </x:c>
      <x:c r="B4" s="120" t="inlineStr">
        <x:is>
          <x:t xml:space="preserve">Default SLA</x:t>
        </x:is>
      </x:c>
      <x:c r="C4" s="120" t="inlineStr">
        <x:is>
          <x:t xml:space="preserve">Trigger Condition</x:t>
        </x:is>
      </x:c>
      <x:c r="D4" s="120" t="inlineStr">
        <x:is>
          <x:t xml:space="preserve">Escalation Level</x:t>
        </x:is>
      </x:c>
      <x:c r="E4" s="120" t="inlineStr">
        <x:is>
          <x:t xml:space="preserve">Escalation Owner</x:t>
        </x:is>
      </x:c>
      <x:c r="F4" s="120" t="inlineStr">
        <x:is>
          <x:t xml:space="preserve">Recommended Action</x:t>
        </x:is>
      </x:c>
      <x:c r="G4" s="120" t="inlineStr">
        <x:is>
          <x:t xml:space="preserve">Email Template</x:t>
        </x:is>
      </x:c>
      <x:c r="H4" s="120" t="inlineStr">
        <x:is>
          <x:t xml:space="preserve">RAG Logic</x:t>
        </x:is>
      </x:c>
    </x:row>
    <x:row r="5">
      <x:c r="A5" s="271" t="inlineStr">
        <x:is>
          <x:t xml:space="preserve">Periodic regulatory report</x:t>
        </x:is>
      </x:c>
      <x:c r="B5" s="271" t="inlineStr">
        <x:is>
          <x:t xml:space="preserve">Due date - 7 days</x:t>
        </x:is>
      </x:c>
      <x:c r="C5" s="271" t="inlineStr">
        <x:is>
          <x:t xml:space="preserve">Less than 7 calendar days to due date</x:t>
        </x:is>
      </x:c>
      <x:c r="D5" s="271" t="inlineStr">
        <x:is>
          <x:t xml:space="preserve">Level 1</x:t>
        </x:is>
      </x:c>
      <x:c r="E5" s="271" t="inlineStr">
        <x:is>
          <x:t xml:space="preserve">Public Affairs owner</x:t>
        </x:is>
      </x:c>
      <x:c r="F5" s="271" t="inlineStr">
        <x:is>
          <x:t xml:space="preserve">Send reminder to internal owner</x:t>
        </x:is>
      </x:c>
      <x:c r="G5" s="271" t="inlineStr">
        <x:is>
          <x:t xml:space="preserve">Internal Reminder</x:t>
        </x:is>
      </x:c>
      <x:c r="H5" s="271" t="inlineStr">
        <x:is>
          <x:t xml:space="preserve">Amber</x:t>
        </x:is>
      </x:c>
    </x:row>
    <x:row r="6">
      <x:c r="A6" s="271" t="inlineStr">
        <x:is>
          <x:t xml:space="preserve">Periodic regulatory report</x:t>
        </x:is>
      </x:c>
      <x:c r="B6" s="271" t="inlineStr">
        <x:is>
          <x:t xml:space="preserve">Due date passed</x:t>
        </x:is>
      </x:c>
      <x:c r="C6" s="271" t="inlineStr">
        <x:is>
          <x:t xml:space="preserve">Due date &lt; today and not submitted</x:t>
        </x:is>
      </x:c>
      <x:c r="D6" s="271" t="inlineStr">
        <x:is>
          <x:t xml:space="preserve">Level 2</x:t>
        </x:is>
      </x:c>
      <x:c r="E6" s="271" t="inlineStr">
        <x:is>
          <x:t xml:space="preserve">Head of Regulatory &amp; Public Affairs</x:t>
        </x:is>
      </x:c>
      <x:c r="F6" s="271" t="inlineStr">
        <x:is>
          <x:t xml:space="preserve">Escalate to department head and agree recovery date</x:t>
        </x:is>
      </x:c>
      <x:c r="G6" s="271" t="inlineStr">
        <x:is>
          <x:t xml:space="preserve">Escalation Notice</x:t>
        </x:is>
      </x:c>
      <x:c r="H6" s="271" t="inlineStr">
        <x:is>
          <x:t xml:space="preserve">Red</x:t>
        </x:is>
      </x:c>
    </x:row>
    <x:row r="7">
      <x:c r="A7" s="271" t="inlineStr">
        <x:is>
          <x:t xml:space="preserve">Ad-hoc regulator request</x:t>
        </x:is>
      </x:c>
      <x:c r="B7" s="271" t="inlineStr">
        <x:is>
          <x:t xml:space="preserve">Same day acknowledgement</x:t>
        </x:is>
      </x:c>
      <x:c r="C7" s="271" t="inlineStr">
        <x:is>
          <x:t xml:space="preserve">Request from MOF/ISA marked urgent or critical</x:t>
        </x:is>
      </x:c>
      <x:c r="D7" s="271" t="inlineStr">
        <x:is>
          <x:t xml:space="preserve">Level 2</x:t>
        </x:is>
      </x:c>
      <x:c r="E7" s="271" t="inlineStr">
        <x:is>
          <x:t xml:space="preserve">Head of Regulatory &amp; Public Affairs</x:t>
        </x:is>
      </x:c>
      <x:c r="F7" s="271" t="inlineStr">
        <x:is>
          <x:t xml:space="preserve">Confirm scope, owner and expected submission timeline</x:t>
        </x:is>
      </x:c>
      <x:c r="G7" s="271" t="inlineStr">
        <x:is>
          <x:t xml:space="preserve">Regulator Acknowledgement</x:t>
        </x:is>
      </x:c>
      <x:c r="H7" s="271" t="inlineStr">
        <x:is>
          <x:t xml:space="preserve">Red</x:t>
        </x:is>
      </x:c>
    </x:row>
    <x:row r="8">
      <x:c r="A8" s="271" t="inlineStr">
        <x:is>
          <x:t xml:space="preserve">Legal / Compliance review</x:t>
        </x:is>
      </x:c>
      <x:c r="B8" s="271" t="inlineStr">
        <x:is>
          <x:t xml:space="preserve">3 working days</x:t>
        </x:is>
      </x:c>
      <x:c r="C8" s="271" t="inlineStr">
        <x:is>
          <x:t xml:space="preserve">Review pending more than 3 days</x:t>
        </x:is>
      </x:c>
      <x:c r="D8" s="271" t="inlineStr">
        <x:is>
          <x:t xml:space="preserve">Level 1</x:t>
        </x:is>
      </x:c>
      <x:c r="E8" s="271" t="inlineStr">
        <x:is>
          <x:t xml:space="preserve">Legal / Compliance focal point</x:t>
        </x:is>
      </x:c>
      <x:c r="F8" s="271" t="inlineStr">
        <x:is>
          <x:t xml:space="preserve">Send follow-up and propose deadline</x:t>
        </x:is>
      </x:c>
      <x:c r="G8" s="271" t="inlineStr">
        <x:is>
          <x:t xml:space="preserve">Internal Reminder</x:t>
        </x:is>
      </x:c>
      <x:c r="H8" s="271" t="inlineStr">
        <x:is>
          <x:t xml:space="preserve">Amber</x:t>
        </x:is>
      </x:c>
    </x:row>
    <x:row r="9">
      <x:c r="A9" s="271" t="inlineStr">
        <x:is>
          <x:t xml:space="preserve">Management approval</x:t>
        </x:is>
      </x:c>
      <x:c r="B9" s="271" t="inlineStr">
        <x:is>
          <x:t xml:space="preserve">2 working days</x:t>
        </x:is>
      </x:c>
      <x:c r="C9" s="271" t="inlineStr">
        <x:is>
          <x:t xml:space="preserve">CEO/EMT approval pending more than 2 days</x:t>
        </x:is>
      </x:c>
      <x:c r="D9" s="271" t="inlineStr">
        <x:is>
          <x:t xml:space="preserve">Level 2</x:t>
        </x:is>
      </x:c>
      <x:c r="E9" s="271" t="inlineStr">
        <x:is>
          <x:t xml:space="preserve">CEO Office / EMT secretary</x:t>
        </x:is>
      </x:c>
      <x:c r="F9" s="271" t="inlineStr">
        <x:is>
          <x:t xml:space="preserve">Escalate through management office</x:t>
        </x:is>
      </x:c>
      <x:c r="G9" s="271" t="inlineStr">
        <x:is>
          <x:t xml:space="preserve">Escalation Notice</x:t>
        </x:is>
      </x:c>
      <x:c r="H9" s="271" t="inlineStr">
        <x:is>
          <x:t xml:space="preserve">Amber</x:t>
        </x:is>
      </x:c>
    </x:row>
    <x:row r="10">
      <x:c r="A10" s="271" t="inlineStr">
        <x:is>
          <x:t xml:space="preserve">Product approval dossier</x:t>
        </x:is>
      </x:c>
      <x:c r="B10" s="271" t="inlineStr">
        <x:is>
          <x:t xml:space="preserve">10 days before target date</x:t>
        </x:is>
      </x:c>
      <x:c r="C10" s="271" t="inlineStr">
        <x:is>
          <x:t xml:space="preserve">No regulator feedback or open clarification</x:t>
        </x:is>
      </x:c>
      <x:c r="D10" s="271" t="inlineStr">
        <x:is>
          <x:t xml:space="preserve">Level 1</x:t>
        </x:is>
      </x:c>
      <x:c r="E10" s="271" t="inlineStr">
        <x:is>
          <x:t xml:space="preserve">Product + Public Affairs</x:t>
        </x:is>
      </x:c>
      <x:c r="F10" s="271" t="inlineStr">
        <x:is>
          <x:t xml:space="preserve">Prepare follow-up note to ISA/MOF</x:t>
        </x:is>
      </x:c>
      <x:c r="G10" s="271" t="inlineStr">
        <x:is>
          <x:t xml:space="preserve">Regulator Follow-up</x:t>
        </x:is>
      </x:c>
      <x:c r="H10" s="271" t="inlineStr">
        <x:is>
          <x:t xml:space="preserve">Amber</x:t>
        </x:is>
      </x:c>
    </x:row>
    <x:row r="11">
      <x:c r="A11" s="271" t="inlineStr">
        <x:is>
          <x:t xml:space="preserve">Document QC</x:t>
        </x:is>
      </x:c>
      <x:c r="B11" s="271" t="inlineStr">
        <x:is>
          <x:t xml:space="preserve">Before submission</x:t>
        </x:is>
      </x:c>
      <x:c r="C11" s="271" t="inlineStr">
        <x:is>
          <x:t xml:space="preserve">Any mandatory checklist item = No</x:t>
        </x:is>
      </x:c>
      <x:c r="D11" s="271" t="inlineStr">
        <x:is>
          <x:t xml:space="preserve">Level 1</x:t>
        </x:is>
      </x:c>
      <x:c r="E11" s="271" t="inlineStr">
        <x:is>
          <x:t xml:space="preserve">Document owner</x:t>
        </x:is>
      </x:c>
      <x:c r="F11" s="271" t="inlineStr">
        <x:is>
          <x:t xml:space="preserve">Hold submission until QC cleared</x:t>
        </x:is>
      </x:c>
      <x:c r="G11" s="271" t="inlineStr">
        <x:is>
          <x:t xml:space="preserve">Internal Reminder</x:t>
        </x:is>
      </x:c>
      <x:c r="H11" s="271" t="inlineStr">
        <x:is>
          <x:t xml:space="preserve">Red</x:t>
        </x:is>
      </x:c>
    </x:row>
    <x:row r="12">
      <x:c r="A12" s="271" t="inlineStr">
        <x:is>
          <x:t xml:space="preserve">Translation request</x:t>
        </x:is>
      </x:c>
      <x:c r="B12" s="271" t="inlineStr">
        <x:is>
          <x:t xml:space="preserve">SLA passed</x:t>
        </x:is>
      </x:c>
      <x:c r="C12" s="271" t="inlineStr">
        <x:is>
          <x:t xml:space="preserve">Translation not completed by due date</x:t>
        </x:is>
      </x:c>
      <x:c r="D12" s="271" t="inlineStr">
        <x:is>
          <x:t xml:space="preserve">Level 1</x:t>
        </x:is>
      </x:c>
      <x:c r="E12" s="271" t="inlineStr">
        <x:is>
          <x:t xml:space="preserve">Translation owner</x:t>
        </x:is>
      </x:c>
      <x:c r="F12" s="271" t="inlineStr">
        <x:is>
          <x:t xml:space="preserve">Follow up and update expected completion date</x:t>
        </x:is>
      </x:c>
      <x:c r="G12" s="271" t="inlineStr">
        <x:is>
          <x:t xml:space="preserve">Internal Reminder</x:t>
        </x:is>
      </x:c>
      <x:c r="H12" s="271" t="inlineStr">
        <x:is>
          <x:t xml:space="preserve">Amber</x:t>
        </x:is>
      </x:c>
    </x:row>
    <x:row r="13">
      <x:c r="A13" s="271" t="inlineStr">
        <x:is>
          <x:t xml:space="preserve">Regional Office monthly report</x:t>
        </x:is>
      </x:c>
      <x:c r="B13" s="271" t="inlineStr">
        <x:is>
          <x:t xml:space="preserve">Monthly closing + 3 days</x:t>
        </x:is>
      </x:c>
      <x:c r="C13" s="271" t="inlineStr">
        <x:is>
          <x:t xml:space="preserve">RO pack not finalized</x:t>
        </x:is>
      </x:c>
      <x:c r="D13" s="271" t="inlineStr">
        <x:is>
          <x:t xml:space="preserve">Level 1</x:t>
        </x:is>
      </x:c>
      <x:c r="E13" s="271" t="inlineStr">
        <x:is>
          <x:t xml:space="preserve">Public Affairs owner</x:t>
        </x:is>
      </x:c>
      <x:c r="F13" s="271" t="inlineStr">
        <x:is>
          <x:t xml:space="preserve">Compile metrics, risks and next-month priorities</x:t>
        </x:is>
      </x:c>
      <x:c r="G13" s="271" t="inlineStr">
        <x:is>
          <x:t xml:space="preserve">RO Monthly Update</x:t>
        </x:is>
      </x:c>
      <x:c r="H13" s="271" t="inlineStr">
        <x:is>
          <x:t xml:space="preserve">Amber</x:t>
        </x:is>
      </x:c>
    </x:row>
    <x:row r="14">
      <x:c r="A14" s="271" t="n"/>
      <x:c r="B14" s="271" t="n"/>
      <x:c r="C14" s="271" t="n"/>
      <x:c r="D14" s="271" t="n"/>
      <x:c r="E14" s="271" t="n"/>
      <x:c r="F14" s="271" t="n"/>
      <x:c r="G14" s="271" t="n"/>
      <x:c r="H14" s="271" t="n"/>
    </x:row>
  </x:sheetData>
  <x:mergeCells>
    <x:mergeCell ref="A2:H2"/>
    <x:mergeCell ref="A1:H1"/>
  </x:mergeCells>
  <x:conditionalFormatting sqref="H5:H100">
    <x:cfRule type="expression" dxfId="3" priority="1">
      <x:formula>H5="Red"</x:formula>
    </x:cfRule>
    <x:cfRule type="expression" dxfId="5" priority="2">
      <x:formula>H5="Amber"</x:formula>
    </x:cfRule>
  </x:conditionalFormatting>
  <x:dataValidations count="1">
    <x:dataValidation type="list" allowBlank="0" showDropDown="0" showInputMessage="0" showErrorMessage="0" sqref="D5:D100">
      <x:formula1>"Level 0,Level 1,Level 2,Level 3"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8" style="265" customWidth="1"/>
    <x:col min="2" max="2" width="18" style="265" customWidth="1"/>
    <x:col min="3" max="3" width="18" style="265" customWidth="1"/>
    <x:col min="4" max="4" width="18" style="265" customWidth="1"/>
    <x:col min="5" max="5" width="18" style="265" customWidth="1"/>
    <x:col min="6" max="6" width="24" style="265" customWidth="1"/>
  </x:cols>
  <x:sheetData>
    <x:row r="1" s="265" customFormat="1" ht="28" customHeight="1">
      <x:c r="A1" s="146" t="inlineStr">
        <x:is>
          <x:t xml:space="preserve">Email Template Generator</x:t>
        </x:is>
      </x:c>
      <x:c r="B1" s="1" t="n"/>
      <x:c r="C1" s="1" t="n"/>
      <x:c r="D1" s="1" t="n"/>
      <x:c r="E1" s="1" t="n"/>
      <x:c r="F1" s="1" t="n"/>
    </x:row>
    <x:row r="2">
      <x:c r="A2" s="147" t="inlineStr">
        <x:is>
          <x:t xml:space="preserve">Ready-to-use English email templates for regulatory follow-up, internal reminders and Regional Office updates.</x:t>
        </x:is>
      </x:c>
      <x:c r="B2" s="1" t="n"/>
      <x:c r="C2" s="1" t="n"/>
      <x:c r="D2" s="1" t="n"/>
      <x:c r="E2" s="1" t="n"/>
      <x:c r="F2" s="1" t="n"/>
    </x:row>
    <x:row r="3">
      <x:c r="A3" s="271" t="n"/>
      <x:c r="B3" s="271" t="n"/>
      <x:c r="C3" s="271" t="n"/>
      <x:c r="D3" s="271" t="n"/>
      <x:c r="E3" s="271" t="n"/>
      <x:c r="F3" s="271" t="n"/>
    </x:row>
    <x:row r="4" s="265" customFormat="1" ht="24" customHeight="1">
      <x:c r="A4" s="120" t="inlineStr">
        <x:is>
          <x:t xml:space="preserve">Template ID</x:t>
        </x:is>
      </x:c>
      <x:c r="B4" s="120" t="inlineStr">
        <x:is>
          <x:t xml:space="preserve">Use Case</x:t>
        </x:is>
      </x:c>
      <x:c r="C4" s="120" t="inlineStr">
        <x:is>
          <x:t xml:space="preserve">Subject</x:t>
        </x:is>
      </x:c>
      <x:c r="D4" s="120" t="inlineStr">
        <x:is>
          <x:t xml:space="preserve">Recipient Type</x:t>
        </x:is>
      </x:c>
      <x:c r="E4" s="120" t="inlineStr">
        <x:is>
          <x:t xml:space="preserve">Trigger</x:t>
        </x:is>
      </x:c>
      <x:c r="F4" s="120" t="inlineStr">
        <x:is>
          <x:t xml:space="preserve">Email Body Template</x:t>
        </x:is>
      </x:c>
    </x:row>
    <x:row r="5">
      <x:c r="A5" s="271" t="inlineStr">
        <x:is>
          <x:t xml:space="preserve">EMAIL-001</x:t>
        </x:is>
      </x:c>
      <x:c r="B5" s="271" t="inlineStr">
        <x:is>
          <x:t xml:space="preserve">Internal deadline reminder</x:t>
        </x:is>
      </x:c>
      <x:c r="C5" s="271" t="inlineStr">
        <x:is>
          <x:t xml:space="preserve">Reminder: Regulatory input required for [Item] by [Due Date]</x:t>
        </x:is>
      </x:c>
      <x:c r="D5" s="271" t="inlineStr">
        <x:is>
          <x:t xml:space="preserve">Internal department</x:t>
        </x:is>
      </x:c>
      <x:c r="E5" s="271" t="inlineStr">
        <x:is>
          <x:t xml:space="preserve">Due in 7 days</x:t>
        </x:is>
      </x:c>
      <x:c r="F5" s="271" t="inlineStr">
        <x:is>
          <x:t xml:space="preserve">Dear [Name],
This is a kind reminder that input for [Item] is required by [Due Date] for submission to [Regulator]. Please share the latest version and supporting documents by [Internal Deadline] so that Regulatory &amp; Public Affairs can complete review and submission on time.
Best regards,
[Your Name]</x:t>
        </x:is>
      </x:c>
    </x:row>
    <x:row r="6">
      <x:c r="A6" s="271" t="inlineStr">
        <x:is>
          <x:t xml:space="preserve">EMAIL-002</x:t>
        </x:is>
      </x:c>
      <x:c r="B6" s="271" t="inlineStr">
        <x:is>
          <x:t xml:space="preserve">Internal escalation</x:t>
        </x:is>
      </x:c>
      <x:c r="C6" s="271" t="inlineStr">
        <x:is>
          <x:t xml:space="preserve">Escalation: Overdue regulatory input for [Item]</x:t>
        </x:is>
      </x:c>
      <x:c r="D6" s="271" t="inlineStr">
        <x:is>
          <x:t xml:space="preserve">Department head</x:t>
        </x:is>
      </x:c>
      <x:c r="E6" s="271" t="inlineStr">
        <x:is>
          <x:t xml:space="preserve">Overdue internal input</x:t>
        </x:is>
      </x:c>
      <x:c r="F6" s="271" t="inlineStr">
        <x:is>
          <x:t xml:space="preserve">Dear [Name],
The input for [Item] is now overdue and may affect the regulatory submission timeline to [Regulator]. Please help prioritize this item and confirm the expected completion time.
Best regards,
[Your Name]</x:t>
        </x:is>
      </x:c>
    </x:row>
    <x:row r="7">
      <x:c r="A7" s="271" t="inlineStr">
        <x:is>
          <x:t xml:space="preserve">EMAIL-003</x:t>
        </x:is>
      </x:c>
      <x:c r="B7" s="271" t="inlineStr">
        <x:is>
          <x:t xml:space="preserve">Regulator acknowledgement</x:t>
        </x:is>
      </x:c>
      <x:c r="C7" s="271" t="inlineStr">
        <x:is>
          <x:t xml:space="preserve">Acknowledgement of request regarding [Topic]</x:t>
        </x:is>
      </x:c>
      <x:c r="D7" s="271" t="inlineStr">
        <x:is>
          <x:t xml:space="preserve">Regulator</x:t>
        </x:is>
      </x:c>
      <x:c r="E7" s="271" t="inlineStr">
        <x:is>
          <x:t xml:space="preserve">Incoming urgent request</x:t>
        </x:is>
      </x:c>
      <x:c r="F7" s="271" t="inlineStr">
        <x:is>
          <x:t xml:space="preserve">Dear [Title/Name],
We acknowledge receipt of your request regarding [Topic]. We are coordinating with the relevant internal teams and will revert with the requested information by [Expected Date].
Respectfully,
[Your Name]</x:t>
        </x:is>
      </x:c>
    </x:row>
    <x:row r="8">
      <x:c r="A8" s="271" t="inlineStr">
        <x:is>
          <x:t xml:space="preserve">EMAIL-004</x:t>
        </x:is>
      </x:c>
      <x:c r="B8" s="271" t="inlineStr">
        <x:is>
          <x:t xml:space="preserve">Regulator follow-up</x:t>
        </x:is>
      </x:c>
      <x:c r="C8" s="271" t="inlineStr">
        <x:is>
          <x:t xml:space="preserve">Follow-up on submitted dossier: [Dossier Name]</x:t>
        </x:is>
      </x:c>
      <x:c r="D8" s="271" t="inlineStr">
        <x:is>
          <x:t xml:space="preserve">Regulator</x:t>
        </x:is>
      </x:c>
      <x:c r="E8" s="271" t="inlineStr">
        <x:is>
          <x:t xml:space="preserve">No response after expected follow-up date</x:t>
        </x:is>
      </x:c>
      <x:c r="F8" s="271" t="inlineStr">
        <x:is>
          <x:t xml:space="preserve">Dear [Title/Name],
We would like to respectfully follow up on the submitted dossier [Dossier Name], sent on [Submission Date]. Please let us know if any further clarification or supporting documents are required from our side.
Respectfully,
[Your Name]</x:t>
        </x:is>
      </x:c>
    </x:row>
    <x:row r="9">
      <x:c r="A9" s="271" t="inlineStr">
        <x:is>
          <x:t xml:space="preserve">EMAIL-005</x:t>
        </x:is>
      </x:c>
      <x:c r="B9" s="271" t="inlineStr">
        <x:is>
          <x:t xml:space="preserve">Meeting confirmation</x:t>
        </x:is>
      </x:c>
      <x:c r="C9" s="271" t="inlineStr">
        <x:is>
          <x:t xml:space="preserve">Meeting confirmation: [Regulator] / Manulife on [Date]</x:t>
        </x:is>
      </x:c>
      <x:c r="D9" s="271" t="inlineStr">
        <x:is>
          <x:t xml:space="preserve">Regulator / internal</x:t>
        </x:is>
      </x:c>
      <x:c r="E9" s="271" t="inlineStr">
        <x:is>
          <x:t xml:space="preserve">Meeting scheduled</x:t>
        </x:is>
      </x:c>
      <x:c r="F9" s="271" t="inlineStr">
        <x:is>
          <x:t xml:space="preserve">Dear [Name],
Thank you for confirming the meeting on [Date] regarding [Topic]. We will prepare the relevant materials and proposed discussion points in advance.
Best regards,
[Your Name]</x:t>
        </x:is>
      </x:c>
    </x:row>
    <x:row r="10">
      <x:c r="A10" s="271" t="inlineStr">
        <x:is>
          <x:t xml:space="preserve">EMAIL-006</x:t>
        </x:is>
      </x:c>
      <x:c r="B10" s="271" t="inlineStr">
        <x:is>
          <x:t xml:space="preserve">Regional Office monthly update</x:t>
        </x:is>
      </x:c>
      <x:c r="C10" s="271" t="inlineStr">
        <x:is>
          <x:t xml:space="preserve">Vietnam Regulatory &amp; Public Affairs Monthly Update - [Month]</x:t>
        </x:is>
      </x:c>
      <x:c r="D10" s="271" t="inlineStr">
        <x:is>
          <x:t xml:space="preserve">Regional Office</x:t>
        </x:is>
      </x:c>
      <x:c r="E10" s="271" t="inlineStr">
        <x:is>
          <x:t xml:space="preserve">Monthly reporting cycle</x:t>
        </x:is>
      </x:c>
      <x:c r="F10" s="271" t="inlineStr">
        <x:is>
          <x:t xml:space="preserve">Dear Regional Team,
Please find below the Vietnam Regulatory &amp; Public Affairs monthly update for [Month], covering key regulatory developments, pending approvals, regulator engagements, emerging risks and next-month priorities.
Best regards,
[Your Name]</x:t>
        </x:is>
      </x:c>
    </x:row>
    <x:row r="11">
      <x:c r="A11" s="271" t="n"/>
      <x:c r="B11" s="271" t="n"/>
      <x:c r="C11" s="271" t="n"/>
      <x:c r="D11" s="271" t="n"/>
      <x:c r="E11" s="271" t="n"/>
      <x:c r="F11" s="271" t="n"/>
    </x:row>
  </x:sheetData>
  <x:mergeCells>
    <x:mergeCell ref="A2:F2"/>
    <x:mergeCell ref="A1:F1"/>
  </x:mergeCells>
  <x:dataValidations count="1">
    <x:dataValidation type="list" allowBlank="0" showDropDown="0" showInputMessage="0" showErrorMessage="0" sqref="D5:D100">
      <x:formula1>"Internal department,Department head,Regulator,Regulator / internal,Regional Office"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29.25" style="265" customWidth="1"/>
    <x:col min="2" max="2" width="15.75" style="265" customWidth="1"/>
    <x:col min="3" max="3" width="12" style="265" customWidth="1"/>
    <x:col min="4" max="4" width="12" style="265" customWidth="1"/>
    <x:col min="5" max="5" width="14" style="265" customWidth="1"/>
    <x:col min="6" max="6" width="12" style="265" customWidth="1"/>
    <x:col min="7" max="7" width="16.6299991607666" style="265" customWidth="1"/>
    <x:col min="8" max="8" width="13.380000114440918" style="265" customWidth="1"/>
    <x:col min="9" max="9" width="14" style="265" customWidth="1"/>
    <x:col min="10" max="10" width="32" style="265" customWidth="1"/>
    <x:col min="11" max="11" width="32" style="265" customWidth="1"/>
  </x:cols>
  <x:sheetData>
    <x:row r="1" s="265" customFormat="1" ht="24" customHeight="1">
      <x:c r="A1" s="286" t="inlineStr">
        <x:is>
          <x:t xml:space="preserve">Stakeholder Intelligence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</x:row>
    <x:row r="3">
      <x:c r="A3" s="258" t="inlineStr">
        <x:is>
          <x:t xml:space="preserve">Stakeholder</x:t>
        </x:is>
      </x:c>
      <x:c r="B3" s="258" t="inlineStr">
        <x:is>
          <x:t xml:space="preserve">Type</x:t>
        </x:is>
      </x:c>
      <x:c r="C3" s="258" t="inlineStr">
        <x:is>
          <x:t xml:space="preserve">Influence (1-5)</x:t>
        </x:is>
      </x:c>
      <x:c r="D3" s="258" t="inlineStr">
        <x:is>
          <x:t xml:space="preserve">Position</x:t>
        </x:is>
      </x:c>
      <x:c r="E3" s="258" t="inlineStr">
        <x:is>
          <x:t xml:space="preserve">Relationship (1-5)</x:t>
        </x:is>
      </x:c>
      <x:c r="F3" s="258" t="inlineStr">
        <x:is>
          <x:t xml:space="preserve">Priority</x:t>
        </x:is>
      </x:c>
      <x:c r="G3" s="258" t="inlineStr">
        <x:is>
          <x:t xml:space="preserve">Owner</x:t>
        </x:is>
      </x:c>
      <x:c r="H3" s="258" t="inlineStr">
        <x:is>
          <x:t xml:space="preserve">Last Engagement</x:t>
        </x:is>
      </x:c>
      <x:c r="I3" s="258" t="inlineStr">
        <x:is>
          <x:t xml:space="preserve">Next Engagement</x:t>
        </x:is>
      </x:c>
      <x:c r="J3" s="258" t="inlineStr">
        <x:is>
          <x:t xml:space="preserve">Key Issue</x:t>
        </x:is>
      </x:c>
      <x:c r="K3" s="258" t="inlineStr">
        <x:is>
          <x:t xml:space="preserve">Engagement Strategy</x:t>
        </x:is>
      </x:c>
    </x:row>
    <x:row r="4">
      <x:c r="A4" s="279" t="inlineStr">
        <x:is>
          <x:t xml:space="preserve">Ministry of Finance (MOF)</x:t>
        </x:is>
      </x:c>
      <x:c r="B4" s="279" t="inlineStr">
        <x:is>
          <x:t xml:space="preserve">Regulator</x:t>
        </x:is>
      </x:c>
      <x:c r="C4" s="287" t="n">
        <x:v>5</x:v>
      </x:c>
      <x:c r="D4" s="279" t="inlineStr">
        <x:is>
          <x:t xml:space="preserve">Neutral</x:t>
        </x:is>
      </x:c>
      <x:c r="E4" s="287" t="n">
        <x:v>4</x:v>
      </x:c>
      <x:c r="F4" s="279" t="inlineStr">
        <x:is>
          <x:t xml:space="preserve">Critical</x:t>
        </x:is>
      </x:c>
      <x:c r="G4" s="279" t="inlineStr">
        <x:is>
          <x:t xml:space="preserve">Le Hoang Quan</x:t>
        </x:is>
      </x:c>
      <x:c r="H4" s="210" t="n">
        <x:v>46174</x:v>
      </x:c>
      <x:c r="I4" s="210" t="n">
        <x:v>46218</x:v>
      </x:c>
      <x:c r="J4" s="279" t="inlineStr">
        <x:is>
          <x:t xml:space="preserve">Insurance regulation, capital rules, market conduct</x:t>
        </x:is>
      </x:c>
      <x:c r="K4" s="279" t="inlineStr">
        <x:is>
          <x:t xml:space="preserve">Senior policy dialogue and technical submission</x:t>
        </x:is>
      </x:c>
    </x:row>
    <x:row r="5">
      <x:c r="A5" s="279" t="inlineStr">
        <x:is>
          <x:t xml:space="preserve">Insurance Supervisory Authority (ISA)</x:t>
        </x:is>
      </x:c>
      <x:c r="B5" s="279" t="inlineStr">
        <x:is>
          <x:t xml:space="preserve">Regulator</x:t>
        </x:is>
      </x:c>
      <x:c r="C5" s="287" t="n">
        <x:v>5</x:v>
      </x:c>
      <x:c r="D5" s="279" t="inlineStr">
        <x:is>
          <x:t xml:space="preserve">Supportive</x:t>
        </x:is>
      </x:c>
      <x:c r="E5" s="287" t="n">
        <x:v>5</x:v>
      </x:c>
      <x:c r="F5" s="279" t="inlineStr">
        <x:is>
          <x:t xml:space="preserve">Critical</x:t>
        </x:is>
      </x:c>
      <x:c r="G5" s="279" t="inlineStr">
        <x:is>
          <x:t xml:space="preserve">Le Hoang Quan</x:t>
        </x:is>
      </x:c>
      <x:c r="H5" s="210" t="n">
        <x:v>46178</x:v>
      </x:c>
      <x:c r="I5" s="210" t="n">
        <x:v>46213</x:v>
      </x:c>
      <x:c r="J5" s="279" t="inlineStr">
        <x:is>
          <x:t xml:space="preserve">Product approvals, solvency, reporting, inspections</x:t>
        </x:is>
      </x:c>
      <x:c r="K5" s="279" t="inlineStr">
        <x:is>
          <x:t xml:space="preserve">Technical working sessions and proactive follow-up</x:t>
        </x:is>
      </x:c>
    </x:row>
    <x:row r="6">
      <x:c r="A6" s="279" t="inlineStr">
        <x:is>
          <x:t xml:space="preserve">Insurance Association of Vietnam (IAV)</x:t>
        </x:is>
      </x:c>
      <x:c r="B6" s="279" t="inlineStr">
        <x:is>
          <x:t xml:space="preserve">Association</x:t>
        </x:is>
      </x:c>
      <x:c r="C6" s="287" t="n">
        <x:v>4</x:v>
      </x:c>
      <x:c r="D6" s="279" t="inlineStr">
        <x:is>
          <x:t xml:space="preserve">Supportive</x:t>
        </x:is>
      </x:c>
      <x:c r="E6" s="287" t="n">
        <x:v>3</x:v>
      </x:c>
      <x:c r="F6" s="279" t="inlineStr">
        <x:is>
          <x:t xml:space="preserve">High</x:t>
        </x:is>
      </x:c>
      <x:c r="G6" s="279" t="inlineStr">
        <x:is>
          <x:t xml:space="preserve">Le Hoang Quan</x:t>
        </x:is>
      </x:c>
      <x:c r="H6" s="210" t="n">
        <x:v>46162</x:v>
      </x:c>
      <x:c r="I6" s="210" t="n">
        <x:v>46204</x:v>
      </x:c>
      <x:c r="J6" s="279" t="inlineStr">
        <x:is>
          <x:t xml:space="preserve">Industry advocacy and consultation coordination</x:t>
        </x:is>
      </x:c>
      <x:c r="K6" s="279" t="inlineStr">
        <x:is>
          <x:t xml:space="preserve">Working group participation and joint position papers</x:t>
        </x:is>
      </x:c>
    </x:row>
    <x:row r="7">
      <x:c r="A7" s="279" t="inlineStr">
        <x:is>
          <x:t xml:space="preserve">State Bank of Vietnam (SBV)</x:t>
        </x:is>
      </x:c>
      <x:c r="B7" s="279" t="inlineStr">
        <x:is>
          <x:t xml:space="preserve">Regulator</x:t>
        </x:is>
      </x:c>
      <x:c r="C7" s="287" t="n">
        <x:v>4</x:v>
      </x:c>
      <x:c r="D7" s="279" t="inlineStr">
        <x:is>
          <x:t xml:space="preserve">Neutral</x:t>
        </x:is>
      </x:c>
      <x:c r="E7" s="287" t="n">
        <x:v>3</x:v>
      </x:c>
      <x:c r="F7" s="279" t="inlineStr">
        <x:is>
          <x:t xml:space="preserve">High</x:t>
        </x:is>
      </x:c>
      <x:c r="G7" s="279" t="inlineStr">
        <x:is>
          <x:t xml:space="preserve">Le Hoang Quan</x:t>
        </x:is>
      </x:c>
      <x:c r="H7" s="210" t="n">
        <x:v>46157</x:v>
      </x:c>
      <x:c r="I7" s="210" t="n">
        <x:v>46235</x:v>
      </x:c>
      <x:c r="J7" s="279" t="inlineStr">
        <x:is>
          <x:t xml:space="preserve">Bancassurance, payments, AML/CFT, FX</x:t>
        </x:is>
      </x:c>
      <x:c r="K7" s="279" t="inlineStr">
        <x:is>
          <x:t xml:space="preserve">Monitor cross-sector policy and coordinate through industry channels</x:t>
        </x:is>
      </x:c>
    </x:row>
    <x:row r="8">
      <x:c r="A8" s="279" t="inlineStr">
        <x:is>
          <x:t xml:space="preserve">Consumer Protection Authority</x:t>
        </x:is>
      </x:c>
      <x:c r="B8" s="279" t="inlineStr">
        <x:is>
          <x:t xml:space="preserve">Government Agency</x:t>
        </x:is>
      </x:c>
      <x:c r="C8" s="287" t="n">
        <x:v>4</x:v>
      </x:c>
      <x:c r="D8" s="279" t="inlineStr">
        <x:is>
          <x:t xml:space="preserve">Cautious</x:t>
        </x:is>
      </x:c>
      <x:c r="E8" s="287" t="n">
        <x:v>3</x:v>
      </x:c>
      <x:c r="F8" s="279" t="inlineStr">
        <x:is>
          <x:t xml:space="preserve">High</x:t>
        </x:is>
      </x:c>
      <x:c r="G8" s="279" t="inlineStr">
        <x:is>
          <x:t xml:space="preserve">Le Hoang Quan</x:t>
        </x:is>
      </x:c>
      <x:c r="H8" s="210" t="n">
        <x:v>46170</x:v>
      </x:c>
      <x:c r="I8" s="210" t="n">
        <x:v>46223</x:v>
      </x:c>
      <x:c r="J8" s="279" t="inlineStr">
        <x:is>
          <x:t xml:space="preserve">Complaints, disclosures, customer protection</x:t>
        </x:is>
      </x:c>
      <x:c r="K8" s="279" t="inlineStr">
        <x:is>
          <x:t xml:space="preserve">Transparency, complaint handling evidence and financial literacy</x:t>
        </x:is>
      </x:c>
    </x:row>
    <x:row r="9">
      <x:c r="A9" s="279" t="inlineStr">
        <x:is>
          <x:t xml:space="preserve">Financial Media</x:t>
        </x:is>
      </x:c>
      <x:c r="B9" s="279" t="inlineStr">
        <x:is>
          <x:t xml:space="preserve">Media</x:t>
        </x:is>
      </x:c>
      <x:c r="C9" s="287" t="n">
        <x:v>3</x:v>
      </x:c>
      <x:c r="D9" s="279" t="inlineStr">
        <x:is>
          <x:t xml:space="preserve">Neutral</x:t>
        </x:is>
      </x:c>
      <x:c r="E9" s="287" t="n">
        <x:v>3</x:v>
      </x:c>
      <x:c r="F9" s="279" t="inlineStr">
        <x:is>
          <x:t xml:space="preserve">Medium</x:t>
        </x:is>
      </x:c>
      <x:c r="G9" s="279" t="inlineStr">
        <x:is>
          <x:t xml:space="preserve">Communications + PA</x:t>
        </x:is>
      </x:c>
      <x:c r="H9" s="210" t="n">
        <x:v>46176</x:v>
      </x:c>
      <x:c r="I9" s="210" t="n">
        <x:v>46208</x:v>
      </x:c>
      <x:c r="J9" s="279" t="inlineStr">
        <x:is>
          <x:t xml:space="preserve">Public narrative and reputation risk</x:t>
        </x:is>
      </x:c>
      <x:c r="K9" s="279" t="inlineStr">
        <x:is>
          <x:t xml:space="preserve">Fact-based briefing and issue-prepared Q&amp;A</x:t>
        </x:is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296a32a75fe4060"/>
  </x:tableParts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26.75" style="265" customWidth="1"/>
    <x:col min="2" max="2" width="32" style="265" customWidth="1"/>
    <x:col min="3" max="3" width="12" style="265" customWidth="1"/>
    <x:col min="4" max="4" width="13" style="265" customWidth="1"/>
    <x:col min="5" max="5" width="16.75" style="265" customWidth="1"/>
    <x:col min="6" max="6" width="12" style="265" customWidth="1"/>
    <x:col min="7" max="7" width="32" style="265" customWidth="1"/>
  </x:cols>
  <x:sheetData>
    <x:row r="1" s="265" customFormat="1" ht="24" customHeight="1">
      <x:c r="A1" s="286" t="inlineStr">
        <x:is>
          <x:t xml:space="preserve">Regulatory Early Warning</x:t>
        </x:is>
      </x:c>
      <x:c r="B1" s="1" t="n"/>
      <x:c r="C1" s="1" t="n"/>
      <x:c r="D1" s="1" t="n"/>
      <x:c r="E1" s="1" t="n"/>
      <x:c r="F1" s="1" t="n"/>
      <x:c r="G1" s="1" t="n"/>
    </x:row>
    <x:row r="3">
      <x:c r="A3" s="258" t="inlineStr">
        <x:is>
          <x:t xml:space="preserve">Topic</x:t>
        </x:is>
      </x:c>
      <x:c r="B3" s="258" t="inlineStr">
        <x:is>
          <x:t xml:space="preserve">Signal Source</x:t>
        </x:is>
      </x:c>
      <x:c r="C3" s="258" t="inlineStr">
        <x:is>
          <x:t xml:space="preserve">Probability (%)</x:t>
        </x:is>
      </x:c>
      <x:c r="D3" s="258" t="inlineStr">
        <x:is>
          <x:t xml:space="preserve">Expected Timing</x:t>
        </x:is>
      </x:c>
      <x:c r="E3" s="258" t="inlineStr">
        <x:is>
          <x:t xml:space="preserve">Business Impact (1-5)</x:t>
        </x:is>
      </x:c>
      <x:c r="F3" s="258" t="inlineStr">
        <x:is>
          <x:t xml:space="preserve">Risk Level</x:t>
        </x:is>
      </x:c>
      <x:c r="G3" s="258" t="inlineStr">
        <x:is>
          <x:t xml:space="preserve">Recommended Action</x:t>
        </x:is>
      </x:c>
    </x:row>
    <x:row r="4">
      <x:c r="A4" s="279" t="inlineStr">
        <x:is>
          <x:t xml:space="preserve">Bancassurance Revision</x:t>
        </x:is>
      </x:c>
      <x:c r="B4" s="279" t="inlineStr">
        <x:is>
          <x:t xml:space="preserve">MOF consultation / market conduct discussion</x:t>
        </x:is>
      </x:c>
      <x:c r="C4" s="287" t="n">
        <x:v>80</x:v>
      </x:c>
      <x:c r="D4" s="279" t="inlineStr">
        <x:is>
          <x:t xml:space="preserve">Q1-2027</x:t>
        </x:is>
      </x:c>
      <x:c r="E4" s="287" t="n">
        <x:v>5</x:v>
      </x:c>
      <x:c r="F4" s="279" t="inlineStr">
        <x:is>
          <x:t xml:space="preserve">High</x:t>
        </x:is>
      </x:c>
      <x:c r="G4" s="279" t="inlineStr">
        <x:is>
          <x:t xml:space="preserve">Prepare impact assessment and align Legal, Compliance, Distribution</x:t>
        </x:is>
      </x:c>
    </x:row>
    <x:row r="5">
      <x:c r="A5" s="279" t="inlineStr">
        <x:is>
          <x:t xml:space="preserve">Consumer Protection Rules</x:t>
        </x:is>
      </x:c>
      <x:c r="B5" s="279" t="inlineStr">
        <x:is>
          <x:t xml:space="preserve">ISA draft / complaint trend</x:t>
        </x:is>
      </x:c>
      <x:c r="C5" s="287" t="n">
        <x:v>70</x:v>
      </x:c>
      <x:c r="D5" s="279" t="inlineStr">
        <x:is>
          <x:t xml:space="preserve">Q4-2026</x:t>
        </x:is>
      </x:c>
      <x:c r="E5" s="287" t="n">
        <x:v>4</x:v>
      </x:c>
      <x:c r="F5" s="279" t="inlineStr">
        <x:is>
          <x:t xml:space="preserve">High</x:t>
        </x:is>
      </x:c>
      <x:c r="G5" s="279" t="inlineStr">
        <x:is>
          <x:t xml:space="preserve">Review disclosures, sales scripts and complaint evidence pack</x:t>
        </x:is>
      </x:c>
    </x:row>
    <x:row r="6">
      <x:c r="A6" s="279" t="inlineStr">
        <x:is>
          <x:t xml:space="preserve">Data Privacy / Data Localization</x:t>
        </x:is>
      </x:c>
      <x:c r="B6" s="279" t="inlineStr">
        <x:is>
          <x:t xml:space="preserve">Data protection enforcement signals</x:t>
        </x:is>
      </x:c>
      <x:c r="C6" s="287" t="n">
        <x:v>65</x:v>
      </x:c>
      <x:c r="D6" s="279" t="inlineStr">
        <x:is>
          <x:t xml:space="preserve">H1-2027</x:t>
        </x:is>
      </x:c>
      <x:c r="E6" s="287" t="n">
        <x:v>4</x:v>
      </x:c>
      <x:c r="F6" s="279" t="inlineStr">
        <x:is>
          <x:t xml:space="preserve">High</x:t>
        </x:is>
      </x:c>
      <x:c r="G6" s="279" t="inlineStr">
        <x:is>
          <x:t xml:space="preserve">Coordinate with IT, Legal and Privacy teams on data mapping</x:t>
        </x:is>
      </x:c>
    </x:row>
    <x:row r="7">
      <x:c r="A7" s="279" t="inlineStr">
        <x:is>
          <x:t xml:space="preserve">Product Approval Tightening</x:t>
        </x:is>
      </x:c>
      <x:c r="B7" s="279" t="inlineStr">
        <x:is>
          <x:t xml:space="preserve">ISA feedback pattern</x:t>
        </x:is>
      </x:c>
      <x:c r="C7" s="287" t="n">
        <x:v>60</x:v>
      </x:c>
      <x:c r="D7" s="279" t="inlineStr">
        <x:is>
          <x:t xml:space="preserve">Q4-2026</x:t>
        </x:is>
      </x:c>
      <x:c r="E7" s="287" t="n">
        <x:v>4</x:v>
      </x:c>
      <x:c r="F7" s="279" t="inlineStr">
        <x:is>
          <x:t xml:space="preserve">Medium-High</x:t>
        </x:is>
      </x:c>
      <x:c r="G7" s="279" t="inlineStr">
        <x:is>
          <x:t xml:space="preserve">Improve pre-submission QC and technical justification</x:t>
        </x:is>
      </x:c>
    </x:row>
    <x:row r="8">
      <x:c r="A8" s="279" t="inlineStr">
        <x:is>
          <x:t xml:space="preserve">AI Governance in Financial Services</x:t>
        </x:is>
      </x:c>
      <x:c r="B8" s="279" t="inlineStr">
        <x:is>
          <x:t xml:space="preserve">OECD/IAIS and domestic digital policy signals</x:t>
        </x:is>
      </x:c>
      <x:c r="C8" s="287" t="n">
        <x:v>50</x:v>
      </x:c>
      <x:c r="D8" s="279" t="inlineStr">
        <x:is>
          <x:t xml:space="preserve">Q2-2027</x:t>
        </x:is>
      </x:c>
      <x:c r="E8" s="287" t="n">
        <x:v>3</x:v>
      </x:c>
      <x:c r="F8" s="279" t="inlineStr">
        <x:is>
          <x:t xml:space="preserve">Medium</x:t>
        </x:is>
      </x:c>
      <x:c r="G8" s="279" t="inlineStr">
        <x:is>
          <x:t xml:space="preserve">Monitor developments and prepare internal principles</x:t>
        </x:is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4a696c6174944d6"/>
  </x:tableParts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30.5" style="265" customWidth="1"/>
    <x:col min="2" max="2" width="12" style="265" customWidth="1"/>
    <x:col min="3" max="3" width="12" style="265" customWidth="1"/>
    <x:col min="4" max="4" width="12" style="265" customWidth="1"/>
    <x:col min="5" max="5" width="18.5" style="265" customWidth="1"/>
    <x:col min="6" max="6" width="32" style="265" customWidth="1"/>
  </x:cols>
  <x:sheetData>
    <x:row r="1" s="265" customFormat="1" ht="24" customHeight="1">
      <x:c r="A1" s="286" t="inlineStr">
        <x:is>
          <x:t xml:space="preserve">Public Affairs KPI</x:t>
        </x:is>
      </x:c>
      <x:c r="B1" s="1" t="n"/>
      <x:c r="C1" s="1" t="n"/>
      <x:c r="D1" s="1" t="n"/>
      <x:c r="E1" s="1" t="n"/>
      <x:c r="F1" s="1" t="n"/>
    </x:row>
    <x:row r="3">
      <x:c r="A3" s="258" t="inlineStr">
        <x:is>
          <x:t xml:space="preserve">KPI</x:t>
        </x:is>
      </x:c>
      <x:c r="B3" s="258" t="inlineStr">
        <x:is>
          <x:t xml:space="preserve">Target</x:t>
        </x:is>
      </x:c>
      <x:c r="C3" s="258" t="inlineStr">
        <x:is>
          <x:t xml:space="preserve">Actual</x:t>
        </x:is>
      </x:c>
      <x:c r="D3" s="258" t="inlineStr">
        <x:is>
          <x:t xml:space="preserve">RAG</x:t>
        </x:is>
      </x:c>
      <x:c r="E3" s="258" t="inlineStr">
        <x:is>
          <x:t xml:space="preserve">Owner</x:t>
        </x:is>
      </x:c>
      <x:c r="F3" s="258" t="inlineStr">
        <x:is>
          <x:t xml:space="preserve">Comment</x:t>
        </x:is>
      </x:c>
    </x:row>
    <x:row r="4">
      <x:c r="A4" s="279" t="inlineStr">
        <x:is>
          <x:t xml:space="preserve">On-time Submissions (%)</x:t>
        </x:is>
      </x:c>
      <x:c r="B4" s="287" t="n">
        <x:v>95</x:v>
      </x:c>
      <x:c r="C4" s="287" t="n">
        <x:v>98</x:v>
      </x:c>
      <x:c r="D4" s="279" t="inlineStr">
        <x:is>
          <x:t xml:space="preserve">Green</x:t>
        </x:is>
      </x:c>
      <x:c r="E4" s="279" t="inlineStr">
        <x:is>
          <x:t xml:space="preserve">Regulatory Affairs</x:t>
        </x:is>
      </x:c>
      <x:c r="F4" s="279" t="inlineStr">
        <x:is>
          <x:t xml:space="preserve">Submission discipline above target</x:t>
        </x:is>
      </x:c>
    </x:row>
    <x:row r="5">
      <x:c r="A5" s="279" t="inlineStr">
        <x:is>
          <x:t xml:space="preserve">Approval Turnaround Days</x:t>
        </x:is>
      </x:c>
      <x:c r="B5" s="287" t="n">
        <x:v>60</x:v>
      </x:c>
      <x:c r="C5" s="287" t="n">
        <x:v>55</x:v>
      </x:c>
      <x:c r="D5" s="279" t="inlineStr">
        <x:is>
          <x:t xml:space="preserve">Green</x:t>
        </x:is>
      </x:c>
      <x:c r="E5" s="279" t="inlineStr">
        <x:is>
          <x:t xml:space="preserve">Product + PA</x:t>
        </x:is>
      </x:c>
      <x:c r="F5" s="279" t="inlineStr">
        <x:is>
          <x:t xml:space="preserve">Average cycle time within target</x:t>
        </x:is>
      </x:c>
    </x:row>
    <x:row r="6">
      <x:c r="A6" s="279" t="inlineStr">
        <x:is>
          <x:t xml:space="preserve">Inspection Readiness Score</x:t>
        </x:is>
      </x:c>
      <x:c r="B6" s="287" t="n">
        <x:v>90</x:v>
      </x:c>
      <x:c r="C6" s="287" t="n">
        <x:v>86</x:v>
      </x:c>
      <x:c r="D6" s="279" t="inlineStr">
        <x:is>
          <x:t xml:space="preserve">Amber</x:t>
        </x:is>
      </x:c>
      <x:c r="E6" s="279" t="inlineStr">
        <x:is>
          <x:t xml:space="preserve">Compliance + PA</x:t>
        </x:is>
      </x:c>
      <x:c r="F6" s="279" t="inlineStr">
        <x:is>
          <x:t xml:space="preserve">Documentation evidence needs improvement</x:t>
        </x:is>
      </x:c>
    </x:row>
    <x:row r="7">
      <x:c r="A7" s="279" t="inlineStr">
        <x:is>
          <x:t xml:space="preserve">Stakeholder Engagement Score</x:t>
        </x:is>
      </x:c>
      <x:c r="B7" s="287" t="n">
        <x:v>4</x:v>
      </x:c>
      <x:c r="C7" s="287" t="n">
        <x:v>4.2</x:v>
      </x:c>
      <x:c r="D7" s="279" t="inlineStr">
        <x:is>
          <x:t xml:space="preserve">Green</x:t>
        </x:is>
      </x:c>
      <x:c r="E7" s="279" t="inlineStr">
        <x:is>
          <x:t xml:space="preserve">Public Affairs</x:t>
        </x:is>
      </x:c>
      <x:c r="F7" s="279" t="inlineStr">
        <x:is>
          <x:t xml:space="preserve">Healthy relationship score with priority stakeholders</x:t>
        </x:is>
      </x:c>
    </x:row>
    <x:row r="8">
      <x:c r="A8" s="279" t="inlineStr">
        <x:is>
          <x:t xml:space="preserve">Regional Office Reporting Timeliness (%)</x:t>
        </x:is>
      </x:c>
      <x:c r="B8" s="287" t="n">
        <x:v>100</x:v>
      </x:c>
      <x:c r="C8" s="287" t="n">
        <x:v>100</x:v>
      </x:c>
      <x:c r="D8" s="279" t="inlineStr">
        <x:is>
          <x:t xml:space="preserve">Green</x:t>
        </x:is>
      </x:c>
      <x:c r="E8" s="279" t="inlineStr">
        <x:is>
          <x:t xml:space="preserve">Public Affairs</x:t>
        </x:is>
      </x:c>
      <x:c r="F8" s="279" t="inlineStr">
        <x:is>
          <x:t xml:space="preserve">Monthly report submitted on schedule</x:t>
        </x:is>
      </x:c>
    </x:row>
    <x:row r="9">
      <x:c r="A9" s="279" t="inlineStr">
        <x:is>
          <x:t xml:space="preserve">Open Action Closure Rate (%)</x:t>
        </x:is>
      </x:c>
      <x:c r="B9" s="287" t="n">
        <x:v>90</x:v>
      </x:c>
      <x:c r="C9" s="287" t="n">
        <x:v>82</x:v>
      </x:c>
      <x:c r="D9" s="279" t="inlineStr">
        <x:is>
          <x:t xml:space="preserve">Amber</x:t>
        </x:is>
      </x:c>
      <x:c r="E9" s="279" t="inlineStr">
        <x:is>
          <x:t xml:space="preserve">Cross-functional owners</x:t>
        </x:is>
      </x:c>
      <x:c r="F9" s="279" t="inlineStr">
        <x:is>
          <x:t xml:space="preserve">Need faster closure of internal action items</x:t>
        </x:is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e8fc13512ed4376"/>
  </x:tableParts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12" style="265" customWidth="1"/>
    <x:col min="2" max="2" width="28.3799991607666" style="265" customWidth="1"/>
    <x:col min="3" max="3" width="12" style="265" customWidth="1"/>
    <x:col min="4" max="4" width="15.5" style="265" customWidth="1"/>
    <x:col min="5" max="5" width="12.880000114440918" style="265" customWidth="1"/>
    <x:col min="6" max="6" width="32" style="265" customWidth="1"/>
  </x:cols>
  <x:sheetData>
    <x:row r="1" s="265" customFormat="1" ht="24" customHeight="1">
      <x:c r="A1" s="286" t="inlineStr">
        <x:is>
          <x:t xml:space="preserve">Regional Reporting</x:t>
        </x:is>
      </x:c>
      <x:c r="B1" s="1" t="n"/>
      <x:c r="C1" s="1" t="n"/>
      <x:c r="D1" s="1" t="n"/>
      <x:c r="E1" s="1" t="n"/>
      <x:c r="F1" s="1" t="n"/>
    </x:row>
    <x:row r="3">
      <x:c r="A3" s="258" t="inlineStr">
        <x:is>
          <x:t xml:space="preserve">Month</x:t>
        </x:is>
      </x:c>
      <x:c r="B3" s="258" t="inlineStr">
        <x:is>
          <x:t xml:space="preserve">Topic</x:t>
        </x:is>
      </x:c>
      <x:c r="C3" s="258" t="inlineStr">
        <x:is>
          <x:t xml:space="preserve">Impact</x:t>
        </x:is>
      </x:c>
      <x:c r="D3" s="258" t="inlineStr">
        <x:is>
          <x:t xml:space="preserve">Escalation Required</x:t>
        </x:is>
      </x:c>
      <x:c r="E3" s="258" t="inlineStr">
        <x:is>
          <x:t xml:space="preserve">Owner</x:t>
        </x:is>
      </x:c>
      <x:c r="F3" s="258" t="inlineStr">
        <x:is>
          <x:t xml:space="preserve">Management Message</x:t>
        </x:is>
      </x:c>
    </x:row>
    <x:row r="4">
      <x:c r="A4" s="279" t="inlineStr">
        <x:is>
          <x:t xml:space="preserve">2026-06</x:t>
        </x:is>
      </x:c>
      <x:c r="B4" s="279" t="inlineStr">
        <x:is>
          <x:t xml:space="preserve">Bancassurance Rules</x:t>
        </x:is>
      </x:c>
      <x:c r="C4" s="287" t="inlineStr">
        <x:is>
          <x:t xml:space="preserve">High</x:t>
        </x:is>
      </x:c>
      <x:c r="D4" s="279" t="inlineStr">
        <x:is>
          <x:t xml:space="preserve">Yes</x:t>
        </x:is>
      </x:c>
      <x:c r="E4" s="279" t="inlineStr">
        <x:is>
          <x:t xml:space="preserve">Le Hoang Quan</x:t>
        </x:is>
      </x:c>
      <x:c r="F4" s="279" t="inlineStr">
        <x:is>
          <x:t xml:space="preserve">Potential rule revision may affect distribution model and customer disclosure requirements.</x:t>
        </x:is>
      </x:c>
    </x:row>
    <x:row r="5">
      <x:c r="A5" s="279" t="inlineStr">
        <x:is>
          <x:t xml:space="preserve">2026-06</x:t>
        </x:is>
      </x:c>
      <x:c r="B5" s="279" t="inlineStr">
        <x:is>
          <x:t xml:space="preserve">Product Approval Delays</x:t>
        </x:is>
      </x:c>
      <x:c r="C5" s="287" t="inlineStr">
        <x:is>
          <x:t xml:space="preserve">Medium</x:t>
        </x:is>
      </x:c>
      <x:c r="D5" s="279" t="inlineStr">
        <x:is>
          <x:t xml:space="preserve">No</x:t>
        </x:is>
      </x:c>
      <x:c r="E5" s="279" t="inlineStr">
        <x:is>
          <x:t xml:space="preserve">Le Hoang Quan</x:t>
        </x:is>
      </x:c>
      <x:c r="F5" s="279" t="inlineStr">
        <x:is>
          <x:t xml:space="preserve">No material delay yet, but proactive follow-up with ISA is recommended.</x:t>
        </x:is>
      </x:c>
    </x:row>
    <x:row r="6">
      <x:c r="A6" s="279" t="inlineStr">
        <x:is>
          <x:t xml:space="preserve">2026-06</x:t>
        </x:is>
      </x:c>
      <x:c r="B6" s="279" t="inlineStr">
        <x:is>
          <x:t xml:space="preserve">Consumer Protection and Complaints</x:t>
        </x:is>
      </x:c>
      <x:c r="C6" s="287" t="inlineStr">
        <x:is>
          <x:t xml:space="preserve">High</x:t>
        </x:is>
      </x:c>
      <x:c r="D6" s="279" t="inlineStr">
        <x:is>
          <x:t xml:space="preserve">Yes</x:t>
        </x:is>
      </x:c>
      <x:c r="E6" s="279" t="inlineStr">
        <x:is>
          <x:t xml:space="preserve">Compliance + PA</x:t>
        </x:is>
      </x:c>
      <x:c r="F6" s="279" t="inlineStr">
        <x:is>
          <x:t xml:space="preserve">Prepare evidence pack and customer communication alignment.</x:t>
        </x:is>
      </x:c>
    </x:row>
    <x:row r="7">
      <x:c r="A7" s="279" t="inlineStr">
        <x:is>
          <x:t xml:space="preserve">2026-06</x:t>
        </x:is>
      </x:c>
      <x:c r="B7" s="279" t="inlineStr">
        <x:is>
          <x:t xml:space="preserve">Data Privacy Monitoring</x:t>
        </x:is>
      </x:c>
      <x:c r="C7" s="287" t="inlineStr">
        <x:is>
          <x:t xml:space="preserve">Medium</x:t>
        </x:is>
      </x:c>
      <x:c r="D7" s="279" t="inlineStr">
        <x:is>
          <x:t xml:space="preserve">No</x:t>
        </x:is>
      </x:c>
      <x:c r="E7" s="279" t="inlineStr">
        <x:is>
          <x:t xml:space="preserve">Legal + IT + PA</x:t>
        </x:is>
      </x:c>
      <x:c r="F7" s="279" t="inlineStr">
        <x:is>
          <x:t xml:space="preserve">Continue monitoring and update privacy/data governance stakeholders.</x:t>
        </x:is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f5f9c2408744c3d"/>
  </x:tableParts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2" style="265" customWidth="1"/>
    <x:col min="2" max="2" width="12" style="265" customWidth="1"/>
    <x:col min="3" max="3" width="32" style="265" customWidth="1"/>
    <x:col min="4" max="4" width="16.25" style="265" customWidth="1"/>
    <x:col min="5" max="5" width="12" style="265" customWidth="1"/>
    <x:col min="6" max="6" width="12" style="265" customWidth="1"/>
    <x:col min="7" max="7" width="12" style="265" customWidth="1"/>
    <x:col min="8" max="8" width="18.3799991607666" style="265" customWidth="1"/>
  </x:cols>
  <x:sheetData>
    <x:row r="1" s="265" customFormat="1" ht="24" customHeight="1">
      <x:c r="A1" s="286" t="inlineStr">
        <x:is>
          <x:t xml:space="preserve">Executive Timeline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3">
      <x:c r="A3" s="258" t="inlineStr">
        <x:is>
          <x:t xml:space="preserve">Horizon</x:t>
        </x:is>
      </x:c>
      <x:c r="B3" s="258" t="inlineStr">
        <x:is>
          <x:t xml:space="preserve">Date</x:t>
        </x:is>
      </x:c>
      <x:c r="C3" s="258" t="inlineStr">
        <x:is>
          <x:t xml:space="preserve">Item</x:t>
        </x:is>
      </x:c>
      <x:c r="D3" s="258" t="inlineStr">
        <x:is>
          <x:t xml:space="preserve">Category</x:t>
        </x:is>
      </x:c>
      <x:c r="E3" s="258" t="inlineStr">
        <x:is>
          <x:t xml:space="preserve">Owner</x:t>
        </x:is>
      </x:c>
      <x:c r="F3" s="258" t="inlineStr">
        <x:is>
          <x:t xml:space="preserve">Priority</x:t>
        </x:is>
      </x:c>
      <x:c r="G3" s="258" t="inlineStr">
        <x:is>
          <x:t xml:space="preserve">Status</x:t>
        </x:is>
      </x:c>
      <x:c r="H3" s="258" t="inlineStr">
        <x:is>
          <x:t xml:space="preserve">Management Attention</x:t>
        </x:is>
      </x:c>
    </x:row>
    <x:row r="4">
      <x:c r="A4" s="279" t="inlineStr">
        <x:is>
          <x:t xml:space="preserve">Today</x:t>
        </x:is>
      </x:c>
      <x:c r="B4" s="210" t="n">
        <x:v>46213</x:v>
      </x:c>
      <x:c r="C4" s="279" t="inlineStr">
        <x:is>
          <x:t xml:space="preserve">Finalize ISA product approval clarification</x:t>
        </x:is>
      </x:c>
      <x:c r="D4" s="279" t="inlineStr">
        <x:is>
          <x:t xml:space="preserve">Approval</x:t>
        </x:is>
      </x:c>
      <x:c r="E4" s="279" t="inlineStr">
        <x:is>
          <x:t xml:space="preserve">Product + PA</x:t>
        </x:is>
      </x:c>
      <x:c r="F4" s="279" t="inlineStr">
        <x:is>
          <x:t xml:space="preserve">Critical</x:t>
        </x:is>
      </x:c>
      <x:c r="G4" s="279" t="inlineStr">
        <x:is>
          <x:t xml:space="preserve">In Progress</x:t>
        </x:is>
      </x:c>
      <x:c r="H4" s="279" t="inlineStr">
        <x:is>
          <x:t xml:space="preserve">Yes</x:t>
        </x:is>
      </x:c>
    </x:row>
    <x:row r="5">
      <x:c r="A5" s="279" t="inlineStr">
        <x:is>
          <x:t xml:space="preserve">Tomorrow</x:t>
        </x:is>
      </x:c>
      <x:c r="B5" s="210" t="n">
        <x:v>46214</x:v>
      </x:c>
      <x:c r="C5" s="279" t="inlineStr">
        <x:is>
          <x:t xml:space="preserve">Submit monthly solvency report</x:t>
        </x:is>
      </x:c>
      <x:c r="D5" s="279" t="inlineStr">
        <x:is>
          <x:t xml:space="preserve">Regulatory Reporting</x:t>
        </x:is>
      </x:c>
      <x:c r="E5" s="279" t="inlineStr">
        <x:is>
          <x:t xml:space="preserve">Finance + PA</x:t>
        </x:is>
      </x:c>
      <x:c r="F5" s="279" t="inlineStr">
        <x:is>
          <x:t xml:space="preserve">High</x:t>
        </x:is>
      </x:c>
      <x:c r="G5" s="279" t="inlineStr">
        <x:is>
          <x:t xml:space="preserve">On Track</x:t>
        </x:is>
      </x:c>
      <x:c r="H5" s="279" t="inlineStr">
        <x:is>
          <x:t xml:space="preserve">No</x:t>
        </x:is>
      </x:c>
    </x:row>
    <x:row r="6">
      <x:c r="A6" s="279" t="inlineStr">
        <x:is>
          <x:t xml:space="preserve">Next 7 Days</x:t>
        </x:is>
      </x:c>
      <x:c r="B6" s="210" t="n">
        <x:v>46218</x:v>
      </x:c>
      <x:c r="C6" s="279" t="inlineStr">
        <x:is>
          <x:t xml:space="preserve">MOF strategic dialogue preparation</x:t>
        </x:is>
      </x:c>
      <x:c r="D6" s="279" t="inlineStr">
        <x:is>
          <x:t xml:space="preserve">Regulator Meeting</x:t>
        </x:is>
      </x:c>
      <x:c r="E6" s="279" t="inlineStr">
        <x:is>
          <x:t xml:space="preserve">CEO + PA</x:t>
        </x:is>
      </x:c>
      <x:c r="F6" s="279" t="inlineStr">
        <x:is>
          <x:t xml:space="preserve">Critical</x:t>
        </x:is>
      </x:c>
      <x:c r="G6" s="279" t="inlineStr">
        <x:is>
          <x:t xml:space="preserve">Preparation</x:t>
        </x:is>
      </x:c>
      <x:c r="H6" s="279" t="inlineStr">
        <x:is>
          <x:t xml:space="preserve">Yes</x:t>
        </x:is>
      </x:c>
    </x:row>
    <x:row r="7">
      <x:c r="A7" s="279" t="inlineStr">
        <x:is>
          <x:t xml:space="preserve">Next 7 Days</x:t>
        </x:is>
      </x:c>
      <x:c r="B7" s="210" t="n">
        <x:v>46219</x:v>
      </x:c>
      <x:c r="C7" s="279" t="inlineStr">
        <x:is>
          <x:t xml:space="preserve">Close consumer complaint evidence pack</x:t>
        </x:is>
      </x:c>
      <x:c r="D7" s="279" t="inlineStr">
        <x:is>
          <x:t xml:space="preserve">Inspection Readiness</x:t>
        </x:is>
      </x:c>
      <x:c r="E7" s="279" t="inlineStr">
        <x:is>
          <x:t xml:space="preserve">Compliance</x:t>
        </x:is>
      </x:c>
      <x:c r="F7" s="279" t="inlineStr">
        <x:is>
          <x:t xml:space="preserve">High</x:t>
        </x:is>
      </x:c>
      <x:c r="G7" s="279" t="inlineStr">
        <x:is>
          <x:t xml:space="preserve">In Progress</x:t>
        </x:is>
      </x:c>
      <x:c r="H7" s="279" t="inlineStr">
        <x:is>
          <x:t xml:space="preserve">Yes</x:t>
        </x:is>
      </x:c>
    </x:row>
    <x:row r="8">
      <x:c r="A8" s="279" t="inlineStr">
        <x:is>
          <x:t xml:space="preserve">Next 30 Days</x:t>
        </x:is>
      </x:c>
      <x:c r="B8" s="210" t="n">
        <x:v>46235</x:v>
      </x:c>
      <x:c r="C8" s="279" t="inlineStr">
        <x:is>
          <x:t xml:space="preserve">SBV bancassurance policy monitoring update</x:t>
        </x:is>
      </x:c>
      <x:c r="D8" s="279" t="inlineStr">
        <x:is>
          <x:t xml:space="preserve">Policy Monitoring</x:t>
        </x:is>
      </x:c>
      <x:c r="E8" s="279" t="inlineStr">
        <x:is>
          <x:t xml:space="preserve">PA + Legal</x:t>
        </x:is>
      </x:c>
      <x:c r="F8" s="279" t="inlineStr">
        <x:is>
          <x:t xml:space="preserve">Medium</x:t>
        </x:is>
      </x:c>
      <x:c r="G8" s="279" t="inlineStr">
        <x:is>
          <x:t xml:space="preserve">Monitoring</x:t>
        </x:is>
      </x:c>
      <x:c r="H8" s="279" t="inlineStr">
        <x:is>
          <x:t xml:space="preserve">Potential</x:t>
        </x:is>
      </x:c>
    </x:row>
    <x:row r="9">
      <x:c r="A9" s="279" t="inlineStr">
        <x:is>
          <x:t xml:space="preserve">Next 90 Days</x:t>
        </x:is>
      </x:c>
      <x:c r="B9" s="210" t="n">
        <x:v>46295</x:v>
      </x:c>
      <x:c r="C9" s="279" t="inlineStr">
        <x:is>
          <x:t xml:space="preserve">Regional Office Q3 regulatory report</x:t>
        </x:is>
      </x:c>
      <x:c r="D9" s="279" t="inlineStr">
        <x:is>
          <x:t xml:space="preserve">Regional Reporting</x:t>
        </x:is>
      </x:c>
      <x:c r="E9" s="279" t="inlineStr">
        <x:is>
          <x:t xml:space="preserve">PA</x:t>
        </x:is>
      </x:c>
      <x:c r="F9" s="279" t="inlineStr">
        <x:is>
          <x:t xml:space="preserve">High</x:t>
        </x:is>
      </x:c>
      <x:c r="G9" s="279" t="inlineStr">
        <x:is>
          <x:t xml:space="preserve">Planned</x:t>
        </x:is>
      </x:c>
      <x:c r="H9" s="279" t="inlineStr">
        <x:is>
          <x:t xml:space="preserve">No</x:t>
        </x:is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335d14d6af34146"/>
  </x:tableParts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2" style="265" customWidth="1"/>
    <x:col min="2" max="2" width="12" style="265" customWidth="1"/>
    <x:col min="3" max="3" width="19.75" style="265" customWidth="1"/>
    <x:col min="4" max="4" width="20.8799991607666" style="265" customWidth="1"/>
    <x:col min="5" max="5" width="13.5" style="265" customWidth="1"/>
    <x:col min="6" max="6" width="20.5" style="265" customWidth="1"/>
    <x:col min="7" max="7" width="16" style="265" customWidth="1"/>
  </x:cols>
  <x:sheetData>
    <x:row r="1" s="265" customFormat="1" ht="24" customHeight="1">
      <x:c r="A1" s="286" t="inlineStr">
        <x:is>
          <x:t xml:space="preserve">Relationship Health</x:t>
        </x:is>
      </x:c>
      <x:c r="B1" s="1" t="n"/>
      <x:c r="C1" s="1" t="n"/>
      <x:c r="D1" s="1" t="n"/>
      <x:c r="E1" s="1" t="n"/>
      <x:c r="F1" s="1" t="n"/>
      <x:c r="G1" s="1" t="n"/>
    </x:row>
    <x:row r="3">
      <x:c r="A3" s="258" t="inlineStr">
        <x:is>
          <x:t xml:space="preserve">Month</x:t>
        </x:is>
      </x:c>
      <x:c r="B3" s="258" t="inlineStr">
        <x:is>
          <x:t xml:space="preserve">Stakeholder</x:t>
        </x:is>
      </x:c>
      <x:c r="C3" s="258" t="inlineStr">
        <x:is>
          <x:t xml:space="preserve">Meeting Frequency Score</x:t>
        </x:is>
      </x:c>
      <x:c r="D3" s="258" t="inlineStr">
        <x:is>
          <x:t xml:space="preserve">Response Timeliness Score</x:t>
        </x:is>
      </x:c>
      <x:c r="E3" s="258" t="inlineStr">
        <x:is>
          <x:t xml:space="preserve">Open Issue Score</x:t>
        </x:is>
      </x:c>
      <x:c r="F3" s="258" t="inlineStr">
        <x:is>
          <x:t xml:space="preserve">Engagement Quality Score</x:t>
        </x:is>
      </x:c>
      <x:c r="G3" s="258" t="inlineStr">
        <x:is>
          <x:t xml:space="preserve">Overall Health Score</x:t>
        </x:is>
      </x:c>
    </x:row>
    <x:row r="4">
      <x:c r="A4" s="279" t="inlineStr">
        <x:is>
          <x:t xml:space="preserve">2026-01</x:t>
        </x:is>
      </x:c>
      <x:c r="B4" s="279" t="inlineStr">
        <x:is>
          <x:t xml:space="preserve">MOF</x:t>
        </x:is>
      </x:c>
      <x:c r="C4" s="287" t="n">
        <x:v>4</x:v>
      </x:c>
      <x:c r="D4" s="287" t="n">
        <x:v>4.1</x:v>
      </x:c>
      <x:c r="E4" s="287" t="n">
        <x:v>3.6</x:v>
      </x:c>
      <x:c r="F4" s="287" t="n">
        <x:v>4</x:v>
      </x:c>
      <x:c r="G4" s="287" t="n">
        <x:v>79</x:v>
      </x:c>
    </x:row>
    <x:row r="5">
      <x:c r="A5" s="279" t="inlineStr">
        <x:is>
          <x:t xml:space="preserve">2026-02</x:t>
        </x:is>
      </x:c>
      <x:c r="B5" s="279" t="inlineStr">
        <x:is>
          <x:t xml:space="preserve">MOF</x:t>
        </x:is>
      </x:c>
      <x:c r="C5" s="287" t="n">
        <x:v>4.2</x:v>
      </x:c>
      <x:c r="D5" s="287" t="n">
        <x:v>4.2</x:v>
      </x:c>
      <x:c r="E5" s="287" t="n">
        <x:v>3.8</x:v>
      </x:c>
      <x:c r="F5" s="287" t="n">
        <x:v>4.1</x:v>
      </x:c>
      <x:c r="G5" s="287" t="n">
        <x:v>82</x:v>
      </x:c>
    </x:row>
    <x:row r="6">
      <x:c r="A6" s="279" t="inlineStr">
        <x:is>
          <x:t xml:space="preserve">2026-03</x:t>
        </x:is>
      </x:c>
      <x:c r="B6" s="279" t="inlineStr">
        <x:is>
          <x:t xml:space="preserve">MOF</x:t>
        </x:is>
      </x:c>
      <x:c r="C6" s="287" t="n">
        <x:v>4.3</x:v>
      </x:c>
      <x:c r="D6" s="287" t="n">
        <x:v>4.3</x:v>
      </x:c>
      <x:c r="E6" s="287" t="n">
        <x:v>3.9</x:v>
      </x:c>
      <x:c r="F6" s="287" t="n">
        <x:v>4.2</x:v>
      </x:c>
      <x:c r="G6" s="287" t="n">
        <x:v>84</x:v>
      </x:c>
    </x:row>
    <x:row r="7">
      <x:c r="A7" s="279" t="inlineStr">
        <x:is>
          <x:t xml:space="preserve">2026-04</x:t>
        </x:is>
      </x:c>
      <x:c r="B7" s="279" t="inlineStr">
        <x:is>
          <x:t xml:space="preserve">MOF</x:t>
        </x:is>
      </x:c>
      <x:c r="C7" s="287" t="n">
        <x:v>4.4</x:v>
      </x:c>
      <x:c r="D7" s="287" t="n">
        <x:v>4.4</x:v>
      </x:c>
      <x:c r="E7" s="287" t="n">
        <x:v>4</x:v>
      </x:c>
      <x:c r="F7" s="287" t="n">
        <x:v>4.3</x:v>
      </x:c>
      <x:c r="G7" s="287" t="n">
        <x:v>86</x:v>
      </x:c>
    </x:row>
    <x:row r="8">
      <x:c r="A8" s="279" t="inlineStr">
        <x:is>
          <x:t xml:space="preserve">2026-05</x:t>
        </x:is>
      </x:c>
      <x:c r="B8" s="279" t="inlineStr">
        <x:is>
          <x:t xml:space="preserve">MOF</x:t>
        </x:is>
      </x:c>
      <x:c r="C8" s="287" t="n">
        <x:v>4.5</x:v>
      </x:c>
      <x:c r="D8" s="287" t="n">
        <x:v>4.5</x:v>
      </x:c>
      <x:c r="E8" s="287" t="n">
        <x:v>4.1</x:v>
      </x:c>
      <x:c r="F8" s="287" t="n">
        <x:v>4.4</x:v>
      </x:c>
      <x:c r="G8" s="287" t="n">
        <x:v>88</x:v>
      </x:c>
    </x:row>
    <x:row r="9">
      <x:c r="A9" s="279" t="inlineStr">
        <x:is>
          <x:t xml:space="preserve">2026-06</x:t>
        </x:is>
      </x:c>
      <x:c r="B9" s="279" t="inlineStr">
        <x:is>
          <x:t xml:space="preserve">MOF</x:t>
        </x:is>
      </x:c>
      <x:c r="C9" s="287" t="n">
        <x:v>4.6</x:v>
      </x:c>
      <x:c r="D9" s="287" t="n">
        <x:v>4.5</x:v>
      </x:c>
      <x:c r="E9" s="287" t="n">
        <x:v>4.2</x:v>
      </x:c>
      <x:c r="F9" s="287" t="n">
        <x:v>4.5</x:v>
      </x:c>
      <x:c r="G9" s="287" t="n">
        <x:v>89</x:v>
      </x:c>
    </x:row>
    <x:row r="10">
      <x:c r="A10" s="279" t="inlineStr">
        <x:is>
          <x:t xml:space="preserve">2026-01</x:t>
        </x:is>
      </x:c>
      <x:c r="B10" s="279" t="inlineStr">
        <x:is>
          <x:t xml:space="preserve">ISA</x:t>
        </x:is>
      </x:c>
      <x:c r="C10" s="287" t="n">
        <x:v>4.2</x:v>
      </x:c>
      <x:c r="D10" s="287" t="n">
        <x:v>4</x:v>
      </x:c>
      <x:c r="E10" s="287" t="n">
        <x:v>3.5</x:v>
      </x:c>
      <x:c r="F10" s="287" t="n">
        <x:v>4.1</x:v>
      </x:c>
      <x:c r="G10" s="287" t="n">
        <x:v>80</x:v>
      </x:c>
    </x:row>
    <x:row r="11">
      <x:c r="A11" s="279" t="inlineStr">
        <x:is>
          <x:t xml:space="preserve">2026-02</x:t>
        </x:is>
      </x:c>
      <x:c r="B11" s="279" t="inlineStr">
        <x:is>
          <x:t xml:space="preserve">ISA</x:t>
        </x:is>
      </x:c>
      <x:c r="C11" s="287" t="n">
        <x:v>4.3</x:v>
      </x:c>
      <x:c r="D11" s="287" t="n">
        <x:v>4.1</x:v>
      </x:c>
      <x:c r="E11" s="287" t="n">
        <x:v>3.6</x:v>
      </x:c>
      <x:c r="F11" s="287" t="n">
        <x:v>4.2</x:v>
      </x:c>
      <x:c r="G11" s="287" t="n">
        <x:v>82</x:v>
      </x:c>
    </x:row>
    <x:row r="12">
      <x:c r="A12" s="279" t="inlineStr">
        <x:is>
          <x:t xml:space="preserve">2026-03</x:t>
        </x:is>
      </x:c>
      <x:c r="B12" s="279" t="inlineStr">
        <x:is>
          <x:t xml:space="preserve">ISA</x:t>
        </x:is>
      </x:c>
      <x:c r="C12" s="287" t="n">
        <x:v>4.4</x:v>
      </x:c>
      <x:c r="D12" s="287" t="n">
        <x:v>4.2</x:v>
      </x:c>
      <x:c r="E12" s="287" t="n">
        <x:v>3.8</x:v>
      </x:c>
      <x:c r="F12" s="287" t="n">
        <x:v>4.3</x:v>
      </x:c>
      <x:c r="G12" s="287" t="n">
        <x:v>84</x:v>
      </x:c>
    </x:row>
    <x:row r="13">
      <x:c r="A13" s="279" t="inlineStr">
        <x:is>
          <x:t xml:space="preserve">2026-04</x:t>
        </x:is>
      </x:c>
      <x:c r="B13" s="279" t="inlineStr">
        <x:is>
          <x:t xml:space="preserve">ISA</x:t>
        </x:is>
      </x:c>
      <x:c r="C13" s="287" t="n">
        <x:v>4.5</x:v>
      </x:c>
      <x:c r="D13" s="287" t="n">
        <x:v>4.3</x:v>
      </x:c>
      <x:c r="E13" s="287" t="n">
        <x:v>3.9</x:v>
      </x:c>
      <x:c r="F13" s="287" t="n">
        <x:v>4.4</x:v>
      </x:c>
      <x:c r="G13" s="287" t="n">
        <x:v>86</x:v>
      </x:c>
    </x:row>
    <x:row r="14">
      <x:c r="A14" s="279" t="inlineStr">
        <x:is>
          <x:t xml:space="preserve">2026-05</x:t>
        </x:is>
      </x:c>
      <x:c r="B14" s="279" t="inlineStr">
        <x:is>
          <x:t xml:space="preserve">ISA</x:t>
        </x:is>
      </x:c>
      <x:c r="C14" s="287" t="n">
        <x:v>4.6</x:v>
      </x:c>
      <x:c r="D14" s="287" t="n">
        <x:v>4.4</x:v>
      </x:c>
      <x:c r="E14" s="287" t="n">
        <x:v>4</x:v>
      </x:c>
      <x:c r="F14" s="287" t="n">
        <x:v>4.5</x:v>
      </x:c>
      <x:c r="G14" s="287" t="n">
        <x:v>88</x:v>
      </x:c>
    </x:row>
    <x:row r="15">
      <x:c r="A15" s="279" t="inlineStr">
        <x:is>
          <x:t xml:space="preserve">2026-06</x:t>
        </x:is>
      </x:c>
      <x:c r="B15" s="279" t="inlineStr">
        <x:is>
          <x:t xml:space="preserve">ISA</x:t>
        </x:is>
      </x:c>
      <x:c r="C15" s="287" t="n">
        <x:v>4.7</x:v>
      </x:c>
      <x:c r="D15" s="287" t="n">
        <x:v>4.5</x:v>
      </x:c>
      <x:c r="E15" s="287" t="n">
        <x:v>4.1</x:v>
      </x:c>
      <x:c r="F15" s="287" t="n">
        <x:v>4.6</x:v>
      </x:c>
      <x:c r="G15" s="287" t="n">
        <x:v>90</x:v>
      </x:c>
    </x:row>
    <x:row r="16">
      <x:c r="A16" s="279" t="inlineStr">
        <x:is>
          <x:t xml:space="preserve">2026-01</x:t>
        </x:is>
      </x:c>
      <x:c r="B16" s="279" t="inlineStr">
        <x:is>
          <x:t xml:space="preserve">IAV</x:t>
        </x:is>
      </x:c>
      <x:c r="C16" s="287" t="n">
        <x:v>3.6</x:v>
      </x:c>
      <x:c r="D16" s="287" t="n">
        <x:v>3.8</x:v>
      </x:c>
      <x:c r="E16" s="287" t="n">
        <x:v>3.9</x:v>
      </x:c>
      <x:c r="F16" s="287" t="n">
        <x:v>3.8</x:v>
      </x:c>
      <x:c r="G16" s="287" t="n">
        <x:v>76</x:v>
      </x:c>
    </x:row>
    <x:row r="17">
      <x:c r="A17" s="279" t="inlineStr">
        <x:is>
          <x:t xml:space="preserve">2026-02</x:t>
        </x:is>
      </x:c>
      <x:c r="B17" s="279" t="inlineStr">
        <x:is>
          <x:t xml:space="preserve">IAV</x:t>
        </x:is>
      </x:c>
      <x:c r="C17" s="287" t="n">
        <x:v>3.7</x:v>
      </x:c>
      <x:c r="D17" s="287" t="n">
        <x:v>3.9</x:v>
      </x:c>
      <x:c r="E17" s="287" t="n">
        <x:v>4</x:v>
      </x:c>
      <x:c r="F17" s="287" t="n">
        <x:v>3.9</x:v>
      </x:c>
      <x:c r="G17" s="287" t="n">
        <x:v>78</x:v>
      </x:c>
    </x:row>
    <x:row r="18">
      <x:c r="A18" s="279" t="inlineStr">
        <x:is>
          <x:t xml:space="preserve">2026-03</x:t>
        </x:is>
      </x:c>
      <x:c r="B18" s="279" t="inlineStr">
        <x:is>
          <x:t xml:space="preserve">IAV</x:t>
        </x:is>
      </x:c>
      <x:c r="C18" s="287" t="n">
        <x:v>3.8</x:v>
      </x:c>
      <x:c r="D18" s="287" t="n">
        <x:v>4</x:v>
      </x:c>
      <x:c r="E18" s="287" t="n">
        <x:v>4</x:v>
      </x:c>
      <x:c r="F18" s="287" t="n">
        <x:v>4</x:v>
      </x:c>
      <x:c r="G18" s="287" t="n">
        <x:v>79</x:v>
      </x:c>
    </x:row>
    <x:row r="19">
      <x:c r="A19" s="279" t="inlineStr">
        <x:is>
          <x:t xml:space="preserve">2026-04</x:t>
        </x:is>
      </x:c>
      <x:c r="B19" s="279" t="inlineStr">
        <x:is>
          <x:t xml:space="preserve">IAV</x:t>
        </x:is>
      </x:c>
      <x:c r="C19" s="287" t="n">
        <x:v>3.9</x:v>
      </x:c>
      <x:c r="D19" s="287" t="n">
        <x:v>4.1</x:v>
      </x:c>
      <x:c r="E19" s="287" t="n">
        <x:v>4.1</x:v>
      </x:c>
      <x:c r="F19" s="287" t="n">
        <x:v>4.1</x:v>
      </x:c>
      <x:c r="G19" s="287" t="n">
        <x:v>81</x:v>
      </x:c>
    </x:row>
    <x:row r="20">
      <x:c r="A20" s="279" t="inlineStr">
        <x:is>
          <x:t xml:space="preserve">2026-05</x:t>
        </x:is>
      </x:c>
      <x:c r="B20" s="279" t="inlineStr">
        <x:is>
          <x:t xml:space="preserve">IAV</x:t>
        </x:is>
      </x:c>
      <x:c r="C20" s="287" t="n">
        <x:v>4</x:v>
      </x:c>
      <x:c r="D20" s="287" t="n">
        <x:v>4.1</x:v>
      </x:c>
      <x:c r="E20" s="287" t="n">
        <x:v>4.2</x:v>
      </x:c>
      <x:c r="F20" s="287" t="n">
        <x:v>4.2</x:v>
      </x:c>
      <x:c r="G20" s="287" t="n">
        <x:v>82</x:v>
      </x:c>
    </x:row>
    <x:row r="21">
      <x:c r="A21" s="279" t="inlineStr">
        <x:is>
          <x:t xml:space="preserve">2026-06</x:t>
        </x:is>
      </x:c>
      <x:c r="B21" s="279" t="inlineStr">
        <x:is>
          <x:t xml:space="preserve">IAV</x:t>
        </x:is>
      </x:c>
      <x:c r="C21" s="287" t="n">
        <x:v>4.1</x:v>
      </x:c>
      <x:c r="D21" s="287" t="n">
        <x:v>4.2</x:v>
      </x:c>
      <x:c r="E21" s="287" t="n">
        <x:v>4.2</x:v>
      </x:c>
      <x:c r="F21" s="287" t="n">
        <x:v>4.3</x:v>
      </x:c>
      <x:c r="G21" s="287" t="n">
        <x:v>84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a0ab52c98674e0f"/>
  </x:tableParts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12" style="265" customWidth="1"/>
    <x:col min="2" max="2" width="21.5" style="265" customWidth="1"/>
    <x:col min="3" max="3" width="17.1299991607666" style="265" customWidth="1"/>
    <x:col min="4" max="4" width="17.8799991607666" style="265" customWidth="1"/>
    <x:col min="5" max="5" width="20.1299991607666" style="265" customWidth="1"/>
    <x:col min="6" max="6" width="19.3799991607666" style="265" customWidth="1"/>
    <x:col min="7" max="7" width="12" style="265" customWidth="1"/>
    <x:col min="8" max="8" width="32" style="265" customWidth="1"/>
  </x:cols>
  <x:sheetData>
    <x:row r="1" s="265" customFormat="1" ht="24" customHeight="1">
      <x:c r="A1" s="286" t="inlineStr">
        <x:is>
          <x:t xml:space="preserve">Reputation Monitor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3">
      <x:c r="A3" s="258" t="inlineStr">
        <x:is>
          <x:t xml:space="preserve">Month</x:t>
        </x:is>
      </x:c>
      <x:c r="B3" s="258" t="inlineStr">
        <x:is>
          <x:t xml:space="preserve">Customer Complaints Index</x:t>
        </x:is>
      </x:c>
      <x:c r="C3" s="258" t="inlineStr">
        <x:is>
          <x:t xml:space="preserve">Negative Media Index</x:t>
        </x:is>
      </x:c>
      <x:c r="D3" s="258" t="inlineStr">
        <x:is>
          <x:t xml:space="preserve">Social Sentiment Score</x:t>
        </x:is>
      </x:c>
      <x:c r="E3" s="258" t="inlineStr">
        <x:is>
          <x:t xml:space="preserve">Regulatory Concern Index</x:t>
        </x:is>
      </x:c>
      <x:c r="F3" s="258" t="inlineStr">
        <x:is>
          <x:t xml:space="preserve">Overall Reputation Score</x:t>
        </x:is>
      </x:c>
      <x:c r="G3" s="258" t="inlineStr">
        <x:is>
          <x:t xml:space="preserve">Trend</x:t>
        </x:is>
      </x:c>
      <x:c r="H3" s="258" t="inlineStr">
        <x:is>
          <x:t xml:space="preserve">Management Commentary</x:t>
        </x:is>
      </x:c>
    </x:row>
    <x:row r="4">
      <x:c r="A4" s="279" t="inlineStr">
        <x:is>
          <x:t xml:space="preserve">2026-01</x:t>
        </x:is>
      </x:c>
      <x:c r="B4" s="287" t="n">
        <x:v>42</x:v>
      </x:c>
      <x:c r="C4" s="287" t="n">
        <x:v>35</x:v>
      </x:c>
      <x:c r="D4" s="287" t="n">
        <x:v>72</x:v>
      </x:c>
      <x:c r="E4" s="287" t="n">
        <x:v>38</x:v>
      </x:c>
      <x:c r="F4" s="287" t="n">
        <x:v>76</x:v>
      </x:c>
      <x:c r="G4" s="279" t="inlineStr">
        <x:is>
          <x:t xml:space="preserve">Stable</x:t>
        </x:is>
      </x:c>
      <x:c r="H4" s="279" t="inlineStr">
        <x:is>
          <x:t xml:space="preserve">Complaint volume manageable; media neutral.</x:t>
        </x:is>
      </x:c>
    </x:row>
    <x:row r="5">
      <x:c r="A5" s="279" t="inlineStr">
        <x:is>
          <x:t xml:space="preserve">2026-02</x:t>
        </x:is>
      </x:c>
      <x:c r="B5" s="287" t="n">
        <x:v>45</x:v>
      </x:c>
      <x:c r="C5" s="287" t="n">
        <x:v>38</x:v>
      </x:c>
      <x:c r="D5" s="287" t="n">
        <x:v>70</x:v>
      </x:c>
      <x:c r="E5" s="287" t="n">
        <x:v>40</x:v>
      </x:c>
      <x:c r="F5" s="287" t="n">
        <x:v>74</x:v>
      </x:c>
      <x:c r="G5" s="279" t="inlineStr">
        <x:is>
          <x:t xml:space="preserve">Down</x:t>
        </x:is>
      </x:c>
      <x:c r="H5" s="279" t="inlineStr">
        <x:is>
          <x:t xml:space="preserve">Small deterioration following bancassurance coverage.</x:t>
        </x:is>
      </x:c>
    </x:row>
    <x:row r="6">
      <x:c r="A6" s="279" t="inlineStr">
        <x:is>
          <x:t xml:space="preserve">2026-03</x:t>
        </x:is>
      </x:c>
      <x:c r="B6" s="287" t="n">
        <x:v>40</x:v>
      </x:c>
      <x:c r="C6" s="287" t="n">
        <x:v>32</x:v>
      </x:c>
      <x:c r="D6" s="287" t="n">
        <x:v>74</x:v>
      </x:c>
      <x:c r="E6" s="287" t="n">
        <x:v>36</x:v>
      </x:c>
      <x:c r="F6" s="287" t="n">
        <x:v>78</x:v>
      </x:c>
      <x:c r="G6" s="279" t="inlineStr">
        <x:is>
          <x:t xml:space="preserve">Up</x:t>
        </x:is>
      </x:c>
      <x:c r="H6" s="279" t="inlineStr">
        <x:is>
          <x:t xml:space="preserve">Improvement after customer communication campaign.</x:t>
        </x:is>
      </x:c>
    </x:row>
    <x:row r="7">
      <x:c r="A7" s="279" t="inlineStr">
        <x:is>
          <x:t xml:space="preserve">2026-04</x:t>
        </x:is>
      </x:c>
      <x:c r="B7" s="287" t="n">
        <x:v>38</x:v>
      </x:c>
      <x:c r="C7" s="287" t="n">
        <x:v>30</x:v>
      </x:c>
      <x:c r="D7" s="287" t="n">
        <x:v>76</x:v>
      </x:c>
      <x:c r="E7" s="287" t="n">
        <x:v>34</x:v>
      </x:c>
      <x:c r="F7" s="287" t="n">
        <x:v>80</x:v>
      </x:c>
      <x:c r="G7" s="279" t="inlineStr">
        <x:is>
          <x:t xml:space="preserve">Up</x:t>
        </x:is>
      </x:c>
      <x:c r="H7" s="279" t="inlineStr">
        <x:is>
          <x:t xml:space="preserve">Complaint resolution and proactive media briefing helped.</x:t>
        </x:is>
      </x:c>
    </x:row>
    <x:row r="8">
      <x:c r="A8" s="279" t="inlineStr">
        <x:is>
          <x:t xml:space="preserve">2026-05</x:t>
        </x:is>
      </x:c>
      <x:c r="B8" s="287" t="n">
        <x:v>41</x:v>
      </x:c>
      <x:c r="C8" s="287" t="n">
        <x:v>33</x:v>
      </x:c>
      <x:c r="D8" s="287" t="n">
        <x:v>75</x:v>
      </x:c>
      <x:c r="E8" s="287" t="n">
        <x:v>35</x:v>
      </x:c>
      <x:c r="F8" s="287" t="n">
        <x:v>79</x:v>
      </x:c>
      <x:c r="G8" s="279" t="inlineStr">
        <x:is>
          <x:t xml:space="preserve">Stable</x:t>
        </x:is>
      </x:c>
      <x:c r="H8" s="279" t="inlineStr">
        <x:is>
          <x:t xml:space="preserve">Monitor product transparency narrative.</x:t>
        </x:is>
      </x:c>
    </x:row>
    <x:row r="9">
      <x:c r="A9" s="279" t="inlineStr">
        <x:is>
          <x:t xml:space="preserve">2026-06</x:t>
        </x:is>
      </x:c>
      <x:c r="B9" s="287" t="n">
        <x:v>36</x:v>
      </x:c>
      <x:c r="C9" s="287" t="n">
        <x:v>28</x:v>
      </x:c>
      <x:c r="D9" s="287" t="n">
        <x:v>78</x:v>
      </x:c>
      <x:c r="E9" s="287" t="n">
        <x:v>32</x:v>
      </x:c>
      <x:c r="F9" s="287" t="n">
        <x:v>83</x:v>
      </x:c>
      <x:c r="G9" s="279" t="inlineStr">
        <x:is>
          <x:t xml:space="preserve">Up</x:t>
        </x:is>
      </x:c>
      <x:c r="H9" s="279" t="inlineStr">
        <x:is>
          <x:t xml:space="preserve">Stronger complaint closure and financial literacy initiatives.</x:t>
        </x:is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11e9f56258b4c4b"/>
  </x:tableParts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21" style="265" customWidth="1"/>
    <x:col min="2" max="2" width="16" style="265" customWidth="1"/>
    <x:col min="3" max="3" width="18.3799991607666" style="265" customWidth="1"/>
    <x:col min="4" max="4" width="21" style="265" customWidth="1"/>
    <x:col min="5" max="5" width="22.3799991607666" style="265" customWidth="1"/>
    <x:col min="6" max="6" width="12.630000114440918" style="265" customWidth="1"/>
    <x:col min="7" max="7" width="19" style="265" customWidth="1"/>
    <x:col min="8" max="8" width="14.380000114440918" style="265" customWidth="1"/>
    <x:col min="9" max="9" width="32" style="265" customWidth="1"/>
  </x:cols>
  <x:sheetData>
    <x:row r="1" s="265" customFormat="1" ht="24" customHeight="1">
      <x:c r="A1" s="286" t="inlineStr">
        <x:is>
          <x:t xml:space="preserve">Product Approval Forecast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</x:row>
    <x:row r="3">
      <x:c r="A3" s="258" t="inlineStr">
        <x:is>
          <x:t xml:space="preserve">Product</x:t>
        </x:is>
      </x:c>
      <x:c r="B3" s="258" t="inlineStr">
        <x:is>
          <x:t xml:space="preserve">Current Stage</x:t>
        </x:is>
      </x:c>
      <x:c r="C3" s="258" t="inlineStr">
        <x:is>
          <x:t xml:space="preserve">Document Quality (1-5)</x:t>
        </x:is>
      </x:c>
      <x:c r="D3" s="258" t="inlineStr">
        <x:is>
          <x:t xml:space="preserve">Regulatory Sensitivity (1-5)</x:t>
        </x:is>
      </x:c>
      <x:c r="E3" s="258" t="inlineStr">
        <x:is>
          <x:t xml:space="preserve">Prior Feedback Severity (1-5)</x:t>
        </x:is>
      </x:c>
      <x:c r="F3" s="258" t="inlineStr">
        <x:is>
          <x:t xml:space="preserve">Days in Pipeline</x:t>
        </x:is>
      </x:c>
      <x:c r="G3" s="258" t="inlineStr">
        <x:is>
          <x:t xml:space="preserve">Approval Probability (%)</x:t>
        </x:is>
      </x:c>
      <x:c r="H3" s="258" t="inlineStr">
        <x:is>
          <x:t xml:space="preserve">Expected Decision</x:t>
        </x:is>
      </x:c>
      <x:c r="I3" s="258" t="inlineStr">
        <x:is>
          <x:t xml:space="preserve">Recommended Action</x:t>
        </x:is>
      </x:c>
    </x:row>
    <x:row r="4">
      <x:c r="A4" s="279" t="inlineStr">
        <x:is>
          <x:t xml:space="preserve">Health Rider Plus</x:t>
        </x:is>
      </x:c>
      <x:c r="B4" s="279" t="inlineStr">
        <x:is>
          <x:t xml:space="preserve">ISA Technical Review</x:t>
        </x:is>
      </x:c>
      <x:c r="C4" s="279" t="n">
        <x:v>4.5</x:v>
      </x:c>
      <x:c r="D4" s="279" t="n">
        <x:v>3</x:v>
      </x:c>
      <x:c r="E4" s="279" t="n">
        <x:v>2</x:v>
      </x:c>
      <x:c r="F4" s="287" t="n">
        <x:v>35</x:v>
      </x:c>
      <x:c r="G4" s="287" t="n">
        <x:v>82</x:v>
      </x:c>
      <x:c r="H4" s="210" t="n">
        <x:v>46249</x:v>
      </x:c>
      <x:c r="I4" s="279" t="inlineStr">
        <x:is>
          <x:t xml:space="preserve">Close remaining disclosure questions</x:t>
        </x:is>
      </x:c>
    </x:row>
    <x:row r="5">
      <x:c r="A5" s="279" t="inlineStr">
        <x:is>
          <x:t xml:space="preserve">Unit-linked Protection 2026</x:t>
        </x:is>
      </x:c>
      <x:c r="B5" s="279" t="inlineStr">
        <x:is>
          <x:t xml:space="preserve">Internal Final Review</x:t>
        </x:is>
      </x:c>
      <x:c r="C5" s="279" t="n">
        <x:v>4.2</x:v>
      </x:c>
      <x:c r="D5" s="279" t="n">
        <x:v>4</x:v>
      </x:c>
      <x:c r="E5" s="279" t="n">
        <x:v>3</x:v>
      </x:c>
      <x:c r="F5" s="287" t="n">
        <x:v>18</x:v>
      </x:c>
      <x:c r="G5" s="287" t="n">
        <x:v>68</x:v>
      </x:c>
      <x:c r="H5" s="210" t="n">
        <x:v>46275</x:v>
      </x:c>
      <x:c r="I5" s="279" t="inlineStr">
        <x:is>
          <x:t xml:space="preserve">Strengthen customer benefit illustration</x:t>
        </x:is>
      </x:c>
    </x:row>
    <x:row r="6">
      <x:c r="A6" s="279" t="inlineStr">
        <x:is>
          <x:t xml:space="preserve">Digital Term Life</x:t>
        </x:is>
      </x:c>
      <x:c r="B6" s="279" t="inlineStr">
        <x:is>
          <x:t xml:space="preserve">Pre-submission</x:t>
        </x:is>
      </x:c>
      <x:c r="C6" s="279" t="n">
        <x:v>3.8</x:v>
      </x:c>
      <x:c r="D6" s="279" t="n">
        <x:v>4</x:v>
      </x:c>
      <x:c r="E6" s="279" t="n">
        <x:v>3</x:v>
      </x:c>
      <x:c r="F6" s="287" t="n">
        <x:v>12</x:v>
      </x:c>
      <x:c r="G6" s="287" t="n">
        <x:v>61</x:v>
      </x:c>
      <x:c r="H6" s="210" t="n">
        <x:v>46295</x:v>
      </x:c>
      <x:c r="I6" s="279" t="inlineStr">
        <x:is>
          <x:t xml:space="preserve">Complete data privacy and eKYC evidence</x:t>
        </x:is>
      </x:c>
    </x:row>
    <x:row r="7">
      <x:c r="A7" s="279" t="inlineStr">
        <x:is>
          <x:t xml:space="preserve">Pension Solution</x:t>
        </x:is>
      </x:c>
      <x:c r="B7" s="279" t="inlineStr">
        <x:is>
          <x:t xml:space="preserve">Concept Review</x:t>
        </x:is>
      </x:c>
      <x:c r="C7" s="279" t="n">
        <x:v>3.5</x:v>
      </x:c>
      <x:c r="D7" s="279" t="n">
        <x:v>5</x:v>
      </x:c>
      <x:c r="E7" s="279" t="n">
        <x:v>4</x:v>
      </x:c>
      <x:c r="F7" s="287" t="n">
        <x:v>8</x:v>
      </x:c>
      <x:c r="G7" s="287" t="n">
        <x:v>48</x:v>
      </x:c>
      <x:c r="H7" s="210" t="n">
        <x:v>46341</x:v>
      </x:c>
      <x:c r="I7" s="279" t="inlineStr">
        <x:is>
          <x:t xml:space="preserve">Engage early on tax and suitability treatment</x:t>
        </x:is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e0b601124e9e4a50"/>
  </x:tableParts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32" style="265" customWidth="1"/>
    <x:col min="3" max="3" width="21" style="265" customWidth="1"/>
    <x:col min="4" max="4" width="27" style="265" customWidth="1"/>
    <x:col min="5" max="5" width="20" style="265" customWidth="1"/>
    <x:col min="6" max="6" width="18" style="265" customWidth="1"/>
    <x:col min="7" max="7" width="29" style="265" customWidth="1"/>
    <x:col min="8" max="8" width="23" style="265" customWidth="1"/>
    <x:col min="9" max="9" width="15" style="265" customWidth="1"/>
    <x:col min="10" max="10" width="32" style="265" customWidth="1"/>
    <x:col min="11" max="11" width="15" style="265" customWidth="1"/>
    <x:col min="12" max="12" width="17" style="265" customWidth="1"/>
    <x:col min="13" max="13" width="29" style="265" customWidth="1"/>
    <x:col min="14" max="14" width="32" style="265" customWidth="1"/>
    <x:col min="15" max="15" width="13" style="265" customWidth="1"/>
  </x:cols>
  <x:sheetData>
    <x:row r="1">
      <x:c r="A1" s="282" t="inlineStr">
        <x:is>
          <x:t xml:space="preserve">V10.3 – Regulatory &amp; Political Intelligence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</x:row>
    <x:row r="2"/>
    <x:row r="3">
      <x:c r="A3" s="291" t="inlineStr">
        <x:is>
          <x:t xml:space="preserve">Issue ID</x:t>
        </x:is>
      </x:c>
      <x:c r="B3" s="291" t="str">
        <x:v>Political / Policy Development</x:v>
      </x:c>
      <x:c r="C3" s="291" t="inlineStr">
        <x:is>
          <x:t xml:space="preserve">Government Priority</x:t>
        </x:is>
      </x:c>
      <x:c r="D3" s="291" t="inlineStr">
        <x:is>
          <x:t xml:space="preserve">Policy Area</x:t>
        </x:is>
      </x:c>
      <x:c r="E3" s="291" t="inlineStr">
        <x:is>
          <x:t xml:space="preserve">Legislative Stage</x:t>
        </x:is>
      </x:c>
      <x:c r="F3" s="291" t="inlineStr">
        <x:is>
          <x:t xml:space="preserve">Policy Direction</x:t>
        </x:is>
      </x:c>
      <x:c r="G3" s="291" t="inlineStr">
        <x:is>
          <x:t xml:space="preserve">Political Sensitivity (1-5)</x:t>
        </x:is>
      </x:c>
      <x:c r="H3" s="291" t="inlineStr">
        <x:is>
          <x:t xml:space="preserve">Business Impact (1-5)</x:t>
        </x:is>
      </x:c>
      <x:c r="I3" s="291" t="inlineStr">
        <x:is>
          <x:t xml:space="preserve">Urgency (1-5)</x:t>
        </x:is>
      </x:c>
      <x:c r="J3" s="291" t="inlineStr">
        <x:is>
          <x:t xml:space="preserve">Manulife Exposure</x:t>
        </x:is>
      </x:c>
      <x:c r="K3" s="291" t="inlineStr">
        <x:is>
          <x:t xml:space="preserve">EMT Relevance</x:t>
        </x:is>
      </x:c>
      <x:c r="L3" s="291" t="inlineStr">
        <x:is>
          <x:t xml:space="preserve">Advocacy Window</x:t>
        </x:is>
      </x:c>
      <x:c r="M3" s="291" t="inlineStr">
        <x:is>
          <x:t xml:space="preserve">Owner</x:t>
        </x:is>
      </x:c>
      <x:c r="N3" s="291" t="str">
        <x:v>Recommended Action</x:v>
      </x:c>
      <x:c r="O3" s="291" t="inlineStr">
        <x:is>
          <x:t xml:space="preserve">Status</x:t>
        </x:is>
      </x:c>
    </x:row>
    <x:row r="4">
      <x:c r="A4" s="284" t="inlineStr">
        <x:is>
          <x:t xml:space="preserve">PI-001</x:t>
        </x:is>
      </x:c>
      <x:c r="B4" s="284" t="inlineStr">
        <x:is>
          <x:t xml:space="preserve">Consumer protection and life-insurance conduct agenda</x:t>
        </x:is>
      </x:c>
      <x:c r="C4" s="284" t="inlineStr">
        <x:is>
          <x:t xml:space="preserve">Consumer confidence</x:t>
        </x:is>
      </x:c>
      <x:c r="D4" s="284" t="inlineStr">
        <x:is>
          <x:t xml:space="preserve">Insurance / Bancassurance</x:t>
        </x:is>
      </x:c>
      <x:c r="E4" s="284" t="inlineStr">
        <x:is>
          <x:t xml:space="preserve">Consultation</x:t>
        </x:is>
      </x:c>
      <x:c r="F4" s="284" t="inlineStr">
        <x:is>
          <x:t xml:space="preserve">Tightening</x:t>
        </x:is>
      </x:c>
      <x:c r="G4" s="284" t="n">
        <x:v>5</x:v>
      </x:c>
      <x:c r="H4" s="284" t="n">
        <x:v>5</x:v>
      </x:c>
      <x:c r="I4" s="284" t="n">
        <x:v>5</x:v>
      </x:c>
      <x:c r="J4" s="284" t="inlineStr">
        <x:is>
          <x:t xml:space="preserve">Distribution, disclosure and sales practices</x:t>
        </x:is>
      </x:c>
      <x:c r="K4" s="284" t="inlineStr">
        <x:is>
          <x:t xml:space="preserve">High</x:t>
        </x:is>
      </x:c>
      <x:c r="L4" s="284" t="inlineStr">
        <x:is>
          <x:t xml:space="preserve">Open</x:t>
        </x:is>
      </x:c>
      <x:c r="M4" s="284" t="inlineStr">
        <x:is>
          <x:t xml:space="preserve">Regulatory &amp; Public Affairs</x:t>
        </x:is>
      </x:c>
      <x:c r="N4" s="284" t="inlineStr">
        <x:is>
          <x:t xml:space="preserve">Prepare EMT implications note and industry-position options</x:t>
        </x:is>
      </x:c>
      <x:c r="O4" s="284" t="inlineStr">
        <x:is>
          <x:t xml:space="preserve">Active</x:t>
        </x:is>
      </x:c>
    </x:row>
    <x:row r="5">
      <x:c r="A5" s="284" t="inlineStr">
        <x:is>
          <x:t xml:space="preserve">PI-002</x:t>
        </x:is>
      </x:c>
      <x:c r="B5" s="284" t="inlineStr">
        <x:is>
          <x:t xml:space="preserve">Digitalisation of insurance supervision</x:t>
        </x:is>
      </x:c>
      <x:c r="C5" s="284" t="inlineStr">
        <x:is>
          <x:t xml:space="preserve">Digital economy</x:t>
        </x:is>
      </x:c>
      <x:c r="D5" s="284" t="inlineStr">
        <x:is>
          <x:t xml:space="preserve">Insurance supervision</x:t>
        </x:is>
      </x:c>
      <x:c r="E5" s="284" t="inlineStr">
        <x:is>
          <x:t xml:space="preserve">Policy development</x:t>
        </x:is>
      </x:c>
      <x:c r="F5" s="284" t="inlineStr">
        <x:is>
          <x:t xml:space="preserve">Supporting</x:t>
        </x:is>
      </x:c>
      <x:c r="G5" s="284" t="n">
        <x:v>3</x:v>
      </x:c>
      <x:c r="H5" s="284" t="n">
        <x:v>4</x:v>
      </x:c>
      <x:c r="I5" s="284" t="n">
        <x:v>3</x:v>
      </x:c>
      <x:c r="J5" s="284" t="inlineStr">
        <x:is>
          <x:t xml:space="preserve">Data, reporting and digital processes</x:t>
        </x:is>
      </x:c>
      <x:c r="K5" s="284" t="inlineStr">
        <x:is>
          <x:t xml:space="preserve">Medium</x:t>
        </x:is>
      </x:c>
      <x:c r="L5" s="284" t="inlineStr">
        <x:is>
          <x:t xml:space="preserve">Open</x:t>
        </x:is>
      </x:c>
      <x:c r="M5" s="284" t="inlineStr">
        <x:is>
          <x:t xml:space="preserve">Regulatory &amp; Public Affairs</x:t>
        </x:is>
      </x:c>
      <x:c r="N5" s="284" t="inlineStr">
        <x:is>
          <x:t xml:space="preserve">Map likely reporting and operating impacts</x:t>
        </x:is>
      </x:c>
      <x:c r="O5" s="284" t="inlineStr">
        <x:is>
          <x:t xml:space="preserve">Monitoring</x:t>
        </x:is>
      </x:c>
    </x:row>
  </x:sheetData>
  <x:mergeCells>
    <x:mergeCell ref="A1:O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32" style="265" customWidth="1"/>
    <x:col min="3" max="3" width="32" style="265" customWidth="1"/>
    <x:col min="4" max="4" width="32" style="265" customWidth="1"/>
    <x:col min="5" max="5" width="32" style="265" customWidth="1"/>
    <x:col min="6" max="6" width="32" style="265" customWidth="1"/>
    <x:col min="7" max="7" width="32" style="265" customWidth="1"/>
    <x:col min="8" max="8" width="32" style="265" customWidth="1"/>
    <x:col min="9" max="9" width="31" style="265" customWidth="1"/>
    <x:col min="10" max="10" width="22" style="265" customWidth="1"/>
    <x:col min="11" max="11" width="17" style="265" customWidth="1"/>
    <x:col min="12" max="12" width="20" style="265" customWidth="1"/>
    <x:col min="13" max="13" width="17" style="265" customWidth="1"/>
    <x:col min="14" max="14" width="32" style="265" customWidth="1"/>
    <x:col min="15" max="15" width="29" style="265" customWidth="1"/>
  </x:cols>
  <x:sheetData>
    <x:row r="1">
      <x:c r="A1" s="282" t="inlineStr">
        <x:is>
          <x:t xml:space="preserve">V10.3 – Regulatory Position &amp; Advocacy Workbench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</x:row>
    <x:row r="2"/>
    <x:row r="3">
      <x:c r="A3" s="291" t="inlineStr">
        <x:is>
          <x:t xml:space="preserve">Position ID</x:t>
        </x:is>
      </x:c>
      <x:c r="B3" s="291" t="inlineStr">
        <x:is>
          <x:t xml:space="preserve">Policy Issue</x:t>
        </x:is>
      </x:c>
      <x:c r="C3" s="291" t="inlineStr">
        <x:is>
          <x:t xml:space="preserve">Regulatory Objective</x:t>
        </x:is>
      </x:c>
      <x:c r="D3" s="291" t="inlineStr">
        <x:is>
          <x:t xml:space="preserve">Manulife Business Impact</x:t>
        </x:is>
      </x:c>
      <x:c r="E3" s="291" t="inlineStr">
        <x:is>
          <x:t xml:space="preserve">Customer / Market Impact</x:t>
        </x:is>
      </x:c>
      <x:c r="F3" s="291" t="str">
        <x:v>Proposed Manulife Position</x:v>
      </x:c>
      <x:c r="G3" s="291" t="inlineStr">
        <x:is>
          <x:t xml:space="preserve">Supporting Evidence</x:t>
        </x:is>
      </x:c>
      <x:c r="H3" s="291" t="inlineStr">
        <x:is>
          <x:t xml:space="preserve">Key Message</x:t>
        </x:is>
      </x:c>
      <x:c r="I3" s="291" t="inlineStr">
        <x:is>
          <x:t xml:space="preserve">Engagement Channel</x:t>
        </x:is>
      </x:c>
      <x:c r="J3" s="291" t="inlineStr">
        <x:is>
          <x:t xml:space="preserve">Internal Approver</x:t>
        </x:is>
      </x:c>
      <x:c r="K3" s="291" t="str">
        <x:v>Internal Approval Status</x:v>
      </x:c>
      <x:c r="L3" s="291" t="inlineStr">
        <x:is>
          <x:t xml:space="preserve">Target Stakeholder</x:t>
        </x:is>
      </x:c>
      <x:c r="M3" s="291" t="inlineStr">
        <x:is>
          <x:t xml:space="preserve">Advocacy Window</x:t>
        </x:is>
      </x:c>
      <x:c r="N3" s="291" t="inlineStr">
        <x:is>
          <x:t xml:space="preserve">Next Action</x:t>
        </x:is>
      </x:c>
      <x:c r="O3" s="291" t="inlineStr">
        <x:is>
          <x:t xml:space="preserve">Owner</x:t>
        </x:is>
      </x:c>
      <x:c r="P3" t="str">
        <x:v>Due Date</x:v>
      </x:c>
    </x:row>
    <x:row r="4">
      <x:c r="A4" s="284" t="inlineStr">
        <x:is>
          <x:t xml:space="preserve">PA-001</x:t>
        </x:is>
      </x:c>
      <x:c r="B4" s="284" t="inlineStr">
        <x:is>
          <x:t xml:space="preserve">Product transparency and bancassurance conduct</x:t>
        </x:is>
      </x:c>
      <x:c r="C4" s="284" t="inlineStr">
        <x:is>
          <x:t xml:space="preserve">Strengthen consumer protection and market confidence</x:t>
        </x:is>
      </x:c>
      <x:c r="D4" s="284" t="inlineStr">
        <x:is>
          <x:t xml:space="preserve">Potential process, disclosure and training changes</x:t>
        </x:is>
      </x:c>
      <x:c r="E4" s="284" t="inlineStr">
        <x:is>
          <x:t xml:space="preserve">Higher transparency and more consistent customer outcomes</x:t>
        </x:is>
      </x:c>
      <x:c r="F4" s="284" t="inlineStr">
        <x:is>
          <x:t xml:space="preserve">Support proportionate, outcome-based requirements with workable implementation timelines</x:t>
        </x:is>
      </x:c>
      <x:c r="G4" s="284" t="inlineStr">
        <x:is>
          <x:t xml:space="preserve">Customer outcomes, operational readiness, industry practice</x:t>
        </x:is>
      </x:c>
      <x:c r="H4" s="284" t="inlineStr">
        <x:is>
          <x:t xml:space="preserve">Manulife supports high consumer-protection standards and practical implementation</x:t>
        </x:is>
      </x:c>
      <x:c r="I4" s="284" t="inlineStr">
        <x:is>
          <x:t xml:space="preserve">Consultation / IAV engagement</x:t>
        </x:is>
      </x:c>
      <x:c r="J4" s="284" t="inlineStr">
        <x:is>
          <x:t xml:space="preserve">Head of R&amp;PA / Legal</x:t>
        </x:is>
      </x:c>
      <x:c r="K4" s="284" t="inlineStr">
        <x:is>
          <x:t xml:space="preserve">Draft</x:t>
        </x:is>
      </x:c>
      <x:c r="L4" s="284" t="inlineStr">
        <x:is>
          <x:t xml:space="preserve">MOF / ISA / IAV</x:t>
        </x:is>
      </x:c>
      <x:c r="M4" s="284" t="inlineStr">
        <x:is>
          <x:t xml:space="preserve">Open</x:t>
        </x:is>
      </x:c>
      <x:c r="N4" s="284" t="inlineStr">
        <x:is>
          <x:t xml:space="preserve">Develop evidence-backed consultation position</x:t>
        </x:is>
      </x:c>
      <x:c r="O4" s="284" t="inlineStr">
        <x:is>
          <x:t xml:space="preserve">Regulatory &amp; Public Affairs</x:t>
        </x:is>
      </x:c>
      <x:c r="P4" t="str">
        <x:v>2026-08-15</x:v>
      </x:c>
    </x:row>
  </x:sheetData>
  <x:mergeCells>
    <x:mergeCell ref="A1:O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13" style="265" customWidth="1"/>
    <x:col min="3" max="3" width="28" style="265" customWidth="1"/>
    <x:col min="4" max="4" width="19" style="265" customWidth="1"/>
    <x:col min="5" max="5" width="19" style="265" customWidth="1"/>
    <x:col min="6" max="6" width="21" style="265" customWidth="1"/>
    <x:col min="7" max="7" width="20" style="265" customWidth="1"/>
    <x:col min="8" max="8" width="16" style="265" customWidth="1"/>
    <x:col min="9" max="9" width="25" style="265" customWidth="1"/>
    <x:col min="10" max="10" width="28" style="265" customWidth="1"/>
    <x:col min="11" max="11" width="24" style="265" customWidth="1"/>
    <x:col min="12" max="12" width="18" style="265" customWidth="1"/>
    <x:col min="13" max="13" width="15" style="265" customWidth="1"/>
    <x:col min="14" max="14" width="17" style="265" customWidth="1"/>
    <x:col min="15" max="15" width="18" style="265" customWidth="1"/>
    <x:col min="16" max="16" width="22" style="265" customWidth="1"/>
    <x:col min="17" max="17" width="13" style="265" customWidth="1"/>
    <x:col min="18" max="18" width="13" style="265" customWidth="1"/>
  </x:cols>
  <x:sheetData>
    <x:row r="1">
      <x:c r="A1" s="282" t="inlineStr">
        <x:is>
          <x:t xml:space="preserve">V10.3 – Submission, Response &amp; Quality Control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/>
    <x:row r="3">
      <x:c r="A3" s="291" t="inlineStr">
        <x:is>
          <x:t xml:space="preserve">Request ID</x:t>
        </x:is>
      </x:c>
      <x:c r="B3" s="291" t="inlineStr">
        <x:is>
          <x:t xml:space="preserve">Regulator</x:t>
        </x:is>
      </x:c>
      <x:c r="C3" s="291" t="str">
        <x:v>Request Topic</x:v>
      </x:c>
      <x:c r="D3" s="291" t="inlineStr">
        <x:is>
          <x:t xml:space="preserve">Internal Function</x:t>
        </x:is>
      </x:c>
      <x:c r="E3" s="291" t="inlineStr">
        <x:is>
          <x:t xml:space="preserve">Internal Due Date</x:t>
        </x:is>
      </x:c>
      <x:c r="F3" s="291" t="str">
        <x:v>Due Date</x:v>
      </x:c>
      <x:c r="G3" s="291" t="inlineStr">
        <x:is>
          <x:t xml:space="preserve">Completeness (1-5)</x:t>
        </x:is>
      </x:c>
      <x:c r="H3" s="291" t="inlineStr">
        <x:is>
          <x:t xml:space="preserve">Accuracy (1-5)</x:t>
        </x:is>
      </x:c>
      <x:c r="I3" s="291" t="inlineStr">
        <x:is>
          <x:t xml:space="preserve">Legal Consistency (1-5)</x:t>
        </x:is>
      </x:c>
      <x:c r="J3" s="291" t="inlineStr">
        <x:is>
          <x:t xml:space="preserve">Regulatory Relevance (1-5)</x:t>
        </x:is>
      </x:c>
      <x:c r="K3" s="291" t="inlineStr">
        <x:is>
          <x:t xml:space="preserve">Evidence Quality (1-5)</x:t>
        </x:is>
      </x:c>
      <x:c r="L3" s="291" t="inlineStr">
        <x:is>
          <x:t xml:space="preserve">Formatting (1-5)</x:t>
        </x:is>
      </x:c>
      <x:c r="M3" s="291" t="inlineStr">
        <x:is>
          <x:t xml:space="preserve">Quality Score</x:t>
        </x:is>
      </x:c>
      <x:c r="N3" s="291" t="inlineStr">
        <x:is>
          <x:t xml:space="preserve">Rework Required</x:t>
        </x:is>
      </x:c>
      <x:c r="O3" s="291" t="inlineStr">
        <x:is>
          <x:t xml:space="preserve">First-Time-Right</x:t>
        </x:is>
      </x:c>
      <x:c r="P3" s="291" t="inlineStr">
        <x:is>
          <x:t xml:space="preserve">Status</x:t>
        </x:is>
      </x:c>
      <x:c r="Q3" s="291" t="inlineStr">
        <x:is>
          <x:t xml:space="preserve">Owner</x:t>
        </x:is>
      </x:c>
      <x:c r="R3" s="291" t="inlineStr">
        <x:is>
          <x:t xml:space="preserve">Reviewer</x:t>
        </x:is>
      </x:c>
    </x:row>
    <x:row r="4">
      <x:c r="A4" s="284" t="inlineStr">
        <x:is>
          <x:t xml:space="preserve">RQ-001</x:t>
        </x:is>
      </x:c>
      <x:c r="B4" s="284" t="inlineStr">
        <x:is>
          <x:t xml:space="preserve">ISA</x:t>
        </x:is>
      </x:c>
      <x:c r="C4" s="284" t="inlineStr">
        <x:is>
          <x:t xml:space="preserve">Ad-hoc information request</x:t>
        </x:is>
      </x:c>
      <x:c r="D4" s="284" t="inlineStr">
        <x:is>
          <x:t xml:space="preserve">Operations</x:t>
        </x:is>
      </x:c>
      <x:c r="E4" s="284" t="inlineStr">
        <x:is>
          <x:t xml:space="preserve">2026-07-18</x:t>
        </x:is>
      </x:c>
      <x:c r="F4" s="284" t="inlineStr">
        <x:is>
          <x:t xml:space="preserve">2026-07-22</x:t>
        </x:is>
      </x:c>
      <x:c r="G4" s="284" t="n">
        <x:v>5</x:v>
      </x:c>
      <x:c r="H4" s="284" t="n">
        <x:v>4</x:v>
      </x:c>
      <x:c r="I4" s="284" t="n">
        <x:v>5</x:v>
      </x:c>
      <x:c r="J4" s="284" t="n">
        <x:v>5</x:v>
      </x:c>
      <x:c r="K4" s="284" t="n">
        <x:v>4</x:v>
      </x:c>
      <x:c r="L4" s="284" t="n">
        <x:v>5</x:v>
      </x:c>
      <x:c r="M4" s="284" t="n">
        <x:v>4.67</x:v>
      </x:c>
      <x:c r="N4" s="284" t="inlineStr">
        <x:is>
          <x:t xml:space="preserve">No</x:t>
        </x:is>
      </x:c>
      <x:c r="O4" s="284" t="inlineStr">
        <x:is>
          <x:t xml:space="preserve">Yes</x:t>
        </x:is>
      </x:c>
      <x:c r="P4" s="284" t="inlineStr">
        <x:is>
          <x:t xml:space="preserve">Ready for submission</x:t>
        </x:is>
      </x:c>
      <x:c r="Q4" s="284" t="inlineStr">
        <x:is>
          <x:t xml:space="preserve">R&amp;PA</x:t>
        </x:is>
      </x:c>
      <x:c r="R4" s="284" t="inlineStr">
        <x:is>
          <x:t xml:space="preserve">Legal</x:t>
        </x:is>
      </x:c>
    </x:row>
    <x:row r="5">
      <x:c r="A5" s="284" t="inlineStr">
        <x:is>
          <x:t xml:space="preserve">RQ-002</x:t>
        </x:is>
      </x:c>
      <x:c r="B5" s="284" t="inlineStr">
        <x:is>
          <x:t xml:space="preserve">MOF</x:t>
        </x:is>
      </x:c>
      <x:c r="C5" s="284" t="inlineStr">
        <x:is>
          <x:t xml:space="preserve">Periodic regulatory report</x:t>
        </x:is>
      </x:c>
      <x:c r="D5" s="284" t="inlineStr">
        <x:is>
          <x:t xml:space="preserve">Finance</x:t>
        </x:is>
      </x:c>
      <x:c r="E5" s="284" t="inlineStr">
        <x:is>
          <x:t xml:space="preserve">2026-07-25</x:t>
        </x:is>
      </x:c>
      <x:c r="F5" s="284" t="inlineStr">
        <x:is>
          <x:t xml:space="preserve">2026-07-31</x:t>
        </x:is>
      </x:c>
      <x:c r="G5" s="284" t="n">
        <x:v>4</x:v>
      </x:c>
      <x:c r="H5" s="284" t="n">
        <x:v>4</x:v>
      </x:c>
      <x:c r="I5" s="284" t="n">
        <x:v>4</x:v>
      </x:c>
      <x:c r="J5" s="284" t="n">
        <x:v>5</x:v>
      </x:c>
      <x:c r="K5" s="284" t="n">
        <x:v>4</x:v>
      </x:c>
      <x:c r="L5" s="284" t="n">
        <x:v>4</x:v>
      </x:c>
      <x:c r="M5" s="284" t="n">
        <x:v>4.17</x:v>
      </x:c>
      <x:c r="N5" s="284" t="inlineStr">
        <x:is>
          <x:t xml:space="preserve">Yes</x:t>
        </x:is>
      </x:c>
      <x:c r="O5" s="284" t="inlineStr">
        <x:is>
          <x:t xml:space="preserve">No</x:t>
        </x:is>
      </x:c>
      <x:c r="P5" s="284" t="inlineStr">
        <x:is>
          <x:t xml:space="preserve">Internal review</x:t>
        </x:is>
      </x:c>
      <x:c r="Q5" s="284" t="inlineStr">
        <x:is>
          <x:t xml:space="preserve">R&amp;PA</x:t>
        </x:is>
      </x:c>
      <x:c r="R5" s="284" t="inlineStr">
        <x:is>
          <x:t xml:space="preserve">Compliance</x:t>
        </x:is>
      </x:c>
    </x:row>
  </x:sheetData>
  <x:mergeCells>
    <x:mergeCell ref="A1:R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25" style="265" customWidth="1"/>
    <x:col min="3" max="3" width="32" style="265" customWidth="1"/>
    <x:col min="4" max="4" width="17" style="265" customWidth="1"/>
    <x:col min="5" max="5" width="15" style="265" customWidth="1"/>
    <x:col min="6" max="6" width="15" style="265" customWidth="1"/>
    <x:col min="7" max="7" width="13" style="265" customWidth="1"/>
    <x:col min="8" max="8" width="13" style="265" customWidth="1"/>
    <x:col min="9" max="9" width="13" style="265" customWidth="1"/>
    <x:col min="10" max="10" width="13" style="265" customWidth="1"/>
    <x:col min="11" max="11" width="26" style="265" customWidth="1"/>
    <x:col min="12" max="12" width="29" style="265" customWidth="1"/>
    <x:col min="13" max="13" width="32" style="265" customWidth="1"/>
  </x:cols>
  <x:sheetData>
    <x:row r="1">
      <x:c r="A1" s="282" t="inlineStr">
        <x:is>
          <x:t xml:space="preserve">V10.3 – Daily &amp; Department Operations Control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</x:row>
    <x:row r="2"/>
    <x:row r="3">
      <x:c r="A3" s="291" t="inlineStr">
        <x:is>
          <x:t xml:space="preserve">Task ID</x:t>
        </x:is>
      </x:c>
      <x:c r="B3" s="291" t="inlineStr">
        <x:is>
          <x:t xml:space="preserve">Workstream</x:t>
        </x:is>
      </x:c>
      <x:c r="C3" s="291" t="inlineStr">
        <x:is>
          <x:t xml:space="preserve">Task</x:t>
        </x:is>
      </x:c>
      <x:c r="D3" s="291" t="inlineStr">
        <x:is>
          <x:t xml:space="preserve">Requestor</x:t>
        </x:is>
      </x:c>
      <x:c r="E3" s="291" t="inlineStr">
        <x:is>
          <x:t xml:space="preserve">Owner</x:t>
        </x:is>
      </x:c>
      <x:c r="F3" s="291" t="inlineStr">
        <x:is>
          <x:t xml:space="preserve">Received Date</x:t>
        </x:is>
      </x:c>
      <x:c r="G3" s="291" t="inlineStr">
        <x:is>
          <x:t xml:space="preserve">Due Date</x:t>
        </x:is>
      </x:c>
      <x:c r="H3" s="291" t="inlineStr">
        <x:is>
          <x:t xml:space="preserve">Priority</x:t>
        </x:is>
      </x:c>
      <x:c r="I3" s="291" t="inlineStr">
        <x:is>
          <x:t xml:space="preserve">Status</x:t>
        </x:is>
      </x:c>
      <x:c r="J3" s="291" t="inlineStr">
        <x:is>
          <x:t xml:space="preserve">SLA Status</x:t>
        </x:is>
      </x:c>
      <x:c r="K3" s="291" t="inlineStr">
        <x:is>
          <x:t xml:space="preserve">Dependency</x:t>
        </x:is>
      </x:c>
      <x:c r="L3" s="291" t="inlineStr">
        <x:is>
          <x:t xml:space="preserve">Evidence / Filing Reference</x:t>
        </x:is>
      </x:c>
      <x:c r="M3" s="291" t="inlineStr">
        <x:is>
          <x:t xml:space="preserve">Next Action</x:t>
        </x:is>
      </x:c>
      <x:c r="N3" t="str">
        <x:v>SLA Days</x:v>
      </x:c>
      <x:c r="O3" t="str">
        <x:v>Expense / Invoice Status</x:v>
      </x:c>
      <x:c r="P3" t="str">
        <x:v>Filing Status</x:v>
      </x:c>
    </x:row>
    <x:row r="4">
      <x:c r="A4" s="284" t="inlineStr">
        <x:is>
          <x:t xml:space="preserve">OPS-001</x:t>
        </x:is>
      </x:c>
      <x:c r="B4" s="284" t="inlineStr">
        <x:is>
          <x:t xml:space="preserve">Meeting Logistics</x:t>
        </x:is>
      </x:c>
      <x:c r="C4" s="284" t="inlineStr">
        <x:is>
          <x:t xml:space="preserve">Prepare regulator engagement logistics</x:t>
        </x:is>
      </x:c>
      <x:c r="D4" s="284" t="inlineStr">
        <x:is>
          <x:t xml:space="preserve">Head of R&amp;PA</x:t>
        </x:is>
      </x:c>
      <x:c r="E4" s="284" t="inlineStr">
        <x:is>
          <x:t xml:space="preserve">PA Operations</x:t>
        </x:is>
      </x:c>
      <x:c r="F4" s="284" t="inlineStr">
        <x:is>
          <x:t xml:space="preserve">2026-07-15</x:t>
        </x:is>
      </x:c>
      <x:c r="G4" s="284" t="inlineStr">
        <x:is>
          <x:t xml:space="preserve">2026-07-18</x:t>
        </x:is>
      </x:c>
      <x:c r="H4" s="284" t="inlineStr">
        <x:is>
          <x:t xml:space="preserve">High</x:t>
        </x:is>
      </x:c>
      <x:c r="I4" s="284" t="inlineStr">
        <x:is>
          <x:t xml:space="preserve">In Progress</x:t>
        </x:is>
      </x:c>
      <x:c r="J4" s="284" t="inlineStr">
        <x:is>
          <x:t xml:space="preserve">On Track</x:t>
        </x:is>
      </x:c>
      <x:c r="K4" s="284" t="inlineStr">
        <x:is>
          <x:t xml:space="preserve">Stakeholder confirmation</x:t>
        </x:is>
      </x:c>
      <x:c r="L4" s="284" t="inlineStr">
        <x:is>
          <x:t xml:space="preserve">ENG-2026-07</x:t>
        </x:is>
      </x:c>
      <x:c r="M4" s="284" t="inlineStr">
        <x:is>
          <x:t xml:space="preserve">Confirm venue and participant list</x:t>
        </x:is>
      </x:c>
      <x:c r="N4" t="n">
        <x:v>3</x:v>
      </x:c>
      <x:c r="O4" t="str">
        <x:v>N/A</x:v>
      </x:c>
      <x:c r="P4" t="str">
        <x:v>Filed</x:v>
      </x:c>
    </x:row>
    <x:row r="5">
      <x:c r="A5" s="284" t="inlineStr">
        <x:is>
          <x:t xml:space="preserve">OPS-002</x:t>
        </x:is>
      </x:c>
      <x:c r="B5" s="284" t="inlineStr">
        <x:is>
          <x:t xml:space="preserve">Regional Office Request</x:t>
        </x:is>
      </x:c>
      <x:c r="C5" s="284" t="inlineStr">
        <x:is>
          <x:t xml:space="preserve">Prepare ad-hoc Vietnam regulatory update</x:t>
        </x:is>
      </x:c>
      <x:c r="D5" s="284" t="inlineStr">
        <x:is>
          <x:t xml:space="preserve">Regional Office</x:t>
        </x:is>
      </x:c>
      <x:c r="E5" s="284" t="inlineStr">
        <x:is>
          <x:t xml:space="preserve">R&amp;PA</x:t>
        </x:is>
      </x:c>
      <x:c r="F5" s="284" t="inlineStr">
        <x:is>
          <x:t xml:space="preserve">2026-07-15</x:t>
        </x:is>
      </x:c>
      <x:c r="G5" s="284" t="inlineStr">
        <x:is>
          <x:t xml:space="preserve">2026-07-19</x:t>
        </x:is>
      </x:c>
      <x:c r="H5" s="284" t="inlineStr">
        <x:is>
          <x:t xml:space="preserve">High</x:t>
        </x:is>
      </x:c>
      <x:c r="I5" s="284" t="inlineStr">
        <x:is>
          <x:t xml:space="preserve">In Progress</x:t>
        </x:is>
      </x:c>
      <x:c r="J5" s="284" t="inlineStr">
        <x:is>
          <x:t xml:space="preserve">On Track</x:t>
        </x:is>
      </x:c>
      <x:c r="K5" s="284" t="inlineStr">
        <x:is>
          <x:t xml:space="preserve">Business inputs</x:t>
        </x:is>
      </x:c>
      <x:c r="L5" s="284" t="inlineStr">
        <x:is>
          <x:t xml:space="preserve">RO-2026-014</x:t>
        </x:is>
      </x:c>
      <x:c r="M5" s="284" t="inlineStr">
        <x:is>
          <x:t xml:space="preserve">Consolidate business implications</x:t>
        </x:is>
      </x:c>
      <x:c r="N5" t="n">
        <x:v>4</x:v>
      </x:c>
      <x:c r="O5" t="str">
        <x:v>N/A</x:v>
      </x:c>
      <x:c r="P5" t="str">
        <x:v>Not Filed</x:v>
      </x:c>
    </x:row>
    <x:row r="6">
      <x:c r="A6" s="284" t="inlineStr">
        <x:is>
          <x:t xml:space="preserve">OPS-003</x:t>
        </x:is>
      </x:c>
      <x:c r="B6" s="284" t="inlineStr">
        <x:is>
          <x:t xml:space="preserve">Invoice / Expense</x:t>
        </x:is>
      </x:c>
      <x:c r="C6" s="284" t="inlineStr">
        <x:is>
          <x:t xml:space="preserve">Process stakeholder-event invoice</x:t>
        </x:is>
      </x:c>
      <x:c r="D6" s="284" t="inlineStr">
        <x:is>
          <x:t xml:space="preserve">Finance</x:t>
        </x:is>
      </x:c>
      <x:c r="E6" s="284" t="inlineStr">
        <x:is>
          <x:t xml:space="preserve">PA Operations</x:t>
        </x:is>
      </x:c>
      <x:c r="F6" s="284" t="inlineStr">
        <x:is>
          <x:t xml:space="preserve">2026-07-14</x:t>
        </x:is>
      </x:c>
      <x:c r="G6" s="284" t="inlineStr">
        <x:is>
          <x:t xml:space="preserve">2026-07-21</x:t>
        </x:is>
      </x:c>
      <x:c r="H6" s="284" t="inlineStr">
        <x:is>
          <x:t xml:space="preserve">Medium</x:t>
        </x:is>
      </x:c>
      <x:c r="I6" s="284" t="inlineStr">
        <x:is>
          <x:t xml:space="preserve">Open</x:t>
        </x:is>
      </x:c>
      <x:c r="J6" s="284" t="inlineStr">
        <x:is>
          <x:t xml:space="preserve">On Track</x:t>
        </x:is>
      </x:c>
      <x:c r="K6" s="284" t="inlineStr">
        <x:is>
          <x:t xml:space="preserve">Invoice approval</x:t>
        </x:is>
      </x:c>
      <x:c r="L6" s="284" t="inlineStr">
        <x:is>
          <x:t xml:space="preserve">FIN-2026-031</x:t>
        </x:is>
      </x:c>
      <x:c r="M6" s="284" t="inlineStr">
        <x:is>
          <x:t xml:space="preserve">Obtain cost-centre approval</x:t>
        </x:is>
      </x:c>
      <x:c r="N6" t="n">
        <x:v>5</x:v>
      </x:c>
      <x:c r="O6" t="str">
        <x:v>Pending</x:v>
      </x:c>
      <x:c r="P6" t="str">
        <x:v>Filed</x:v>
      </x:c>
    </x:row>
  </x:sheetData>
  <x:mergeCells>
    <x:mergeCell ref="A1:M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22" style="265" customWidth="1"/>
    <x:col min="3" max="3" width="22" style="265" customWidth="1"/>
    <x:col min="4" max="4" width="32" style="265" customWidth="1"/>
    <x:col min="5" max="5" width="17" style="265" customWidth="1"/>
    <x:col min="6" max="6" width="21" style="265" customWidth="1"/>
    <x:col min="7" max="7" width="16" style="265" customWidth="1"/>
    <x:col min="8" max="8" width="25" style="265" customWidth="1"/>
    <x:col min="9" max="9" width="19" style="265" customWidth="1"/>
    <x:col min="10" max="10" width="16" style="265" customWidth="1"/>
    <x:col min="11" max="11" width="18" style="265" customWidth="1"/>
    <x:col min="12" max="12" width="15" style="265" customWidth="1"/>
    <x:col min="13" max="13" width="18" style="265" customWidth="1"/>
    <x:col min="14" max="14" width="13" style="265" customWidth="1"/>
    <x:col min="15" max="15" width="32" style="265" customWidth="1"/>
  </x:cols>
  <x:sheetData>
    <x:row r="1">
      <x:c r="A1" s="282" t="inlineStr">
        <x:is>
          <x:t xml:space="preserve">V10.3 – End-to-End Stakeholder Engagement Lifecycle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</x:row>
    <x:row r="2"/>
    <x:row r="3">
      <x:c r="A3" s="291" t="inlineStr">
        <x:is>
          <x:t xml:space="preserve">Engagement ID</x:t>
        </x:is>
      </x:c>
      <x:c r="B3" s="291" t="inlineStr">
        <x:is>
          <x:t xml:space="preserve">Stakeholder</x:t>
        </x:is>
      </x:c>
      <x:c r="C3" s="291" t="inlineStr">
        <x:is>
          <x:t xml:space="preserve">Stakeholder Type</x:t>
        </x:is>
      </x:c>
      <x:c r="D3" s="291" t="str">
        <x:v>Topic</x:v>
      </x:c>
      <x:c r="E3" s="291" t="str">
        <x:v>Planned Date</x:v>
      </x:c>
      <x:c r="F3" s="291" t="inlineStr">
        <x:is>
          <x:t xml:space="preserve">Logistics Confirmed</x:t>
        </x:is>
      </x:c>
      <x:c r="G3" s="291" t="inlineStr">
        <x:is>
          <x:t xml:space="preserve">Brief Prepared</x:t>
        </x:is>
      </x:c>
      <x:c r="H3" s="291" t="inlineStr">
        <x:is>
          <x:t xml:space="preserve">Talking Points Approved</x:t>
        </x:is>
      </x:c>
      <x:c r="I3" s="291" t="inlineStr">
        <x:is>
          <x:t xml:space="preserve">Meeting Completed</x:t>
        </x:is>
      </x:c>
      <x:c r="J3" s="291" t="inlineStr">
        <x:is>
          <x:t xml:space="preserve">Minutes Issued</x:t>
        </x:is>
      </x:c>
      <x:c r="K3" s="291" t="inlineStr">
        <x:is>
          <x:t xml:space="preserve">Open Commitments</x:t>
        </x:is>
      </x:c>
      <x:c r="L3" s="291" t="inlineStr">
        <x:is>
          <x:t xml:space="preserve">Follow-up Due</x:t>
        </x:is>
      </x:c>
      <x:c r="M3" s="291" t="str">
        <x:v>Stage</x:v>
      </x:c>
      <x:c r="N3" s="291" t="inlineStr">
        <x:is>
          <x:t xml:space="preserve">Owner</x:t>
        </x:is>
      </x:c>
      <x:c r="O3" s="291" t="inlineStr">
        <x:is>
          <x:t xml:space="preserve">Next Action</x:t>
        </x:is>
      </x:c>
      <x:c r="P3" t="str">
        <x:v>Objective Approved</x:v>
      </x:c>
    </x:row>
    <x:row r="4">
      <x:c r="A4" s="284" t="inlineStr">
        <x:is>
          <x:t xml:space="preserve">ENG-001</x:t>
        </x:is>
      </x:c>
      <x:c r="B4" s="284" t="inlineStr">
        <x:is>
          <x:t xml:space="preserve">Insurance regulator</x:t>
        </x:is>
      </x:c>
      <x:c r="C4" s="284" t="inlineStr">
        <x:is>
          <x:t xml:space="preserve">Regulator</x:t>
        </x:is>
      </x:c>
      <x:c r="D4" s="284" t="inlineStr">
        <x:is>
          <x:t xml:space="preserve">Discuss emerging conduct expectations</x:t>
        </x:is>
      </x:c>
      <x:c r="E4" s="284" t="inlineStr">
        <x:is>
          <x:t xml:space="preserve">2026-07-24</x:t>
        </x:is>
      </x:c>
      <x:c r="F4" s="284" t="inlineStr">
        <x:is>
          <x:t xml:space="preserve">Yes</x:t>
        </x:is>
      </x:c>
      <x:c r="G4" s="284" t="inlineStr">
        <x:is>
          <x:t xml:space="preserve">In Progress</x:t>
        </x:is>
      </x:c>
      <x:c r="H4" s="284" t="inlineStr">
        <x:is>
          <x:t xml:space="preserve">Pending</x:t>
        </x:is>
      </x:c>
      <x:c r="I4" s="284" t="inlineStr">
        <x:is>
          <x:t xml:space="preserve">No</x:t>
        </x:is>
      </x:c>
      <x:c r="J4" s="284" t="inlineStr">
        <x:is>
          <x:t xml:space="preserve">No</x:t>
        </x:is>
      </x:c>
      <x:c r="K4" s="284" t="n">
        <x:v>0</x:v>
      </x:c>
      <x:c r="L4" s="284" t="inlineStr">
        <x:is>
          <x:t xml:space="preserve">2026-07-28</x:t>
        </x:is>
      </x:c>
      <x:c r="M4" s="284" t="inlineStr">
        <x:is>
          <x:t xml:space="preserve">Pre-meeting</x:t>
        </x:is>
      </x:c>
      <x:c r="N4" s="284" t="inlineStr">
        <x:is>
          <x:t xml:space="preserve">R&amp;PA</x:t>
        </x:is>
      </x:c>
      <x:c r="O4" s="284" t="inlineStr">
        <x:is>
          <x:t xml:space="preserve">Finalize brief and talking points</x:t>
        </x:is>
      </x:c>
      <x:c r="P4" t="str">
        <x:v>Yes</x:v>
      </x:c>
    </x:row>
    <x:row r="5">
      <x:c r="A5" s="284" t="inlineStr">
        <x:is>
          <x:t xml:space="preserve">ENG-002</x:t>
        </x:is>
      </x:c>
      <x:c r="B5" s="284" t="inlineStr">
        <x:is>
          <x:t xml:space="preserve">Industry association</x:t>
        </x:is>
      </x:c>
      <x:c r="C5" s="284" t="inlineStr">
        <x:is>
          <x:t xml:space="preserve">Industry Association</x:t>
        </x:is>
      </x:c>
      <x:c r="D5" s="284" t="inlineStr">
        <x:is>
          <x:t xml:space="preserve">Align industry consultation position</x:t>
        </x:is>
      </x:c>
      <x:c r="E5" s="284" t="inlineStr">
        <x:is>
          <x:t xml:space="preserve">2026-07-10</x:t>
        </x:is>
      </x:c>
      <x:c r="F5" s="284" t="inlineStr">
        <x:is>
          <x:t xml:space="preserve">Yes</x:t>
        </x:is>
      </x:c>
      <x:c r="G5" s="284" t="inlineStr">
        <x:is>
          <x:t xml:space="preserve">Yes</x:t>
        </x:is>
      </x:c>
      <x:c r="H5" s="284" t="inlineStr">
        <x:is>
          <x:t xml:space="preserve">Yes</x:t>
        </x:is>
      </x:c>
      <x:c r="I5" s="284" t="inlineStr">
        <x:is>
          <x:t xml:space="preserve">Yes</x:t>
        </x:is>
      </x:c>
      <x:c r="J5" s="284" t="inlineStr">
        <x:is>
          <x:t xml:space="preserve">Yes</x:t>
        </x:is>
      </x:c>
      <x:c r="K5" s="284" t="n">
        <x:v>2</x:v>
      </x:c>
      <x:c r="L5" s="284" t="inlineStr">
        <x:is>
          <x:t xml:space="preserve">2026-07-20</x:t>
        </x:is>
      </x:c>
      <x:c r="M5" s="284" t="inlineStr">
        <x:is>
          <x:t xml:space="preserve">Actions Open</x:t>
        </x:is>
      </x:c>
      <x:c r="N5" s="284" t="inlineStr">
        <x:is>
          <x:t xml:space="preserve">R&amp;PA</x:t>
        </x:is>
      </x:c>
      <x:c r="O5" s="284" t="inlineStr">
        <x:is>
          <x:t xml:space="preserve">Close two follow-up commitments</x:t>
        </x:is>
      </x:c>
      <x:c r="P5" t="str">
        <x:v>Yes</x:v>
      </x:c>
    </x:row>
  </x:sheetData>
  <x:mergeCells>
    <x:mergeCell ref="A1:O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17" style="265" customWidth="1"/>
    <x:col min="3" max="3" width="32" style="265" customWidth="1"/>
    <x:col min="4" max="4" width="18" style="265" customWidth="1"/>
    <x:col min="5" max="5" width="18" style="265" customWidth="1"/>
    <x:col min="6" max="6" width="29" style="265" customWidth="1"/>
    <x:col min="7" max="7" width="13" style="265" customWidth="1"/>
    <x:col min="8" max="8" width="15" style="265" customWidth="1"/>
    <x:col min="9" max="9" width="22" style="265" customWidth="1"/>
    <x:col min="10" max="10" width="23" style="265" customWidth="1"/>
    <x:col min="11" max="11" width="23" style="265" customWidth="1"/>
    <x:col min="12" max="12" width="13" style="265" customWidth="1"/>
    <x:col min="13" max="13" width="13" style="265" customWidth="1"/>
    <x:col min="14" max="14" width="32" style="265" customWidth="1"/>
  </x:cols>
  <x:sheetData>
    <x:row r="1">
      <x:c r="A1" s="282" t="inlineStr">
        <x:is>
          <x:t xml:space="preserve">V10.3 – Executive &amp; Regional Reporting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</x:row>
    <x:row r="2"/>
    <x:row r="3">
      <x:c r="A3" s="291" t="inlineStr">
        <x:is>
          <x:t xml:space="preserve">RO Request ID</x:t>
        </x:is>
      </x:c>
      <x:c r="B3" s="291" t="inlineStr">
        <x:is>
          <x:t xml:space="preserve">Requestor</x:t>
        </x:is>
      </x:c>
      <x:c r="C3" s="291" t="inlineStr">
        <x:is>
          <x:t xml:space="preserve">Request Type</x:t>
        </x:is>
      </x:c>
      <x:c r="D3" s="291" t="str">
        <x:v>Received Date</x:v>
      </x:c>
      <x:c r="E3" s="291" t="inlineStr">
        <x:is>
          <x:t xml:space="preserve">Reporting Period</x:t>
        </x:is>
      </x:c>
      <x:c r="F3" s="291" t="inlineStr">
        <x:is>
          <x:t xml:space="preserve">Internal Contributors</x:t>
        </x:is>
      </x:c>
      <x:c r="G3" s="291" t="inlineStr">
        <x:is>
          <x:t xml:space="preserve">Due Date</x:t>
        </x:is>
      </x:c>
      <x:c r="H3" s="291" t="inlineStr">
        <x:is>
          <x:t xml:space="preserve">Review Status</x:t>
        </x:is>
      </x:c>
      <x:c r="I3" s="291" t="inlineStr">
        <x:is>
          <x:t xml:space="preserve">Regional Feedback</x:t>
        </x:is>
      </x:c>
      <x:c r="J3" s="291" t="inlineStr">
        <x:is>
          <x:t xml:space="preserve">Resubmission Required</x:t>
        </x:is>
      </x:c>
      <x:c r="K3" s="291" t="inlineStr">
        <x:is>
          <x:t xml:space="preserve">Final Submission Date</x:t>
        </x:is>
      </x:c>
      <x:c r="L3" s="291" t="inlineStr">
        <x:is>
          <x:t xml:space="preserve">Status</x:t>
        </x:is>
      </x:c>
      <x:c r="M3" s="291" t="inlineStr">
        <x:is>
          <x:t xml:space="preserve">Owner</x:t>
        </x:is>
      </x:c>
      <x:c r="N3" s="291" t="inlineStr">
        <x:is>
          <x:t xml:space="preserve">Next Action</x:t>
        </x:is>
      </x:c>
    </x:row>
    <x:row r="4">
      <x:c r="A4" s="284" t="inlineStr">
        <x:is>
          <x:t xml:space="preserve">RO-001</x:t>
        </x:is>
      </x:c>
      <x:c r="B4" s="284" t="inlineStr">
        <x:is>
          <x:t xml:space="preserve">Regional Office</x:t>
        </x:is>
      </x:c>
      <x:c r="C4" s="284" t="inlineStr">
        <x:is>
          <x:t xml:space="preserve">Monthly Regulatory Update</x:t>
        </x:is>
      </x:c>
      <x:c r="D4" s="284" t="inlineStr">
        <x:is>
          <x:t xml:space="preserve">2026-07-01</x:t>
        </x:is>
      </x:c>
      <x:c r="E4" s="284" t="inlineStr">
        <x:is>
          <x:t xml:space="preserve">Jun-2026</x:t>
        </x:is>
      </x:c>
      <x:c r="F4" s="284" t="inlineStr">
        <x:is>
          <x:t xml:space="preserve">Legal; Compliance; Business</x:t>
        </x:is>
      </x:c>
      <x:c r="G4" s="284" t="inlineStr">
        <x:is>
          <x:t xml:space="preserve">2026-07-08</x:t>
        </x:is>
      </x:c>
      <x:c r="H4" s="284" t="inlineStr">
        <x:is>
          <x:t xml:space="preserve">Approved</x:t>
        </x:is>
      </x:c>
      <x:c r="I4" s="284" t="inlineStr">
        <x:is>
          <x:t xml:space="preserve">No material comments</x:t>
        </x:is>
      </x:c>
      <x:c r="J4" s="284" t="inlineStr">
        <x:is>
          <x:t xml:space="preserve">No</x:t>
        </x:is>
      </x:c>
      <x:c r="K4" s="284" t="inlineStr">
        <x:is>
          <x:t xml:space="preserve">2026-07-08</x:t>
        </x:is>
      </x:c>
      <x:c r="L4" s="284" t="inlineStr">
        <x:is>
          <x:t xml:space="preserve">Closed</x:t>
        </x:is>
      </x:c>
      <x:c r="M4" s="284" t="inlineStr">
        <x:is>
          <x:t xml:space="preserve">R&amp;PA</x:t>
        </x:is>
      </x:c>
      <x:c r="N4" s="284" t="inlineStr">
        <x:is>
          <x:t xml:space="preserve">Archive final pack</x:t>
        </x:is>
      </x:c>
    </x:row>
    <x:row r="5">
      <x:c r="A5" s="284" t="inlineStr">
        <x:is>
          <x:t xml:space="preserve">RO-002</x:t>
        </x:is>
      </x:c>
      <x:c r="B5" s="284" t="inlineStr">
        <x:is>
          <x:t xml:space="preserve">Regional Office</x:t>
        </x:is>
      </x:c>
      <x:c r="C5" s="284" t="inlineStr">
        <x:is>
          <x:t xml:space="preserve">Ad-hoc Political &amp; Policy Brief</x:t>
        </x:is>
      </x:c>
      <x:c r="D5" s="284" t="inlineStr">
        <x:is>
          <x:t xml:space="preserve">2026-07-15</x:t>
        </x:is>
      </x:c>
      <x:c r="E5" s="284" t="inlineStr">
        <x:is>
          <x:t xml:space="preserve">Current</x:t>
        </x:is>
      </x:c>
      <x:c r="F5" s="284" t="inlineStr">
        <x:is>
          <x:t xml:space="preserve">R&amp;PA; Legal</x:t>
        </x:is>
      </x:c>
      <x:c r="G5" s="284" t="inlineStr">
        <x:is>
          <x:t xml:space="preserve">2026-07-19</x:t>
        </x:is>
      </x:c>
      <x:c r="H5" s="284" t="inlineStr">
        <x:is>
          <x:t xml:space="preserve">Drafting</x:t>
        </x:is>
      </x:c>
      <x:c r="I5" s="284" t="inlineStr">
        <x:is>
          <x:t xml:space="preserve">Pending</x:t>
        </x:is>
      </x:c>
      <x:c r="J5" s="284" t="inlineStr">
        <x:is>
          <x:t xml:space="preserve">No</x:t>
        </x:is>
      </x:c>
      <x:c r="K5" s="284" t="inlineStr">
        <x:is>
          <x:t xml:space="preserve"/>
        </x:is>
      </x:c>
      <x:c r="L5" s="284" t="inlineStr">
        <x:is>
          <x:t xml:space="preserve">Open</x:t>
        </x:is>
      </x:c>
      <x:c r="M5" s="284" t="inlineStr">
        <x:is>
          <x:t xml:space="preserve">R&amp;PA</x:t>
        </x:is>
      </x:c>
      <x:c r="N5" s="284" t="inlineStr">
        <x:is>
          <x:t xml:space="preserve">Complete strategic implications section</x:t>
        </x:is>
      </x:c>
    </x:row>
  </x:sheetData>
  <x:mergeCells>
    <x:mergeCell ref="A1:N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8" defaultRowHeight="15"/>
  <x:cols>
    <x:col min="1" max="1" width="32" style="265" customWidth="1"/>
    <x:col min="2" max="2" width="23" style="265" customWidth="1"/>
    <x:col min="3" max="3" width="32" style="265" customWidth="1"/>
    <x:col min="4" max="4" width="17" style="265" customWidth="1"/>
    <x:col min="5" max="5" width="17" style="265" customWidth="1"/>
    <x:col min="6" max="6" width="32" style="265" customWidth="1"/>
    <x:col min="7" max="7" width="23" style="265" customWidth="1"/>
    <x:col min="8" max="8" width="29" style="265" customWidth="1"/>
    <x:col min="9" max="9" width="13" style="265" customWidth="1"/>
    <x:col min="10" max="10" width="23" style="265" customWidth="1"/>
    <x:col min="11" max="11" width="14" style="265" customWidth="1"/>
    <x:col min="12" max="12" width="17" style="265" customWidth="1"/>
    <x:col min="13" max="13" width="13" style="265" customWidth="1"/>
    <x:col min="14" max="14" width="13" style="265" customWidth="1"/>
    <x:col min="15" max="15" width="18" style="265" customWidth="1"/>
  </x:cols>
  <x:sheetData>
    <x:row r="1">
      <x:c r="A1" s="282" t="inlineStr">
        <x:is>
          <x:t xml:space="preserve">V10.3 – Document QC, Translation &amp; Filing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</x:row>
    <x:row r="2"/>
    <x:row r="3">
      <x:c r="A3" s="291" t="inlineStr">
        <x:is>
          <x:t xml:space="preserve">Document ID</x:t>
        </x:is>
      </x:c>
      <x:c r="B3" s="291" t="inlineStr">
        <x:is>
          <x:t xml:space="preserve">Document Type</x:t>
        </x:is>
      </x:c>
      <x:c r="C3" s="291" t="str">
        <x:v>Document</x:v>
      </x:c>
      <x:c r="D3" s="291" t="inlineStr">
        <x:is>
          <x:t xml:space="preserve">Source Language</x:t>
        </x:is>
      </x:c>
      <x:c r="E3" s="291" t="inlineStr">
        <x:is>
          <x:t xml:space="preserve">Target Language</x:t>
        </x:is>
      </x:c>
      <x:c r="F3" s="291" t="inlineStr">
        <x:is>
          <x:t xml:space="preserve">Regulatory Terminology Checked</x:t>
        </x:is>
      </x:c>
      <x:c r="G3" s="291" t="inlineStr">
        <x:is>
          <x:t xml:space="preserve">Legal Review Required</x:t>
        </x:is>
      </x:c>
      <x:c r="H3" s="291" t="inlineStr">
        <x:is>
          <x:t xml:space="preserve">Bilingual Consistency Score</x:t>
        </x:is>
      </x:c>
      <x:c r="I3" s="291" t="inlineStr">
        <x:is>
          <x:t xml:space="preserve">Version</x:t>
        </x:is>
      </x:c>
      <x:c r="J3" s="291" t="inlineStr">
        <x:is>
          <x:t xml:space="preserve">Translator / Preparer</x:t>
        </x:is>
      </x:c>
      <x:c r="K3" s="291" t="inlineStr">
        <x:is>
          <x:t xml:space="preserve">Reviewer</x:t>
        </x:is>
      </x:c>
      <x:c r="L3" s="291" t="inlineStr">
        <x:is>
          <x:t xml:space="preserve">Confidentiality</x:t>
        </x:is>
      </x:c>
      <x:c r="M3" s="291" t="inlineStr">
        <x:is>
          <x:t xml:space="preserve">Due Date</x:t>
        </x:is>
      </x:c>
      <x:c r="N3" s="291" t="inlineStr">
        <x:is>
          <x:t xml:space="preserve">Status</x:t>
        </x:is>
      </x:c>
      <x:c r="O3" s="291" t="inlineStr">
        <x:is>
          <x:t xml:space="preserve">Filing Reference</x:t>
        </x:is>
      </x:c>
    </x:row>
    <x:row r="4">
      <x:c r="A4" s="284" t="inlineStr">
        <x:is>
          <x:t xml:space="preserve">DOC-001</x:t>
        </x:is>
      </x:c>
      <x:c r="B4" s="284" t="inlineStr">
        <x:is>
          <x:t xml:space="preserve">EMT Brief</x:t>
        </x:is>
      </x:c>
      <x:c r="C4" s="284" t="inlineStr">
        <x:is>
          <x:t xml:space="preserve">Regulatory development summary</x:t>
        </x:is>
      </x:c>
      <x:c r="D4" s="284" t="inlineStr">
        <x:is>
          <x:t xml:space="preserve">Vietnamese</x:t>
        </x:is>
      </x:c>
      <x:c r="E4" s="284" t="inlineStr">
        <x:is>
          <x:t xml:space="preserve">English</x:t>
        </x:is>
      </x:c>
      <x:c r="F4" s="284" t="inlineStr">
        <x:is>
          <x:t xml:space="preserve">Yes</x:t>
        </x:is>
      </x:c>
      <x:c r="G4" s="284" t="inlineStr">
        <x:is>
          <x:t xml:space="preserve">No</x:t>
        </x:is>
      </x:c>
      <x:c r="H4" s="284" t="n">
        <x:v>96</x:v>
      </x:c>
      <x:c r="I4" s="284" t="inlineStr">
        <x:is>
          <x:t xml:space="preserve">v1.0</x:t>
        </x:is>
      </x:c>
      <x:c r="J4" s="284" t="inlineStr">
        <x:is>
          <x:t xml:space="preserve">R&amp;PA</x:t>
        </x:is>
      </x:c>
      <x:c r="K4" s="284" t="inlineStr">
        <x:is>
          <x:t xml:space="preserve">Head of R&amp;PA</x:t>
        </x:is>
      </x:c>
      <x:c r="L4" s="284" t="inlineStr">
        <x:is>
          <x:t xml:space="preserve">Internal</x:t>
        </x:is>
      </x:c>
      <x:c r="M4" s="284" t="inlineStr">
        <x:is>
          <x:t xml:space="preserve">2026-07-18</x:t>
        </x:is>
      </x:c>
      <x:c r="N4" s="284" t="inlineStr">
        <x:is>
          <x:t xml:space="preserve">Final</x:t>
        </x:is>
      </x:c>
      <x:c r="O4" s="284" t="inlineStr">
        <x:is>
          <x:t xml:space="preserve">KB-2026-041</x:t>
        </x:is>
      </x:c>
    </x:row>
    <x:row r="5">
      <x:c r="A5" s="284" t="inlineStr">
        <x:is>
          <x:t xml:space="preserve">DOC-002</x:t>
        </x:is>
      </x:c>
      <x:c r="B5" s="284" t="inlineStr">
        <x:is>
          <x:t xml:space="preserve">Regulatory Submission</x:t>
        </x:is>
      </x:c>
      <x:c r="C5" s="284" t="inlineStr">
        <x:is>
          <x:t xml:space="preserve">Response package</x:t>
        </x:is>
      </x:c>
      <x:c r="D5" s="284" t="inlineStr">
        <x:is>
          <x:t xml:space="preserve">English</x:t>
        </x:is>
      </x:c>
      <x:c r="E5" s="284" t="inlineStr">
        <x:is>
          <x:t xml:space="preserve">Vietnamese</x:t>
        </x:is>
      </x:c>
      <x:c r="F5" s="284" t="inlineStr">
        <x:is>
          <x:t xml:space="preserve">Yes</x:t>
        </x:is>
      </x:c>
      <x:c r="G5" s="284" t="inlineStr">
        <x:is>
          <x:t xml:space="preserve">Yes</x:t>
        </x:is>
      </x:c>
      <x:c r="H5" s="284" t="n">
        <x:v>90</x:v>
      </x:c>
      <x:c r="I5" s="284" t="inlineStr">
        <x:is>
          <x:t xml:space="preserve">v0.9</x:t>
        </x:is>
      </x:c>
      <x:c r="J5" s="284" t="inlineStr">
        <x:is>
          <x:t xml:space="preserve">R&amp;PA</x:t>
        </x:is>
      </x:c>
      <x:c r="K5" s="284" t="inlineStr">
        <x:is>
          <x:t xml:space="preserve">Legal</x:t>
        </x:is>
      </x:c>
      <x:c r="L5" s="284" t="inlineStr">
        <x:is>
          <x:t xml:space="preserve">Confidential</x:t>
        </x:is>
      </x:c>
      <x:c r="M5" s="284" t="inlineStr">
        <x:is>
          <x:t xml:space="preserve">2026-07-22</x:t>
        </x:is>
      </x:c>
      <x:c r="N5" s="284" t="inlineStr">
        <x:is>
          <x:t xml:space="preserve">Review</x:t>
        </x:is>
      </x:c>
      <x:c r="O5" s="284" t="inlineStr">
        <x:is>
          <x:t xml:space="preserve">SUB-2026-017</x:t>
        </x:is>
      </x:c>
    </x:row>
  </x:sheetData>
  <x:mergeCells>
    <x:mergeCell ref="A1:O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27" t="str">
        <x:v>Manulife Regulatory and Public Affairs Command Center – V10.5 Integrated Master</x:v>
      </x:c>
      <x:c r="B1" s="427"/>
      <x:c r="C1" s="427"/>
      <x:c r="D1" s="427"/>
      <x:c r="E1" s="427"/>
      <x:c r="F1" s="427"/>
    </x:row>
    <x:row r="2">
      <x:c r="A2" s="298"/>
      <x:c r="B2" s="298"/>
      <x:c r="C2" s="298"/>
      <x:c r="D2" s="298"/>
      <x:c r="E2" s="298"/>
      <x:c r="F2" s="298"/>
    </x:row>
    <x:row r="3">
      <x:c r="A3" s="428" t="str">
        <x:v>Version</x:v>
      </x:c>
      <x:c r="B3" s="298" t="str">
        <x:v>V10.5 Integrated Master</x:v>
      </x:c>
      <x:c r="C3" s="298"/>
      <x:c r="D3" s="298"/>
      <x:c r="E3" s="298"/>
      <x:c r="F3" s="298"/>
    </x:row>
    <x:row r="4">
      <x:c r="A4" s="428" t="str">
        <x:v>Purpose</x:v>
      </x:c>
      <x:c r="B4" s="298" t="str">
        <x:v>Single source of truth for the Streamlit dashboard.</x:v>
      </x:c>
      <x:c r="C4" s="298"/>
      <x:c r="D4" s="298"/>
      <x:c r="E4" s="298"/>
      <x:c r="F4" s="298"/>
    </x:row>
    <x:row r="5">
      <x:c r="A5" s="428" t="str">
        <x:v>Update workflow</x:v>
      </x:c>
      <x:c r="B5" s="298" t="str">
        <x:v>Update relevant data sheets → save workbook → upload workbook in Streamlit, or replace the default master in /data.</x:v>
      </x:c>
      <x:c r="C5" s="298"/>
      <x:c r="D5" s="298"/>
      <x:c r="E5" s="298"/>
      <x:c r="F5" s="298"/>
    </x:row>
    <x:row r="6">
      <x:c r="A6" s="428" t="str">
        <x:v>Dashboard architecture</x:v>
      </x:c>
      <x:c r="B6" s="298" t="str">
        <x:v>15 consolidated modules; no Interview Mode.</x:v>
      </x:c>
      <x:c r="C6" s="298"/>
      <x:c r="D6" s="298"/>
      <x:c r="E6" s="298"/>
      <x:c r="F6" s="298"/>
    </x:row>
    <x:row r="7">
      <x:c r="A7" s="428" t="str">
        <x:v>Data-source priority</x:v>
      </x:c>
      <x:c r="B7" s="298" t="str">
        <x:v>Uploaded Excel → Default Excel master → CSV fallback.</x:v>
      </x:c>
      <x:c r="C7" s="298"/>
      <x:c r="D7" s="298"/>
      <x:c r="E7" s="298"/>
      <x:c r="F7" s="298"/>
    </x:row>
    <x:row r="8">
      <x:c r="A8" s="428" t="str">
        <x:v>Compatibility</x:v>
      </x:c>
      <x:c r="B8" s="298" t="str">
        <x:v>Sheet names and schemas align with app.py V10.5.</x:v>
      </x:c>
      <x:c r="C8" s="298"/>
      <x:c r="D8" s="298"/>
      <x:c r="E8" s="298"/>
      <x:c r="F8" s="298"/>
    </x:row>
    <x:row r="9">
      <x:c r="A9" s="428" t="str">
        <x:v>Last build</x:v>
      </x:c>
      <x:c r="B9" s="298" t="str">
        <x:v>2026-07-15 10:28</x:v>
      </x:c>
      <x:c r="C9" s="298"/>
      <x:c r="D9" s="298"/>
      <x:c r="E9" s="298"/>
      <x:c r="F9" s="298"/>
    </x:row>
    <x:row r="10">
      <x:c r="A10" s="428" t="str">
        <x:v>Author</x:v>
      </x:c>
      <x:c r="B10" s="298" t="str">
        <x:v>Le Hoang Quan</x:v>
      </x:c>
      <x:c r="C10" s="298"/>
      <x:c r="D10" s="298"/>
      <x:c r="E10" s="298"/>
      <x:c r="F10" s="298"/>
    </x:row>
  </x:sheetData>
  <x:mergeCells>
    <x:mergeCell ref="A1:F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18" hidden="0" customWidth="1"/>
    <x:col min="4" max="4" width="25" hidden="0" customWidth="1"/>
    <x:col min="5" max="5" width="20" hidden="0" customWidth="1"/>
    <x:col min="6" max="6" width="60" hidden="0" customWidth="1"/>
  </x:cols>
  <x:sheetData>
    <x:row r="1">
      <x:c r="A1" s="430" t="str">
        <x:v>Module</x:v>
      </x:c>
      <x:c r="B1" s="430" t="str">
        <x:v>Source Sheet</x:v>
      </x:c>
      <x:c r="C1" s="430" t="str">
        <x:v>Update Frequency</x:v>
      </x:c>
      <x:c r="D1" s="430" t="str">
        <x:v>Primary Owner</x:v>
      </x:c>
      <x:c r="E1" s="430" t="str">
        <x:v>Required for Dashboard</x:v>
      </x:c>
      <x:c r="F1" s="430" t="str">
        <x:v>Notes</x:v>
      </x:c>
    </x:row>
    <x:row r="2">
      <x:c r="A2" s="298" t="str">
        <x:v>Country CEO Dashboard</x:v>
      </x:c>
      <x:c r="B2" s="298" t="str">
        <x:v>Political_Intelligence</x:v>
      </x:c>
      <x:c r="C2" s="298" t="str">
        <x:v>Weekly</x:v>
      </x:c>
      <x:c r="D2" s="298" t="str">
        <x:v>Regulatory &amp; Public Affairs</x:v>
      </x:c>
      <x:c r="E2" s="298" t="str">
        <x:v>Yes</x:v>
      </x:c>
      <x:c r="F2" s="298" t="str">
        <x:v>Feeds top EMT issues and strategic insights.</x:v>
      </x:c>
    </x:row>
    <x:row r="3">
      <x:c r="A3" s="298" t="str">
        <x:v>Country CEO Dashboard</x:v>
      </x:c>
      <x:c r="B3" s="298" t="str">
        <x:v>Executive_Timeline</x:v>
      </x:c>
      <x:c r="C3" s="298" t="str">
        <x:v>Weekly</x:v>
      </x:c>
      <x:c r="D3" s="298" t="str">
        <x:v>Regulatory &amp; Public Affairs</x:v>
      </x:c>
      <x:c r="E3" s="298" t="str">
        <x:v>Yes</x:v>
      </x:c>
      <x:c r="F3" s="298" t="str">
        <x:v>Feeds 90-day outlook.</x:v>
      </x:c>
    </x:row>
    <x:row r="4">
      <x:c r="A4" s="298" t="str">
        <x:v>Country CEO Dashboard</x:v>
      </x:c>
      <x:c r="B4" s="298" t="str">
        <x:v>Relationship_Health</x:v>
      </x:c>
      <x:c r="C4" s="298" t="str">
        <x:v>Monthly</x:v>
      </x:c>
      <x:c r="D4" s="298" t="str">
        <x:v>Public Affairs</x:v>
      </x:c>
      <x:c r="E4" s="298" t="str">
        <x:v>Yes</x:v>
      </x:c>
      <x:c r="F4" s="298" t="str">
        <x:v>Feeds relationship trend.</x:v>
      </x:c>
    </x:row>
    <x:row r="5">
      <x:c r="A5" s="298" t="str">
        <x:v>Daily &amp; Department Operations</x:v>
      </x:c>
      <x:c r="B5" s="298" t="str">
        <x:v>Daily_Control_Tower</x:v>
      </x:c>
      <x:c r="C5" s="298" t="str">
        <x:v>Daily</x:v>
      </x:c>
      <x:c r="D5" s="298" t="str">
        <x:v>R&amp;PA Operations</x:v>
      </x:c>
      <x:c r="E5" s="298" t="str">
        <x:v>Yes</x:v>
      </x:c>
      <x:c r="F5" s="298" t="str">
        <x:v>Daily tasks and deadlines.</x:v>
      </x:c>
    </x:row>
    <x:row r="6">
      <x:c r="A6" s="298" t="str">
        <x:v>Daily &amp; Department Operations</x:v>
      </x:c>
      <x:c r="B6" s="298" t="str">
        <x:v>Department_Operations</x:v>
      </x:c>
      <x:c r="C6" s="298" t="str">
        <x:v>Daily</x:v>
      </x:c>
      <x:c r="D6" s="298" t="str">
        <x:v>R&amp;PA Operations</x:v>
      </x:c>
      <x:c r="E6" s="298" t="str">
        <x:v>Yes</x:v>
      </x:c>
      <x:c r="F6" s="298" t="str">
        <x:v>Administrative and operational workstreams.</x:v>
      </x:c>
    </x:row>
    <x:row r="7">
      <x:c r="A7" s="298" t="str">
        <x:v>Calendar &amp; Obligations</x:v>
      </x:c>
      <x:c r="B7" s="298" t="str">
        <x:v>Regulatory_Calendar</x:v>
      </x:c>
      <x:c r="C7" s="298" t="str">
        <x:v>Daily/Weekly</x:v>
      </x:c>
      <x:c r="D7" s="298" t="str">
        <x:v>Regulatory Affairs</x:v>
      </x:c>
      <x:c r="E7" s="298" t="str">
        <x:v>Yes</x:v>
      </x:c>
      <x:c r="F7" s="298" t="str">
        <x:v>Periodic and ad-hoc deadlines.</x:v>
      </x:c>
    </x:row>
    <x:row r="8">
      <x:c r="A8" s="298" t="str">
        <x:v>Calendar &amp; Obligations</x:v>
      </x:c>
      <x:c r="B8" s="298" t="str">
        <x:v>Regulatory_Obligation_Register</x:v>
      </x:c>
      <x:c r="C8" s="298" t="str">
        <x:v>Monthly</x:v>
      </x:c>
      <x:c r="D8" s="298" t="str">
        <x:v>Regulatory Affairs</x:v>
      </x:c>
      <x:c r="E8" s="298" t="str">
        <x:v>Yes</x:v>
      </x:c>
      <x:c r="F8" s="298" t="str">
        <x:v>Master obligation inventory.</x:v>
      </x:c>
    </x:row>
    <x:row r="9">
      <x:c r="A9" s="298" t="str">
        <x:v>Submission, Response &amp; Quality</x:v>
      </x:c>
      <x:c r="B9" s="298" t="str">
        <x:v>Submission_Tracker</x:v>
      </x:c>
      <x:c r="C9" s="298" t="str">
        <x:v>Daily</x:v>
      </x:c>
      <x:c r="D9" s="298" t="str">
        <x:v>Regulatory Affairs</x:v>
      </x:c>
      <x:c r="E9" s="298" t="str">
        <x:v>Yes</x:v>
      </x:c>
      <x:c r="F9" s="298" t="str">
        <x:v>Outgoing submissions.</x:v>
      </x:c>
    </x:row>
    <x:row r="10">
      <x:c r="A10" s="298" t="str">
        <x:v>Submission, Response &amp; Quality</x:v>
      </x:c>
      <x:c r="B10" s="298" t="str">
        <x:v>Regulatory_Response_Tracker</x:v>
      </x:c>
      <x:c r="C10" s="298" t="str">
        <x:v>Daily</x:v>
      </x:c>
      <x:c r="D10" s="298" t="str">
        <x:v>Regulatory Affairs</x:v>
      </x:c>
      <x:c r="E10" s="298" t="str">
        <x:v>Yes</x:v>
      </x:c>
      <x:c r="F10" s="298" t="str">
        <x:v>Incoming/outgoing response cycle.</x:v>
      </x:c>
    </x:row>
    <x:row r="11">
      <x:c r="A11" s="298" t="str">
        <x:v>Submission, Response &amp; Quality</x:v>
      </x:c>
      <x:c r="B11" s="298" t="str">
        <x:v>Response_Quality</x:v>
      </x:c>
      <x:c r="C11" s="298" t="str">
        <x:v>Per submission</x:v>
      </x:c>
      <x:c r="D11" s="298" t="str">
        <x:v>Regulatory Affairs</x:v>
      </x:c>
      <x:c r="E11" s="298" t="str">
        <x:v>Yes</x:v>
      </x:c>
      <x:c r="F11" s="298" t="str">
        <x:v>Quality and rework scoring.</x:v>
      </x:c>
    </x:row>
    <x:row r="12">
      <x:c r="A12" s="298" t="str">
        <x:v>Product Approval</x:v>
      </x:c>
      <x:c r="B12" s="298" t="str">
        <x:v>Product_Approval_Command_Center</x:v>
      </x:c>
      <x:c r="C12" s="298" t="str">
        <x:v>Weekly</x:v>
      </x:c>
      <x:c r="D12" s="298" t="str">
        <x:v>Product + R&amp;PA</x:v>
      </x:c>
      <x:c r="E12" s="298" t="str">
        <x:v>Yes</x:v>
      </x:c>
      <x:c r="F12" s="298" t="str">
        <x:v>Approval pipeline.</x:v>
      </x:c>
    </x:row>
    <x:row r="13">
      <x:c r="A13" s="298" t="str">
        <x:v>Product Approval</x:v>
      </x:c>
      <x:c r="B13" s="298" t="str">
        <x:v>Product_Approval_Forecast</x:v>
      </x:c>
      <x:c r="C13" s="298" t="str">
        <x:v>Weekly</x:v>
      </x:c>
      <x:c r="D13" s="298" t="str">
        <x:v>Product + R&amp;PA</x:v>
      </x:c>
      <x:c r="E13" s="298" t="str">
        <x:v>Yes</x:v>
      </x:c>
      <x:c r="F13" s="298" t="str">
        <x:v>Approval probability and forecast.</x:v>
      </x:c>
    </x:row>
    <x:row r="14">
      <x:c r="A14" s="298" t="str">
        <x:v>Regulatory &amp; Political Intelligence</x:v>
      </x:c>
      <x:c r="B14" s="298" t="str">
        <x:v>Policy_Monitoring</x:v>
      </x:c>
      <x:c r="C14" s="298" t="str">
        <x:v>Weekly</x:v>
      </x:c>
      <x:c r="D14" s="298" t="str">
        <x:v>Regulatory Affairs</x:v>
      </x:c>
      <x:c r="E14" s="298" t="str">
        <x:v>Yes</x:v>
      </x:c>
      <x:c r="F14" s="298" t="str">
        <x:v>Regulatory developments.</x:v>
      </x:c>
    </x:row>
    <x:row r="15">
      <x:c r="A15" s="298" t="str">
        <x:v>Regulatory &amp; Political Intelligence</x:v>
      </x:c>
      <x:c r="B15" s="298" t="str">
        <x:v>Political_Intelligence</x:v>
      </x:c>
      <x:c r="C15" s="298" t="str">
        <x:v>Weekly</x:v>
      </x:c>
      <x:c r="D15" s="298" t="str">
        <x:v>Public Affairs</x:v>
      </x:c>
      <x:c r="E15" s="298" t="str">
        <x:v>Yes</x:v>
      </x:c>
      <x:c r="F15" s="298" t="str">
        <x:v>Government priorities and political analysis.</x:v>
      </x:c>
    </x:row>
    <x:row r="16">
      <x:c r="A16" s="298" t="str">
        <x:v>Regulatory &amp; Political Intelligence</x:v>
      </x:c>
      <x:c r="B16" s="298" t="str">
        <x:v>Regulatory_Early_Warning</x:v>
      </x:c>
      <x:c r="C16" s="298" t="str">
        <x:v>Weekly</x:v>
      </x:c>
      <x:c r="D16" s="298" t="str">
        <x:v>Public Affairs</x:v>
      </x:c>
      <x:c r="E16" s="298" t="str">
        <x:v>Yes</x:v>
      </x:c>
      <x:c r="F16" s="298" t="str">
        <x:v>Early-warning signals.</x:v>
      </x:c>
    </x:row>
    <x:row r="17">
      <x:c r="A17" s="298" t="str">
        <x:v>Regulatory Position &amp; Advocacy</x:v>
      </x:c>
      <x:c r="B17" s="298" t="str">
        <x:v>Regulatory_Positions</x:v>
      </x:c>
      <x:c r="C17" s="298" t="str">
        <x:v>Per issue</x:v>
      </x:c>
      <x:c r="D17" s="298" t="str">
        <x:v>R&amp;PA + Legal</x:v>
      </x:c>
      <x:c r="E17" s="298" t="str">
        <x:v>Yes</x:v>
      </x:c>
      <x:c r="F17" s="298" t="str">
        <x:v>Position papers and advocacy materials.</x:v>
      </x:c>
    </x:row>
    <x:row r="18">
      <x:c r="A18" s="298" t="str">
        <x:v>Regulator &amp; Stakeholder Intelligence</x:v>
      </x:c>
      <x:c r="B18" s="298" t="str">
        <x:v>Regulator_CRM</x:v>
      </x:c>
      <x:c r="C18" s="298" t="str">
        <x:v>After engagement</x:v>
      </x:c>
      <x:c r="D18" s="298" t="str">
        <x:v>Public Affairs</x:v>
      </x:c>
      <x:c r="E18" s="298" t="str">
        <x:v>Yes</x:v>
      </x:c>
      <x:c r="F18" s="298" t="str">
        <x:v>Institutional memory.</x:v>
      </x:c>
    </x:row>
    <x:row r="19">
      <x:c r="A19" s="298" t="str">
        <x:v>Regulator &amp; Stakeholder Intelligence</x:v>
      </x:c>
      <x:c r="B19" s="298" t="str">
        <x:v>Stakeholder_Intelligence</x:v>
      </x:c>
      <x:c r="C19" s="298" t="str">
        <x:v>Monthly</x:v>
      </x:c>
      <x:c r="D19" s="298" t="str">
        <x:v>Public Affairs</x:v>
      </x:c>
      <x:c r="E19" s="298" t="str">
        <x:v>Yes</x:v>
      </x:c>
      <x:c r="F19" s="298" t="str">
        <x:v>Influence/relationship mapping.</x:v>
      </x:c>
    </x:row>
    <x:row r="20">
      <x:c r="A20" s="298" t="str">
        <x:v>Regulator &amp; Stakeholder Intelligence</x:v>
      </x:c>
      <x:c r="B20" s="298" t="str">
        <x:v>Relationship_Health</x:v>
      </x:c>
      <x:c r="C20" s="298" t="str">
        <x:v>Monthly</x:v>
      </x:c>
      <x:c r="D20" s="298" t="str">
        <x:v>Public Affairs</x:v>
      </x:c>
      <x:c r="E20" s="298" t="str">
        <x:v>Yes</x:v>
      </x:c>
      <x:c r="F20" s="298" t="str">
        <x:v>Relationship trend.</x:v>
      </x:c>
    </x:row>
    <x:row r="21">
      <x:c r="A21" s="298" t="str">
        <x:v>Regulator &amp; Stakeholder Intelligence</x:v>
      </x:c>
      <x:c r="B21" s="298" t="str">
        <x:v>Regulator_Interactions</x:v>
      </x:c>
      <x:c r="C21" s="298" t="str">
        <x:v>After engagement</x:v>
      </x:c>
      <x:c r="D21" s="298" t="str">
        <x:v>Public Affairs</x:v>
      </x:c>
      <x:c r="E21" s="298" t="str">
        <x:v>Yes</x:v>
      </x:c>
      <x:c r="F21" s="298" t="str">
        <x:v>Interaction log.</x:v>
      </x:c>
    </x:row>
    <x:row r="22">
      <x:c r="A22" s="298" t="str">
        <x:v>Engagement &amp; Meeting Intelligence</x:v>
      </x:c>
      <x:c r="B22" s="298" t="str">
        <x:v>Meeting_Intelligence</x:v>
      </x:c>
      <x:c r="C22" s="298" t="str">
        <x:v>Per meeting</x:v>
      </x:c>
      <x:c r="D22" s="298" t="str">
        <x:v>Public Affairs</x:v>
      </x:c>
      <x:c r="E22" s="298" t="str">
        <x:v>Yes</x:v>
      </x:c>
      <x:c r="F22" s="298" t="str">
        <x:v>Meeting briefs and minutes.</x:v>
      </x:c>
    </x:row>
    <x:row r="23">
      <x:c r="A23" s="298" t="str">
        <x:v>Engagement &amp; Meeting Intelligence</x:v>
      </x:c>
      <x:c r="B23" s="298" t="str">
        <x:v>Engagement_Lifecycle</x:v>
      </x:c>
      <x:c r="C23" s="298" t="str">
        <x:v>Per engagement</x:v>
      </x:c>
      <x:c r="D23" s="298" t="str">
        <x:v>Public Affairs</x:v>
      </x:c>
      <x:c r="E23" s="298" t="str">
        <x:v>Yes</x:v>
      </x:c>
      <x:c r="F23" s="298" t="str">
        <x:v>End-to-end engagement lifecycle.</x:v>
      </x:c>
    </x:row>
    <x:row r="24">
      <x:c r="A24" s="298" t="str">
        <x:v>Internal Coordination &amp; Actions</x:v>
      </x:c>
      <x:c r="B24" s="298" t="str">
        <x:v>Internal_Coordination_Tracker</x:v>
      </x:c>
      <x:c r="C24" s="298" t="str">
        <x:v>Daily</x:v>
      </x:c>
      <x:c r="D24" s="298" t="str">
        <x:v>Cross-functional owners</x:v>
      </x:c>
      <x:c r="E24" s="298" t="str">
        <x:v>Yes</x:v>
      </x:c>
      <x:c r="F24" s="298" t="str">
        <x:v>Actions and follow-up.</x:v>
      </x:c>
    </x:row>
    <x:row r="25">
      <x:c r="A25" s="298" t="str">
        <x:v>Internal Coordination &amp; Actions</x:v>
      </x:c>
      <x:c r="B25" s="298" t="str">
        <x:v>Workflow_Engine</x:v>
      </x:c>
      <x:c r="C25" s="298" t="str">
        <x:v>Weekly</x:v>
      </x:c>
      <x:c r="D25" s="298" t="str">
        <x:v>R&amp;PA Operations</x:v>
      </x:c>
      <x:c r="E25" s="298" t="str">
        <x:v>Yes</x:v>
      </x:c>
      <x:c r="F25" s="298" t="str">
        <x:v>Workflow stages and SLA.</x:v>
      </x:c>
    </x:row>
    <x:row r="26">
      <x:c r="A26" s="298" t="str">
        <x:v>Document QC, Translation &amp; Filing</x:v>
      </x:c>
      <x:c r="B26" s="298" t="str">
        <x:v>Document_QC_Checklist</x:v>
      </x:c>
      <x:c r="C26" s="298" t="str">
        <x:v>Per document</x:v>
      </x:c>
      <x:c r="D26" s="298" t="str">
        <x:v>R&amp;PA</x:v>
      </x:c>
      <x:c r="E26" s="298" t="str">
        <x:v>Yes</x:v>
      </x:c>
      <x:c r="F26" s="298" t="str">
        <x:v>Pre-submission QC.</x:v>
      </x:c>
    </x:row>
    <x:row r="27">
      <x:c r="A27" s="298" t="str">
        <x:v>Document QC, Translation &amp; Filing</x:v>
      </x:c>
      <x:c r="B27" s="298" t="str">
        <x:v>Translation_Tracker</x:v>
      </x:c>
      <x:c r="C27" s="298" t="str">
        <x:v>Per document</x:v>
      </x:c>
      <x:c r="D27" s="298" t="str">
        <x:v>R&amp;PA</x:v>
      </x:c>
      <x:c r="E27" s="298" t="str">
        <x:v>Yes</x:v>
      </x:c>
      <x:c r="F27" s="298" t="str">
        <x:v>Translation workflow.</x:v>
      </x:c>
    </x:row>
    <x:row r="28">
      <x:c r="A28" s="298" t="str">
        <x:v>Document QC, Translation &amp; Filing</x:v>
      </x:c>
      <x:c r="B28" s="298" t="str">
        <x:v>Bilingual_Document_Control</x:v>
      </x:c>
      <x:c r="C28" s="298" t="str">
        <x:v>Per document</x:v>
      </x:c>
      <x:c r="D28" s="298" t="str">
        <x:v>R&amp;PA + Legal</x:v>
      </x:c>
      <x:c r="E28" s="298" t="str">
        <x:v>Yes</x:v>
      </x:c>
      <x:c r="F28" s="298" t="str">
        <x:v>Bilingual consistency and version control.</x:v>
      </x:c>
    </x:row>
    <x:row r="29">
      <x:c r="A29" s="298" t="str">
        <x:v>Inspection Readiness</x:v>
      </x:c>
      <x:c r="B29" s="298" t="str">
        <x:v>Inspection_Readiness</x:v>
      </x:c>
      <x:c r="C29" s="298" t="str">
        <x:v>Monthly</x:v>
      </x:c>
      <x:c r="D29" s="298" t="str">
        <x:v>Compliance + R&amp;PA</x:v>
      </x:c>
      <x:c r="E29" s="298" t="str">
        <x:v>Yes</x:v>
      </x:c>
      <x:c r="F29" s="298" t="str">
        <x:v>Inspection evidence readiness.</x:v>
      </x:c>
    </x:row>
    <x:row r="30">
      <x:c r="A30" s="298" t="str">
        <x:v>Reputation &amp; Public Issues</x:v>
      </x:c>
      <x:c r="B30" s="298" t="str">
        <x:v>Reputation_Monitor</x:v>
      </x:c>
      <x:c r="C30" s="298" t="str">
        <x:v>Monthly</x:v>
      </x:c>
      <x:c r="D30" s="298" t="str">
        <x:v>Communications + PA</x:v>
      </x:c>
      <x:c r="E30" s="298" t="str">
        <x:v>Yes</x:v>
      </x:c>
      <x:c r="F30" s="298" t="str">
        <x:v>Reputation drivers.</x:v>
      </x:c>
    </x:row>
    <x:row r="31">
      <x:c r="A31" s="298" t="str">
        <x:v>Executive &amp; Regional Reporting</x:v>
      </x:c>
      <x:c r="B31" s="298" t="str">
        <x:v>Public_Affairs_KPI</x:v>
      </x:c>
      <x:c r="C31" s="298" t="str">
        <x:v>Monthly</x:v>
      </x:c>
      <x:c r="D31" s="298" t="str">
        <x:v>Public Affairs</x:v>
      </x:c>
      <x:c r="E31" s="298" t="str">
        <x:v>Yes</x:v>
      </x:c>
      <x:c r="F31" s="298" t="str">
        <x:v>PA performance.</x:v>
      </x:c>
    </x:row>
    <x:row r="32">
      <x:c r="A32" s="298" t="str">
        <x:v>Executive &amp; Regional Reporting</x:v>
      </x:c>
      <x:c r="B32" s="298" t="str">
        <x:v>Regional_Reporting</x:v>
      </x:c>
      <x:c r="C32" s="298" t="str">
        <x:v>Monthly</x:v>
      </x:c>
      <x:c r="D32" s="298" t="str">
        <x:v>Public Affairs</x:v>
      </x:c>
      <x:c r="E32" s="298" t="str">
        <x:v>Yes</x:v>
      </x:c>
      <x:c r="F32" s="298" t="str">
        <x:v>Regional narrative items.</x:v>
      </x:c>
    </x:row>
    <x:row r="33">
      <x:c r="A33" s="298" t="str">
        <x:v>Executive &amp; Regional Reporting</x:v>
      </x:c>
      <x:c r="B33" s="298" t="str">
        <x:v>Regional_Office_Requests</x:v>
      </x:c>
      <x:c r="C33" s="298" t="str">
        <x:v>Per request</x:v>
      </x:c>
      <x:c r="D33" s="298" t="str">
        <x:v>Public Affairs</x:v>
      </x:c>
      <x:c r="E33" s="298" t="str">
        <x:v>Yes</x:v>
      </x:c>
      <x:c r="F33" s="298" t="str">
        <x:v>RO request cycle.</x:v>
      </x:c>
    </x:row>
    <x:row r="34">
      <x:c r="A34" s="298" t="str">
        <x:v>Knowledge Base, Copilot &amp; Templates</x:v>
      </x:c>
      <x:c r="B34" s="298" t="str">
        <x:v>Knowledge_Base</x:v>
      </x:c>
      <x:c r="C34" s="298" t="str">
        <x:v>As needed</x:v>
      </x:c>
      <x:c r="D34" s="298" t="str">
        <x:v>R&amp;PA</x:v>
      </x:c>
      <x:c r="E34" s="298" t="str">
        <x:v>Yes</x:v>
      </x:c>
      <x:c r="F34" s="298" t="str">
        <x:v>Approved knowledge summaries.</x:v>
      </x:c>
    </x:row>
    <x:row r="35">
      <x:c r="A35" s="298" t="str">
        <x:v>Knowledge Base, Copilot &amp; Templates</x:v>
      </x:c>
      <x:c r="B35" s="298" t="str">
        <x:v>Email_Template_Generator</x:v>
      </x:c>
      <x:c r="C35" s="298" t="str">
        <x:v>As needed</x:v>
      </x:c>
      <x:c r="D35" s="298" t="str">
        <x:v>R&amp;PA</x:v>
      </x:c>
      <x:c r="E35" s="298" t="str">
        <x:v>Yes</x:v>
      </x:c>
      <x:c r="F35" s="298" t="str">
        <x:v>Reusable communication templates.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20" hidden="0" customWidth="1"/>
    <x:col min="5" max="5" width="55" hidden="0" customWidth="1"/>
  </x:cols>
  <x:sheetData>
    <x:row r="1">
      <x:c r="A1" s="430" t="str">
        <x:v>Source Sheet</x:v>
      </x:c>
      <x:c r="B1" s="430" t="str">
        <x:v>Required</x:v>
      </x:c>
      <x:c r="C1" s="430" t="str">
        <x:v>Status</x:v>
      </x:c>
      <x:c r="D1" s="430" t="str">
        <x:v>Rows / Range</x:v>
      </x:c>
      <x:c r="E1" s="430" t="str">
        <x:v>Validation Note</x:v>
      </x:c>
    </x:row>
    <x:row r="2">
      <x:c r="A2" s="298" t="str">
        <x:v>Regulatory_Calendar</x:v>
      </x:c>
      <x:c r="B2" s="298" t="str">
        <x:v>Yes</x:v>
      </x:c>
      <x:c r="C2" s="298" t="str">
        <x:v>Available</x:v>
      </x:c>
      <x:c r="D2" s="298" t="str">
        <x:v>A1:Z31</x:v>
      </x:c>
      <x:c r="E2" s="298" t="str">
        <x:v>App checks required columns at load time.</x:v>
      </x:c>
    </x:row>
    <x:row r="3">
      <x:c r="A3" s="298" t="str">
        <x:v>Submission_Tracker</x:v>
      </x:c>
      <x:c r="B3" s="298" t="str">
        <x:v>Yes</x:v>
      </x:c>
      <x:c r="C3" s="298" t="str">
        <x:v>Available</x:v>
      </x:c>
      <x:c r="D3" s="298" t="str">
        <x:v>A1:Z61</x:v>
      </x:c>
      <x:c r="E3" s="298" t="str">
        <x:v>App checks required columns at load time.</x:v>
      </x:c>
    </x:row>
    <x:row r="4">
      <x:c r="A4" s="298" t="str">
        <x:v>Regulatory_Response_Tracker</x:v>
      </x:c>
      <x:c r="B4" s="298" t="str">
        <x:v>Yes</x:v>
      </x:c>
      <x:c r="C4" s="298" t="str">
        <x:v>Available</x:v>
      </x:c>
      <x:c r="D4" s="298" t="str">
        <x:v>A1:Z11</x:v>
      </x:c>
      <x:c r="E4" s="298" t="str">
        <x:v>App checks required columns at load time.</x:v>
      </x:c>
    </x:row>
    <x:row r="5">
      <x:c r="A5" s="298" t="str">
        <x:v>Response_Quality</x:v>
      </x:c>
      <x:c r="B5" s="298" t="str">
        <x:v>Yes</x:v>
      </x:c>
      <x:c r="C5" s="298" t="str">
        <x:v>Available</x:v>
      </x:c>
      <x:c r="D5" s="298" t="str">
        <x:v>A1:R5</x:v>
      </x:c>
      <x:c r="E5" s="298" t="str">
        <x:v>App checks required columns at load time.</x:v>
      </x:c>
    </x:row>
    <x:row r="6">
      <x:c r="A6" s="298" t="str">
        <x:v>Policy_Monitoring</x:v>
      </x:c>
      <x:c r="B6" s="298" t="str">
        <x:v>Yes</x:v>
      </x:c>
      <x:c r="C6" s="298" t="str">
        <x:v>Available</x:v>
      </x:c>
      <x:c r="D6" s="298" t="str">
        <x:v>A1:Z31</x:v>
      </x:c>
      <x:c r="E6" s="298" t="str">
        <x:v>App checks required columns at load time.</x:v>
      </x:c>
    </x:row>
    <x:row r="7">
      <x:c r="A7" s="298" t="str">
        <x:v>Political_Intelligence</x:v>
      </x:c>
      <x:c r="B7" s="298" t="str">
        <x:v>Yes</x:v>
      </x:c>
      <x:c r="C7" s="298" t="str">
        <x:v>Available</x:v>
      </x:c>
      <x:c r="D7" s="298" t="str">
        <x:v>A1:O5</x:v>
      </x:c>
      <x:c r="E7" s="298" t="str">
        <x:v>App checks required columns at load time.</x:v>
      </x:c>
    </x:row>
    <x:row r="8">
      <x:c r="A8" s="298" t="str">
        <x:v>Regulatory_Positions</x:v>
      </x:c>
      <x:c r="B8" s="298" t="str">
        <x:v>Yes</x:v>
      </x:c>
      <x:c r="C8" s="298" t="str">
        <x:v>Available</x:v>
      </x:c>
      <x:c r="D8" s="298" t="str">
        <x:v>A1:O4</x:v>
      </x:c>
      <x:c r="E8" s="298" t="str">
        <x:v>App checks required columns at load time.</x:v>
      </x:c>
    </x:row>
    <x:row r="9">
      <x:c r="A9" s="298" t="str">
        <x:v>Translation_Tracker</x:v>
      </x:c>
      <x:c r="B9" s="298" t="str">
        <x:v>Yes</x:v>
      </x:c>
      <x:c r="C9" s="298" t="str">
        <x:v>Available</x:v>
      </x:c>
      <x:c r="D9" s="298" t="str">
        <x:v>A1:Z21</x:v>
      </x:c>
      <x:c r="E9" s="298" t="str">
        <x:v>App checks required columns at load time.</x:v>
      </x:c>
    </x:row>
    <x:row r="10">
      <x:c r="A10" s="298" t="str">
        <x:v>Bilingual_Document_Control</x:v>
      </x:c>
      <x:c r="B10" s="298" t="str">
        <x:v>Yes</x:v>
      </x:c>
      <x:c r="C10" s="298" t="str">
        <x:v>Available</x:v>
      </x:c>
      <x:c r="D10" s="298" t="str">
        <x:v>A1:O5</x:v>
      </x:c>
      <x:c r="E10" s="298" t="str">
        <x:v>App checks required columns at load time.</x:v>
      </x:c>
    </x:row>
    <x:row r="11">
      <x:c r="A11" s="298" t="str">
        <x:v>Document_QC_Checklist</x:v>
      </x:c>
      <x:c r="B11" s="298" t="str">
        <x:v>Yes</x:v>
      </x:c>
      <x:c r="C11" s="298" t="str">
        <x:v>Available</x:v>
      </x:c>
      <x:c r="D11" s="298" t="str">
        <x:v>A1:Q9</x:v>
      </x:c>
      <x:c r="E11" s="298" t="str">
        <x:v>App checks required columns at load time.</x:v>
      </x:c>
    </x:row>
    <x:row r="12">
      <x:c r="A12" s="298" t="str">
        <x:v>Daily_Control_Tower</x:v>
      </x:c>
      <x:c r="B12" s="298" t="str">
        <x:v>Yes</x:v>
      </x:c>
      <x:c r="C12" s="298" t="str">
        <x:v>Available</x:v>
      </x:c>
      <x:c r="D12" s="298" t="str">
        <x:v>A1:L23</x:v>
      </x:c>
      <x:c r="E12" s="298" t="str">
        <x:v>App checks required columns at load time.</x:v>
      </x:c>
    </x:row>
    <x:row r="13">
      <x:c r="A13" s="298" t="str">
        <x:v>Department_Operations</x:v>
      </x:c>
      <x:c r="B13" s="298" t="str">
        <x:v>Yes</x:v>
      </x:c>
      <x:c r="C13" s="298" t="str">
        <x:v>Available</x:v>
      </x:c>
      <x:c r="D13" s="298" t="str">
        <x:v>A1:M6</x:v>
      </x:c>
      <x:c r="E13" s="298" t="str">
        <x:v>App checks required columns at load time.</x:v>
      </x:c>
    </x:row>
    <x:row r="14">
      <x:c r="A14" s="298" t="str">
        <x:v>Workflow_Engine</x:v>
      </x:c>
      <x:c r="B14" s="298" t="str">
        <x:v>Yes</x:v>
      </x:c>
      <x:c r="C14" s="298" t="str">
        <x:v>Available</x:v>
      </x:c>
      <x:c r="D14" s="298" t="str">
        <x:v>A1:J200</x:v>
      </x:c>
      <x:c r="E14" s="298" t="str">
        <x:v>App checks required columns at load time.</x:v>
      </x:c>
    </x:row>
    <x:row r="15">
      <x:c r="A15" s="298" t="str">
        <x:v>Regulatory_Obligation_Register</x:v>
      </x:c>
      <x:c r="B15" s="298" t="str">
        <x:v>Yes</x:v>
      </x:c>
      <x:c r="C15" s="298" t="str">
        <x:v>Available</x:v>
      </x:c>
      <x:c r="D15" s="298" t="str">
        <x:v>A1:Z14</x:v>
      </x:c>
      <x:c r="E15" s="298" t="str">
        <x:v>App checks required columns at load time.</x:v>
      </x:c>
    </x:row>
    <x:row r="16">
      <x:c r="A16" s="298" t="str">
        <x:v>Product_Approval_Command_Center</x:v>
      </x:c>
      <x:c r="B16" s="298" t="str">
        <x:v>Yes</x:v>
      </x:c>
      <x:c r="C16" s="298" t="str">
        <x:v>Available</x:v>
      </x:c>
      <x:c r="D16" s="298" t="str">
        <x:v>A1:Z10</x:v>
      </x:c>
      <x:c r="E16" s="298" t="str">
        <x:v>App checks required columns at load time.</x:v>
      </x:c>
    </x:row>
    <x:row r="17">
      <x:c r="A17" s="298" t="str">
        <x:v>Internal_Coordination_Tracker</x:v>
      </x:c>
      <x:c r="B17" s="298" t="str">
        <x:v>Yes</x:v>
      </x:c>
      <x:c r="C17" s="298" t="str">
        <x:v>Available</x:v>
      </x:c>
      <x:c r="D17" s="298" t="str">
        <x:v>A1:Z11</x:v>
      </x:c>
      <x:c r="E17" s="298" t="str">
        <x:v>App checks required columns at load time.</x:v>
      </x:c>
    </x:row>
    <x:row r="18">
      <x:c r="A18" s="298" t="str">
        <x:v>Meeting_Intelligence</x:v>
      </x:c>
      <x:c r="B18" s="298" t="str">
        <x:v>Yes</x:v>
      </x:c>
      <x:c r="C18" s="298" t="str">
        <x:v>Available</x:v>
      </x:c>
      <x:c r="D18" s="298" t="str">
        <x:v>A1:Z11</x:v>
      </x:c>
      <x:c r="E18" s="298" t="str">
        <x:v>App checks required columns at load time.</x:v>
      </x:c>
    </x:row>
    <x:row r="19">
      <x:c r="A19" s="298" t="str">
        <x:v>Engagement_Lifecycle</x:v>
      </x:c>
      <x:c r="B19" s="298" t="str">
        <x:v>Yes</x:v>
      </x:c>
      <x:c r="C19" s="298" t="str">
        <x:v>Available</x:v>
      </x:c>
      <x:c r="D19" s="298" t="str">
        <x:v>A1:O5</x:v>
      </x:c>
      <x:c r="E19" s="298" t="str">
        <x:v>App checks required columns at load time.</x:v>
      </x:c>
    </x:row>
    <x:row r="20">
      <x:c r="A20" s="298" t="str">
        <x:v>Inspection_Readiness</x:v>
      </x:c>
      <x:c r="B20" s="298" t="str">
        <x:v>Yes</x:v>
      </x:c>
      <x:c r="C20" s="298" t="str">
        <x:v>Available</x:v>
      </x:c>
      <x:c r="D20" s="298" t="str">
        <x:v>A1:Z10</x:v>
      </x:c>
      <x:c r="E20" s="298" t="str">
        <x:v>App checks required columns at load time.</x:v>
      </x:c>
    </x:row>
    <x:row r="21">
      <x:c r="A21" s="298" t="str">
        <x:v>Regulator_Interactions</x:v>
      </x:c>
      <x:c r="B21" s="298" t="str">
        <x:v>Yes</x:v>
      </x:c>
      <x:c r="C21" s="298" t="str">
        <x:v>Available</x:v>
      </x:c>
      <x:c r="D21" s="298" t="str">
        <x:v>A1:Z49</x:v>
      </x:c>
      <x:c r="E21" s="298" t="str">
        <x:v>App checks required columns at load time.</x:v>
      </x:c>
    </x:row>
    <x:row r="22">
      <x:c r="A22" s="298" t="str">
        <x:v>Regulator_CRM</x:v>
      </x:c>
      <x:c r="B22" s="298" t="str">
        <x:v>Yes</x:v>
      </x:c>
      <x:c r="C22" s="298" t="str">
        <x:v>Available</x:v>
      </x:c>
      <x:c r="D22" s="298" t="str">
        <x:v>A1:O202</x:v>
      </x:c>
      <x:c r="E22" s="298" t="str">
        <x:v>App checks required columns at load time.</x:v>
      </x:c>
    </x:row>
    <x:row r="23">
      <x:c r="A23" s="298" t="str">
        <x:v>Stakeholder_Intelligence</x:v>
      </x:c>
      <x:c r="B23" s="298" t="str">
        <x:v>Yes</x:v>
      </x:c>
      <x:c r="C23" s="298" t="str">
        <x:v>Available</x:v>
      </x:c>
      <x:c r="D23" s="298" t="str">
        <x:v>A1:K9</x:v>
      </x:c>
      <x:c r="E23" s="298" t="str">
        <x:v>App checks required columns at load time.</x:v>
      </x:c>
    </x:row>
    <x:row r="24">
      <x:c r="A24" s="298" t="str">
        <x:v>Regulatory_Early_Warning</x:v>
      </x:c>
      <x:c r="B24" s="298" t="str">
        <x:v>Yes</x:v>
      </x:c>
      <x:c r="C24" s="298" t="str">
        <x:v>Available</x:v>
      </x:c>
      <x:c r="D24" s="298" t="str">
        <x:v>A1:G8</x:v>
      </x:c>
      <x:c r="E24" s="298" t="str">
        <x:v>App checks required columns at load time.</x:v>
      </x:c>
    </x:row>
    <x:row r="25">
      <x:c r="A25" s="298" t="str">
        <x:v>Public_Affairs_KPI</x:v>
      </x:c>
      <x:c r="B25" s="298" t="str">
        <x:v>Yes</x:v>
      </x:c>
      <x:c r="C25" s="298" t="str">
        <x:v>Available</x:v>
      </x:c>
      <x:c r="D25" s="298" t="str">
        <x:v>A1:F9</x:v>
      </x:c>
      <x:c r="E25" s="298" t="str">
        <x:v>App checks required columns at load time.</x:v>
      </x:c>
    </x:row>
    <x:row r="26">
      <x:c r="A26" s="298" t="str">
        <x:v>Regional_Reporting</x:v>
      </x:c>
      <x:c r="B26" s="298" t="str">
        <x:v>Yes</x:v>
      </x:c>
      <x:c r="C26" s="298" t="str">
        <x:v>Available</x:v>
      </x:c>
      <x:c r="D26" s="298" t="str">
        <x:v>A1:F7</x:v>
      </x:c>
      <x:c r="E26" s="298" t="str">
        <x:v>App checks required columns at load time.</x:v>
      </x:c>
    </x:row>
    <x:row r="27">
      <x:c r="A27" s="298" t="str">
        <x:v>Regional_Office_Requests</x:v>
      </x:c>
      <x:c r="B27" s="298" t="str">
        <x:v>Yes</x:v>
      </x:c>
      <x:c r="C27" s="298" t="str">
        <x:v>Available</x:v>
      </x:c>
      <x:c r="D27" s="298" t="str">
        <x:v>A1:N5</x:v>
      </x:c>
      <x:c r="E27" s="298" t="str">
        <x:v>App checks required columns at load time.</x:v>
      </x:c>
    </x:row>
    <x:row r="28">
      <x:c r="A28" s="298" t="str">
        <x:v>Executive_Timeline</x:v>
      </x:c>
      <x:c r="B28" s="298" t="str">
        <x:v>Yes</x:v>
      </x:c>
      <x:c r="C28" s="298" t="str">
        <x:v>Available</x:v>
      </x:c>
      <x:c r="D28" s="298" t="str">
        <x:v>A1:H9</x:v>
      </x:c>
      <x:c r="E28" s="298" t="str">
        <x:v>App checks required columns at load time.</x:v>
      </x:c>
    </x:row>
    <x:row r="29">
      <x:c r="A29" s="298" t="str">
        <x:v>Relationship_Health</x:v>
      </x:c>
      <x:c r="B29" s="298" t="str">
        <x:v>Yes</x:v>
      </x:c>
      <x:c r="C29" s="298" t="str">
        <x:v>Available</x:v>
      </x:c>
      <x:c r="D29" s="298" t="str">
        <x:v>A1:G21</x:v>
      </x:c>
      <x:c r="E29" s="298" t="str">
        <x:v>App checks required columns at load time.</x:v>
      </x:c>
    </x:row>
    <x:row r="30">
      <x:c r="A30" s="298" t="str">
        <x:v>Reputation_Monitor</x:v>
      </x:c>
      <x:c r="B30" s="298" t="str">
        <x:v>Yes</x:v>
      </x:c>
      <x:c r="C30" s="298" t="str">
        <x:v>Available</x:v>
      </x:c>
      <x:c r="D30" s="298" t="str">
        <x:v>A1:H9</x:v>
      </x:c>
      <x:c r="E30" s="298" t="str">
        <x:v>App checks required columns at load time.</x:v>
      </x:c>
    </x:row>
    <x:row r="31">
      <x:c r="A31" s="298" t="str">
        <x:v>Product_Approval_Forecast</x:v>
      </x:c>
      <x:c r="B31" s="298" t="str">
        <x:v>Yes</x:v>
      </x:c>
      <x:c r="C31" s="298" t="str">
        <x:v>Available</x:v>
      </x:c>
      <x:c r="D31" s="298" t="str">
        <x:v>A1:I7</x:v>
      </x:c>
      <x:c r="E31" s="298" t="str">
        <x:v>App checks required columns at load time.</x:v>
      </x:c>
    </x:row>
    <x:row r="32">
      <x:c r="A32" s="298" t="str">
        <x:v>Knowledge_Base</x:v>
      </x:c>
      <x:c r="B32" s="298" t="str">
        <x:v>Yes</x:v>
      </x:c>
      <x:c r="C32" s="298" t="str">
        <x:v>Available</x:v>
      </x:c>
      <x:c r="D32" s="298" t="str">
        <x:v>A1:J200</x:v>
      </x:c>
      <x:c r="E32" s="298" t="str">
        <x:v>App checks required columns at load time.</x:v>
      </x:c>
    </x:row>
    <x:row r="33">
      <x:c r="A33" s="298" t="str">
        <x:v>Email_Template_Generator</x:v>
      </x:c>
      <x:c r="B33" s="298" t="str">
        <x:v>Yes</x:v>
      </x:c>
      <x:c r="C33" s="298" t="str">
        <x:v>Available</x:v>
      </x:c>
      <x:c r="D33" s="298" t="str">
        <x:v>A1:F11</x:v>
      </x:c>
      <x:c r="E33" s="298" t="str">
        <x:v>App checks required columns at load time.</x:v>
      </x:c>
    </x:row>
  </x:sheetData>
  <x:conditionalFormatting sqref="C2:C33">
    <x:cfRule type="expression" dxfId="27" priority="1">
      <x:formula>C2="Missing"</x:formula>
    </x:cfRule>
    <x:cfRule type="expression" dxfId="28" priority="2">
      <x:formula>C2="Available"</x:formula>
    </x:cfRule>
  </x:conditionalFormatting>
  <x:pageMargins left="0.7" right="0.7" top="0.75" bottom="0.75" header="0.3" footer="0.3"/>
</x:worksheet>
</file>