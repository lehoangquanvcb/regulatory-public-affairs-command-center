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solidation_Summary" sheetId="1" state="visible" r:id="rId1"/>
    <sheet xmlns:r="http://schemas.openxmlformats.org/officeDocument/2006/relationships" name="Executive_Dashboard" sheetId="2" state="visible" r:id="rId2"/>
    <sheet xmlns:r="http://schemas.openxmlformats.org/officeDocument/2006/relationships" name="Regulatory_Calendar" sheetId="3" state="visible" r:id="rId3"/>
    <sheet xmlns:r="http://schemas.openxmlformats.org/officeDocument/2006/relationships" name="Submission_Tracker" sheetId="4" state="visible" r:id="rId4"/>
    <sheet xmlns:r="http://schemas.openxmlformats.org/officeDocument/2006/relationships" name="Approval_Pipeline" sheetId="5" state="visible" r:id="rId5"/>
    <sheet xmlns:r="http://schemas.openxmlformats.org/officeDocument/2006/relationships" name="Regulator_Interactions" sheetId="6" state="visible" r:id="rId6"/>
    <sheet xmlns:r="http://schemas.openxmlformats.org/officeDocument/2006/relationships" name="Policy_Monitoring" sheetId="7" state="visible" r:id="rId7"/>
    <sheet xmlns:r="http://schemas.openxmlformats.org/officeDocument/2006/relationships" name="Translation_Tracker" sheetId="8" state="visible" r:id="rId8"/>
    <sheet xmlns:r="http://schemas.openxmlformats.org/officeDocument/2006/relationships" name="Reference_Lists" sheetId="9" state="visible" r:id="rId9"/>
    <sheet xmlns:r="http://schemas.openxmlformats.org/officeDocument/2006/relationships" name="Daily_Control_Tower" sheetId="10" state="visible" r:id="rId10"/>
    <sheet xmlns:r="http://schemas.openxmlformats.org/officeDocument/2006/relationships" name="Document_QC_Checklist" sheetId="11" state="visible" r:id="rId11"/>
    <sheet xmlns:r="http://schemas.openxmlformats.org/officeDocument/2006/relationships" name="Interview_Demo_Mode" sheetId="12" state="visible" r:id="rId12"/>
    <sheet xmlns:r="http://schemas.openxmlformats.org/officeDocument/2006/relationships" name="Regulator_CRM" sheetId="13" state="visible" r:id="rId13"/>
    <sheet xmlns:r="http://schemas.openxmlformats.org/officeDocument/2006/relationships" name="Knowledge_Base" sheetId="14" state="visible" r:id="rId14"/>
    <sheet xmlns:r="http://schemas.openxmlformats.org/officeDocument/2006/relationships" name="Workflow_Engine" sheetId="15" state="visible" r:id="rId15"/>
    <sheet xmlns:r="http://schemas.openxmlformats.org/officeDocument/2006/relationships" name="Executive_Brief" sheetId="16" state="visible" r:id="rId16"/>
    <sheet xmlns:r="http://schemas.openxmlformats.org/officeDocument/2006/relationships" name="Approval_Analytics" sheetId="17" state="visible" r:id="rId17"/>
    <sheet xmlns:r="http://schemas.openxmlformats.org/officeDocument/2006/relationships" name="PA_Scorecard" sheetId="18" state="visible" r:id="rId18"/>
    <sheet xmlns:r="http://schemas.openxmlformats.org/officeDocument/2006/relationships" name="Regulatory_Obligation_Register" sheetId="19" state="visible" r:id="rId19"/>
    <sheet xmlns:r="http://schemas.openxmlformats.org/officeDocument/2006/relationships" name="Regulatory_Response_Tracker" sheetId="20" state="visible" r:id="rId20"/>
    <sheet xmlns:r="http://schemas.openxmlformats.org/officeDocument/2006/relationships" name="Product_Approval_Command_Center" sheetId="21" state="visible" r:id="rId21"/>
    <sheet xmlns:r="http://schemas.openxmlformats.org/officeDocument/2006/relationships" name="Internal_Coordination_Tracker" sheetId="22" state="visible" r:id="rId22"/>
    <sheet xmlns:r="http://schemas.openxmlformats.org/officeDocument/2006/relationships" name="Meeting_Intelligence" sheetId="23" state="visible" r:id="rId23"/>
    <sheet xmlns:r="http://schemas.openxmlformats.org/officeDocument/2006/relationships" name="Inspection_Readiness" sheetId="24" state="visible" r:id="rId24"/>
    <sheet xmlns:r="http://schemas.openxmlformats.org/officeDocument/2006/relationships" name="Executive_Attention_Today" sheetId="25" state="visible" r:id="rId25"/>
    <sheet xmlns:r="http://schemas.openxmlformats.org/officeDocument/2006/relationships" name="Data_Dictionary_User_Guide" sheetId="26" state="visible" r:id="rId26"/>
    <sheet xmlns:r="http://schemas.openxmlformats.org/officeDocument/2006/relationships" name="SLA_Escalation_Rules" sheetId="27" state="visible" r:id="rId27"/>
    <sheet xmlns:r="http://schemas.openxmlformats.org/officeDocument/2006/relationships" name="Email_Template_Generator" sheetId="28" state="visible" r:id="rId28"/>
  </sheets>
  <definedNames/>
</workbook>
</file>

<file path=xl/styles.xml><?xml version="1.0" encoding="utf-8"?>
<styleSheet xmlns="http://schemas.openxmlformats.org/spreadsheetml/2006/main">
  <numFmts count="2">
    <numFmt numFmtId="164" formatCode="yyyy-mm-dd"/>
    <numFmt numFmtId="165" formatCode="yyyy-mm-dd h:mm:ss"/>
  </numFmts>
  <fonts count="11">
    <font>
      <name val="Carlito"/>
      <sz val="11"/>
    </font>
    <font>
      <name val="Carlito"/>
      <b val="1"/>
      <color rgb="00FFFFFF"/>
      <sz val="11"/>
    </font>
    <font>
      <name val="Carlito"/>
      <b val="1"/>
      <color rgb="00FFFFFF"/>
      <sz val="16"/>
    </font>
    <font>
      <name val="Carlito"/>
      <b val="1"/>
      <color rgb="00006B3F"/>
      <sz val="11"/>
    </font>
    <font>
      <name val="Carlito"/>
      <b val="1"/>
      <sz val="11"/>
    </font>
    <font>
      <name val="Carlito"/>
      <b val="1"/>
      <color rgb="00FFFFFF"/>
      <sz val="14"/>
    </font>
    <font>
      <name val="Carlito"/>
      <b val="1"/>
      <color rgb="00111827"/>
      <sz val="11"/>
    </font>
    <font>
      <name val="Carlito"/>
      <b val="1"/>
      <color rgb="00FFFFFF"/>
      <sz val="15"/>
    </font>
    <font>
      <name val="Carlito"/>
      <i val="1"/>
      <color rgb="00064E3B"/>
      <sz val="11"/>
    </font>
    <font>
      <name val="Carlito"/>
      <b val="1"/>
      <color rgb="0017365D"/>
      <sz val="11"/>
    </font>
    <font>
      <name val="Carlito"/>
      <b val="1"/>
      <color rgb="000F172A"/>
      <sz val="11"/>
    </font>
  </fonts>
  <fills count="19">
    <fill>
      <patternFill/>
    </fill>
    <fill>
      <patternFill patternType="gray125"/>
    </fill>
    <fill>
      <patternFill patternType="solid">
        <fgColor rgb="00006B3F"/>
      </patternFill>
    </fill>
    <fill>
      <patternFill patternType="solid">
        <fgColor rgb="00D9EAD3"/>
      </patternFill>
    </fill>
    <fill>
      <patternFill patternType="solid">
        <fgColor rgb="00FFF2CC"/>
      </patternFill>
    </fill>
    <fill>
      <patternFill patternType="solid">
        <fgColor rgb="000F172A"/>
      </patternFill>
    </fill>
    <fill>
      <patternFill patternType="solid">
        <fgColor rgb="00115E59"/>
      </patternFill>
    </fill>
    <fill>
      <patternFill patternType="solid">
        <fgColor rgb="000F766E"/>
      </patternFill>
    </fill>
    <fill>
      <patternFill patternType="solid">
        <fgColor rgb="000B1F3A"/>
      </patternFill>
    </fill>
    <fill>
      <patternFill patternType="solid">
        <fgColor rgb="00E5E7EB"/>
      </patternFill>
    </fill>
    <fill>
      <patternFill patternType="solid">
        <fgColor rgb="00064E3B"/>
      </patternFill>
    </fill>
    <fill>
      <patternFill patternType="solid">
        <fgColor rgb="00E0F2F1"/>
      </patternFill>
    </fill>
    <fill>
      <patternFill patternType="solid">
        <fgColor rgb="000F766E"/>
      </patternFill>
    </fill>
    <fill>
      <patternFill patternType="solid">
        <fgColor rgb="0017365D"/>
      </patternFill>
    </fill>
    <fill>
      <patternFill patternType="solid">
        <fgColor rgb="001F4E78"/>
      </patternFill>
    </fill>
    <fill>
      <patternFill patternType="solid">
        <fgColor rgb="00D9EAF7"/>
      </patternFill>
    </fill>
    <fill>
      <patternFill patternType="solid">
        <fgColor rgb="000F766E"/>
      </patternFill>
    </fill>
    <fill>
      <patternFill patternType="solid">
        <fgColor rgb="00E0F2FE"/>
      </patternFill>
    </fill>
    <fill>
      <patternFill patternType="solid">
        <fgColor rgb="000B1F3A"/>
      </patternFill>
    </fill>
  </fills>
  <borders count="2">
    <border/>
    <border/>
  </borders>
  <cellStyleXfs count="1">
    <xf numFmtId="0" fontId="0" fillId="0" borderId="1"/>
  </cellStyleXfs>
  <cellXfs count="14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164" fontId="0" fillId="0" borderId="0" applyAlignment="1" pivotButton="0" quotePrefix="0" xfId="0">
      <alignment wrapText="1"/>
    </xf>
    <xf numFmtId="164" fontId="0" fillId="0" borderId="1" applyAlignment="1" pivotButton="0" quotePrefix="0" xfId="0">
      <alignment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xf numFmtId="0" fontId="1" fillId="2" borderId="0" applyAlignment="1" pivotButton="0" quotePrefix="0" xfId="0">
      <alignment horizontal="center"/>
    </xf>
    <xf numFmtId="0" fontId="1" fillId="2" borderId="1" applyAlignment="1" pivotButton="0" quotePrefix="0" xfId="0">
      <alignment horizontal="center"/>
    </xf>
    <xf numFmtId="0" fontId="0" fillId="3" borderId="0" pivotButton="0" quotePrefix="0" xfId="0"/>
    <xf numFmtId="0" fontId="3" fillId="3" borderId="0" pivotButton="0" quotePrefix="0" xfId="0"/>
    <xf numFmtId="0" fontId="0" fillId="3" borderId="1" pivotButton="0" quotePrefix="0" xfId="0"/>
    <xf numFmtId="0" fontId="3" fillId="3" borderId="1" pivotButton="0" quotePrefix="0" xfId="0"/>
    <xf numFmtId="0" fontId="0" fillId="4" borderId="0" pivotButton="0" quotePrefix="0" xfId="0"/>
    <xf numFmtId="0" fontId="4" fillId="4" borderId="0" pivotButton="0" quotePrefix="0" xfId="0"/>
    <xf numFmtId="0" fontId="4" fillId="4" borderId="0" applyAlignment="1" pivotButton="0" quotePrefix="0" xfId="0">
      <alignment wrapText="1"/>
    </xf>
    <xf numFmtId="0" fontId="0" fillId="4" borderId="1" pivotButton="0" quotePrefix="0" xfId="0"/>
    <xf numFmtId="0" fontId="4" fillId="4" borderId="1" pivotButton="0" quotePrefix="0" xfId="0"/>
    <xf numFmtId="0" fontId="4" fillId="4" borderId="1" applyAlignment="1" pivotButton="0" quotePrefix="0" xfId="0">
      <alignment wrapText="1"/>
    </xf>
    <xf numFmtId="0" fontId="5" fillId="2" borderId="0" pivotButton="0" quotePrefix="0" xfId="0"/>
    <xf numFmtId="0" fontId="5" fillId="2" borderId="0" applyAlignment="1" pivotButton="0" quotePrefix="0" xfId="0">
      <alignment horizontal="center"/>
    </xf>
    <xf numFmtId="0" fontId="5" fillId="2" borderId="1" pivotButton="0" quotePrefix="0" xfId="0"/>
    <xf numFmtId="0" fontId="5" fillId="2" borderId="1" applyAlignment="1" pivotButton="0" quotePrefix="0" xfId="0">
      <alignment horizontal="center"/>
    </xf>
    <xf numFmtId="0" fontId="4" fillId="3" borderId="0" pivotButton="0" quotePrefix="0" xfId="0"/>
    <xf numFmtId="0" fontId="4" fillId="3" borderId="1" pivotButton="0" quotePrefix="0" xfId="0"/>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5" fillId="2" borderId="0" applyAlignment="1" pivotButton="0" quotePrefix="0" xfId="0">
      <alignment horizontal="center" wrapText="1"/>
    </xf>
    <xf numFmtId="0" fontId="5" fillId="2" borderId="1" applyAlignment="1" pivotButton="0" quotePrefix="0" xfId="0">
      <alignment horizontal="center" wrapText="1"/>
    </xf>
    <xf numFmtId="0" fontId="0" fillId="0" borderId="0"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center"/>
    </xf>
    <xf numFmtId="0" fontId="5" fillId="5" borderId="0" applyAlignment="1" pivotButton="0" quotePrefix="0" xfId="0">
      <alignment horizontal="center" vertical="center"/>
    </xf>
    <xf numFmtId="0" fontId="0" fillId="6" borderId="0" pivotButton="0" quotePrefix="0" xfId="0"/>
    <xf numFmtId="0" fontId="1" fillId="6" borderId="0" pivotButton="0" quotePrefix="0" xfId="0"/>
    <xf numFmtId="0" fontId="1" fillId="6" borderId="0" applyAlignment="1" pivotButton="0" quotePrefix="0" xfId="0">
      <alignment wrapText="1"/>
    </xf>
    <xf numFmtId="0" fontId="1" fillId="6" borderId="0" applyAlignment="1" pivotButton="0" quotePrefix="0" xfId="0">
      <alignment horizontal="center" wrapText="1"/>
    </xf>
    <xf numFmtId="0" fontId="1" fillId="6" borderId="0" applyAlignment="1" pivotButton="0" quotePrefix="0" xfId="0">
      <alignment horizontal="center" vertical="center" wrapText="1"/>
    </xf>
    <xf numFmtId="1" fontId="0" fillId="0" borderId="0" pivotButton="0" quotePrefix="0" xfId="0"/>
    <xf numFmtId="164" fontId="0" fillId="0" borderId="0" pivotButton="0" quotePrefix="0" xfId="0"/>
    <xf numFmtId="1" fontId="4" fillId="0" borderId="0" pivotButton="0" quotePrefix="0" xfId="0"/>
    <xf numFmtId="1" fontId="4" fillId="0" borderId="0" applyAlignment="1" pivotButton="0" quotePrefix="0" xfId="0">
      <alignment horizontal="center"/>
    </xf>
    <xf numFmtId="0" fontId="0" fillId="7" borderId="0" pivotButton="0" quotePrefix="0" xfId="0"/>
    <xf numFmtId="0" fontId="1" fillId="7" borderId="0" pivotButton="0" quotePrefix="0" xfId="0"/>
    <xf numFmtId="0" fontId="1" fillId="7" borderId="0" applyAlignment="1" pivotButton="0" quotePrefix="0" xfId="0">
      <alignment wrapText="1"/>
    </xf>
    <xf numFmtId="0" fontId="0" fillId="8" borderId="0" pivotButton="0" quotePrefix="0" xfId="0"/>
    <xf numFmtId="0" fontId="5" fillId="8" borderId="0" pivotButton="0" quotePrefix="0" xfId="0"/>
    <xf numFmtId="0" fontId="5" fillId="8" borderId="0" applyAlignment="1" pivotButton="0" quotePrefix="0" xfId="0">
      <alignment horizontal="center"/>
    </xf>
    <xf numFmtId="0" fontId="5" fillId="8" borderId="0" applyAlignment="1" pivotButton="0" quotePrefix="0" xfId="0">
      <alignment horizontal="center" vertical="center"/>
    </xf>
    <xf numFmtId="0" fontId="0" fillId="9" borderId="0" pivotButton="0" quotePrefix="0" xfId="0"/>
    <xf numFmtId="0" fontId="6" fillId="9" borderId="0" pivotButton="0" quotePrefix="0" xfId="0"/>
    <xf numFmtId="0" fontId="6" fillId="9" borderId="0" applyAlignment="1" pivotButton="0" quotePrefix="0" xfId="0">
      <alignment wrapText="1"/>
    </xf>
    <xf numFmtId="0" fontId="6" fillId="9" borderId="0" applyAlignment="1" pivotButton="0" quotePrefix="0" xfId="0">
      <alignment horizontal="center" wrapText="1"/>
    </xf>
    <xf numFmtId="0" fontId="6" fillId="9" borderId="0" applyAlignment="1" pivotButton="0" quotePrefix="0" xfId="0">
      <alignment horizontal="center" vertical="center" wrapText="1"/>
    </xf>
    <xf numFmtId="0" fontId="5" fillId="8" borderId="0" applyAlignment="1" pivotButton="0" quotePrefix="0" xfId="0">
      <alignment horizontal="center" vertical="center" wrapText="1"/>
    </xf>
    <xf numFmtId="9" fontId="0" fillId="0" borderId="0"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0" fillId="10" borderId="0" pivotButton="0" quotePrefix="0" xfId="0"/>
    <xf numFmtId="0" fontId="7" fillId="10" borderId="0" pivotButton="0" quotePrefix="0" xfId="0"/>
    <xf numFmtId="0" fontId="7" fillId="10" borderId="0" applyAlignment="1" pivotButton="0" quotePrefix="0" xfId="0">
      <alignment horizontal="center"/>
    </xf>
    <xf numFmtId="0" fontId="7" fillId="10" borderId="0" applyAlignment="1" pivotButton="0" quotePrefix="0" xfId="0">
      <alignment horizontal="center" vertical="center"/>
    </xf>
    <xf numFmtId="0" fontId="0" fillId="11" borderId="0" pivotButton="0" quotePrefix="0" xfId="0"/>
    <xf numFmtId="0" fontId="8" fillId="11" borderId="0" pivotButton="0" quotePrefix="0" xfId="0"/>
    <xf numFmtId="0" fontId="8" fillId="11" borderId="0" applyAlignment="1" pivotButton="0" quotePrefix="0" xfId="0">
      <alignment horizontal="center"/>
    </xf>
    <xf numFmtId="0" fontId="8" fillId="11" borderId="0" applyAlignment="1" pivotButton="0" quotePrefix="0" xfId="0">
      <alignment horizontal="center" vertical="center"/>
    </xf>
    <xf numFmtId="0" fontId="0" fillId="12" borderId="0" pivotButton="0" quotePrefix="0" xfId="0"/>
    <xf numFmtId="0" fontId="1" fillId="12" borderId="0" pivotButton="0" quotePrefix="0" xfId="0"/>
    <xf numFmtId="0" fontId="1" fillId="12" borderId="0" applyAlignment="1" pivotButton="0" quotePrefix="0" xfId="0">
      <alignment wrapText="1"/>
    </xf>
    <xf numFmtId="0" fontId="1" fillId="12" borderId="0" applyAlignment="1" pivotButton="0" quotePrefix="0" xfId="0">
      <alignment horizontal="center" wrapText="1"/>
    </xf>
    <xf numFmtId="0" fontId="1" fillId="1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0" fontId="7" fillId="10" borderId="0" applyAlignment="1" pivotButton="0" quotePrefix="0" xfId="0">
      <alignment horizontal="center" vertical="center" wrapText="1"/>
    </xf>
    <xf numFmtId="0" fontId="7" fillId="10" borderId="0" applyAlignment="1" pivotButton="0" quotePrefix="0" xfId="0">
      <alignment horizontal="center" vertical="top" wrapText="1"/>
    </xf>
    <xf numFmtId="0" fontId="1" fillId="7" borderId="0" applyAlignment="1" pivotButton="0" quotePrefix="0" xfId="0">
      <alignment horizontal="center" wrapText="1"/>
    </xf>
    <xf numFmtId="0" fontId="1" fillId="7" borderId="0" applyAlignment="1" pivotButton="0" quotePrefix="0" xfId="0">
      <alignment horizontal="center" vertical="center" wrapText="1"/>
    </xf>
    <xf numFmtId="0" fontId="0" fillId="13" borderId="0" pivotButton="0" quotePrefix="0" xfId="0"/>
    <xf numFmtId="0" fontId="5" fillId="13" borderId="0" pivotButton="0" quotePrefix="0" xfId="0"/>
    <xf numFmtId="0" fontId="5" fillId="13" borderId="0" applyAlignment="1" pivotButton="0" quotePrefix="0" xfId="0">
      <alignment horizontal="center"/>
    </xf>
    <xf numFmtId="0" fontId="5" fillId="13" borderId="0" applyAlignment="1" pivotButton="0" quotePrefix="0" xfId="0">
      <alignment horizontal="center" vertical="center"/>
    </xf>
    <xf numFmtId="0" fontId="0" fillId="14" borderId="0" pivotButton="0" quotePrefix="0" xfId="0"/>
    <xf numFmtId="0" fontId="1" fillId="14" borderId="0" pivotButton="0" quotePrefix="0" xfId="0"/>
    <xf numFmtId="0" fontId="1" fillId="14" borderId="0" applyAlignment="1" pivotButton="0" quotePrefix="0" xfId="0">
      <alignment wrapText="1"/>
    </xf>
    <xf numFmtId="0" fontId="1" fillId="14" borderId="0" applyAlignment="1" pivotButton="0" quotePrefix="0" xfId="0">
      <alignment horizontal="center" wrapText="1"/>
    </xf>
    <xf numFmtId="0" fontId="1" fillId="14" borderId="0" applyAlignment="1" pivotButton="0" quotePrefix="0" xfId="0">
      <alignment horizontal="center" vertical="center" wrapText="1"/>
    </xf>
    <xf numFmtId="0" fontId="0" fillId="15" borderId="0" pivotButton="0" quotePrefix="0" xfId="0"/>
    <xf numFmtId="0" fontId="9" fillId="15" borderId="0" pivotButton="0" quotePrefix="0" xfId="0"/>
    <xf numFmtId="0" fontId="9" fillId="15" borderId="0" applyAlignment="1" pivotButton="0" quotePrefix="0" xfId="0">
      <alignment wrapText="1"/>
    </xf>
    <xf numFmtId="0" fontId="0" fillId="16" borderId="0" pivotButton="0" quotePrefix="0" xfId="0"/>
    <xf numFmtId="0" fontId="5" fillId="16" borderId="0" pivotButton="0" quotePrefix="0" xfId="0"/>
    <xf numFmtId="0" fontId="5" fillId="16" borderId="0" applyAlignment="1" pivotButton="0" quotePrefix="0" xfId="0">
      <alignment horizontal="left"/>
    </xf>
    <xf numFmtId="0" fontId="5" fillId="16" borderId="0" applyAlignment="1" pivotButton="0" quotePrefix="0" xfId="0">
      <alignment horizontal="left" vertical="center"/>
    </xf>
    <xf numFmtId="0" fontId="0" fillId="17" borderId="0" pivotButton="0" quotePrefix="0" xfId="0"/>
    <xf numFmtId="0" fontId="10" fillId="17" borderId="0" pivotButton="0" quotePrefix="0" xfId="0"/>
    <xf numFmtId="0" fontId="10" fillId="17" borderId="0" applyAlignment="1" pivotButton="0" quotePrefix="0" xfId="0">
      <alignment horizontal="left"/>
    </xf>
    <xf numFmtId="0" fontId="10" fillId="17" borderId="0" applyAlignment="1" pivotButton="0" quotePrefix="0" xfId="0">
      <alignment horizontal="left" vertical="center"/>
    </xf>
    <xf numFmtId="0" fontId="0" fillId="18" borderId="0" pivotButton="0" quotePrefix="0" xfId="0"/>
    <xf numFmtId="0" fontId="1" fillId="18" borderId="0" pivotButton="0" quotePrefix="0" xfId="0"/>
    <xf numFmtId="0" fontId="1" fillId="18" borderId="0" applyAlignment="1" pivotButton="0" quotePrefix="0" xfId="0">
      <alignment horizontal="center"/>
    </xf>
    <xf numFmtId="0" fontId="1" fillId="18" borderId="0" applyAlignment="1" pivotButton="0" quotePrefix="0" xfId="0">
      <alignment horizontal="center" vertical="center"/>
    </xf>
    <xf numFmtId="0" fontId="5" fillId="16" borderId="0" applyAlignment="1" pivotButton="0" quotePrefix="0" xfId="0">
      <alignment horizontal="left" vertical="center" wrapText="1"/>
    </xf>
    <xf numFmtId="0" fontId="10" fillId="17" borderId="0" applyAlignment="1" pivotButton="0" quotePrefix="0" xfId="0">
      <alignment horizontal="left" vertical="center" wrapText="1"/>
    </xf>
    <xf numFmtId="0" fontId="1" fillId="18" borderId="0" applyAlignment="1" pivotButton="0" quotePrefix="0" xfId="0">
      <alignment horizontal="center" vertical="center" wrapText="1"/>
    </xf>
    <xf numFmtId="0" fontId="0" fillId="18" borderId="0" applyAlignment="1" pivotButton="0" quotePrefix="0" xfId="0">
      <alignment wrapText="1"/>
    </xf>
    <xf numFmtId="0" fontId="1" fillId="18" borderId="0" applyAlignment="1" pivotButton="0" quotePrefix="0" xfId="0">
      <alignment wrapText="1"/>
    </xf>
    <xf numFmtId="0" fontId="1" fillId="18" borderId="0" applyAlignment="1" pivotButton="0" quotePrefix="0" xfId="0">
      <alignment horizontal="center" wrapText="1"/>
    </xf>
    <xf numFmtId="164" fontId="0" fillId="0" borderId="0" applyAlignment="1" pivotButton="0" quotePrefix="0" xfId="0">
      <alignment wrapText="1"/>
    </xf>
    <xf numFmtId="0" fontId="1" fillId="2" borderId="0" applyAlignment="1" pivotButton="0" quotePrefix="0" xfId="0">
      <alignment horizontal="center" vertical="top" wrapText="1"/>
    </xf>
    <xf numFmtId="165" fontId="0" fillId="0" borderId="0" applyAlignment="1" pivotButton="0" quotePrefix="0" xfId="0">
      <alignment vertical="top" wrapText="1"/>
    </xf>
    <xf numFmtId="0" fontId="5" fillId="5" borderId="1" applyAlignment="1" pivotButton="0" quotePrefix="0" xfId="0">
      <alignment horizontal="center" vertical="center"/>
    </xf>
    <xf numFmtId="1" fontId="4" fillId="0" borderId="0" applyAlignment="1" pivotButton="0" quotePrefix="0" xfId="0">
      <alignment horizontal="center"/>
    </xf>
    <xf numFmtId="164" fontId="0" fillId="0" borderId="0" pivotButton="0" quotePrefix="0" xfId="0"/>
    <xf numFmtId="1" fontId="0" fillId="0" borderId="0" pivotButton="0" quotePrefix="0" xfId="0"/>
    <xf numFmtId="0" fontId="5" fillId="5" borderId="1" applyAlignment="1" pivotButton="0" quotePrefix="0" xfId="0">
      <alignment horizontal="center" vertical="top" wrapText="1"/>
    </xf>
    <xf numFmtId="0" fontId="0" fillId="0" borderId="1" applyAlignment="1" pivotButton="0" quotePrefix="0" xfId="0">
      <alignment vertical="top" wrapText="1"/>
    </xf>
    <xf numFmtId="0" fontId="1" fillId="6" borderId="0" applyAlignment="1" pivotButton="0" quotePrefix="0" xfId="0">
      <alignment horizontal="center" vertical="top" wrapText="1"/>
    </xf>
    <xf numFmtId="0" fontId="5" fillId="8" borderId="1" applyAlignment="1" pivotButton="0" quotePrefix="0" xfId="0">
      <alignment horizontal="center" vertical="top" wrapText="1"/>
    </xf>
    <xf numFmtId="0" fontId="6" fillId="9" borderId="0" applyAlignment="1" pivotButton="0" quotePrefix="0" xfId="0">
      <alignment horizontal="center" vertical="top" wrapText="1"/>
    </xf>
    <xf numFmtId="0" fontId="5" fillId="8" borderId="1" applyAlignment="1" pivotButton="0" quotePrefix="0" xfId="0">
      <alignment horizontal="center" vertical="center" wrapText="1"/>
    </xf>
    <xf numFmtId="1" fontId="0" fillId="0" borderId="0" applyAlignment="1" pivotButton="0" quotePrefix="0" xfId="0">
      <alignment wrapText="1"/>
    </xf>
    <xf numFmtId="9" fontId="0" fillId="0" borderId="0" applyAlignment="1" pivotButton="0" quotePrefix="0" xfId="0">
      <alignment wrapText="1"/>
    </xf>
    <xf numFmtId="0" fontId="7" fillId="10" borderId="1" applyAlignment="1" pivotButton="0" quotePrefix="0" xfId="0">
      <alignment horizontal="center" vertical="top" wrapText="1"/>
    </xf>
    <xf numFmtId="0" fontId="8" fillId="11" borderId="1" applyAlignment="1" pivotButton="0" quotePrefix="0" xfId="0">
      <alignment horizontal="center" vertical="center"/>
    </xf>
    <xf numFmtId="164" fontId="0" fillId="0" borderId="0" applyAlignment="1" pivotButton="0" quotePrefix="0" xfId="0">
      <alignment vertical="top" wrapText="1"/>
    </xf>
    <xf numFmtId="1" fontId="0" fillId="0" borderId="0" applyAlignment="1" pivotButton="0" quotePrefix="0" xfId="0">
      <alignment vertical="top" wrapText="1"/>
    </xf>
    <xf numFmtId="0" fontId="8" fillId="11" borderId="1" applyAlignment="1" pivotButton="0" quotePrefix="0" xfId="0">
      <alignment horizontal="center" vertical="top" wrapText="1"/>
    </xf>
    <xf numFmtId="0" fontId="1" fillId="12" borderId="0" applyAlignment="1" pivotButton="0" quotePrefix="0" xfId="0">
      <alignment horizontal="center" vertical="top" wrapText="1"/>
    </xf>
    <xf numFmtId="0" fontId="5" fillId="13" borderId="1" applyAlignment="1" pivotButton="0" quotePrefix="0" xfId="0">
      <alignment horizontal="center" vertical="center"/>
    </xf>
    <xf numFmtId="0" fontId="5" fillId="16" borderId="1" applyAlignment="1" pivotButton="0" quotePrefix="0" xfId="0">
      <alignment horizontal="left" vertical="center" wrapText="1"/>
    </xf>
    <xf numFmtId="0" fontId="10" fillId="17" borderId="1" applyAlignment="1" pivotButton="0" quotePrefix="0" xfId="0">
      <alignment horizontal="left" vertical="center" wrapText="1"/>
    </xf>
  </cellXfs>
  <cellStyles count="1">
    <cellStyle name="Normal" xfId="0"/>
  </cellStyles>
  <dxfs count="27">
    <dxf>
      <font>
        <b val="1"/>
        <color rgb="00990000"/>
      </font>
      <fill>
        <patternFill>
          <bgColor rgb="00F4CCCC"/>
        </patternFill>
      </fill>
    </dxf>
    <dxf>
      <font>
        <b val="1"/>
        <color rgb="007F6000"/>
      </font>
      <fill>
        <patternFill>
          <bgColor rgb="00FFF2CC"/>
        </patternFill>
      </fill>
    </dxf>
    <dxf>
      <font>
        <b val="1"/>
        <color rgb="00990000"/>
      </font>
      <fill>
        <patternFill>
          <bgColor rgb="00F4CCCC"/>
        </patternFill>
      </fill>
    </dxf>
    <dxf>
      <font>
        <b val="1"/>
        <color rgb="00991B1B"/>
      </font>
      <fill>
        <patternFill>
          <bgColor rgb="00FECACA"/>
        </patternFill>
      </fill>
    </dxf>
    <dxf>
      <font>
        <b val="1"/>
        <color rgb="00991B1B"/>
      </font>
      <fill>
        <patternFill>
          <bgColor rgb="00FECACA"/>
        </patternFill>
      </fill>
    </dxf>
    <dxf>
      <font>
        <b val="1"/>
        <color rgb="0092400E"/>
      </font>
      <fill>
        <patternFill>
          <bgColor rgb="00FEF3C7"/>
        </patternFill>
      </fill>
    </dxf>
    <dxf>
      <font>
        <b val="1"/>
        <color rgb="00166534"/>
      </font>
      <fill>
        <patternFill>
          <bgColor rgb="00DCFCE7"/>
        </patternFill>
      </fill>
    </dxf>
    <dxf>
      <fill>
        <patternFill>
          <bgColor rgb="00FECACA"/>
        </patternFill>
      </fill>
    </dxf>
    <dxf>
      <fill>
        <patternFill>
          <bgColor rgb="00FECACA"/>
        </patternFill>
      </fill>
    </dxf>
    <dxf>
      <font>
        <b val="1"/>
        <color rgb="00991B1B"/>
      </font>
      <fill>
        <patternFill>
          <bgColor rgb="00FECACA"/>
        </patternFill>
      </fill>
    </dxf>
    <dxf>
      <font>
        <b val="1"/>
        <color rgb="0092400E"/>
      </font>
      <fill>
        <patternFill>
          <bgColor rgb="00FEF3C7"/>
        </patternFill>
      </fill>
    </dxf>
    <dxf>
      <font>
        <b val="1"/>
        <color rgb="00166534"/>
      </font>
      <fill>
        <patternFill>
          <bgColor rgb="00DCFCE7"/>
        </patternFill>
      </fill>
    </dxf>
    <dxf>
      <font>
        <b val="1"/>
        <color rgb="00991B1B"/>
      </font>
      <fill>
        <patternFill>
          <bgColor rgb="00FECACA"/>
        </patternFill>
      </fill>
    </dxf>
    <dxf>
      <font>
        <b val="1"/>
        <color rgb="0092400E"/>
      </font>
      <fill>
        <patternFill>
          <bgColor rgb="00FEF3C7"/>
        </patternFill>
      </fill>
    </dxf>
    <dxf>
      <font>
        <b val="1"/>
        <color rgb="00991B1B"/>
      </font>
      <fill>
        <patternFill>
          <bgColor rgb="00FECACA"/>
        </patternFill>
      </fill>
    </dxf>
    <dxf>
      <font>
        <b val="1"/>
        <color rgb="0092400E"/>
      </font>
      <fill>
        <patternFill>
          <bgColor rgb="00FEF3C7"/>
        </patternFill>
      </fill>
    </dxf>
    <dxf>
      <font>
        <b val="1"/>
        <color rgb="00991B1B"/>
      </font>
      <fill>
        <patternFill>
          <bgColor rgb="00FECACA"/>
        </patternFill>
      </fill>
    </dxf>
    <dxf>
      <font>
        <b val="1"/>
        <color rgb="00991B1B"/>
      </font>
      <fill>
        <patternFill>
          <bgColor rgb="00FECACA"/>
        </patternFill>
      </fill>
    </dxf>
    <dxf>
      <font>
        <b val="1"/>
        <color rgb="00991B1B"/>
      </font>
      <fill>
        <patternFill>
          <bgColor rgb="00FECACA"/>
        </patternFill>
      </fill>
    </dxf>
    <dxf>
      <font>
        <b val="1"/>
        <color rgb="0092400E"/>
      </font>
      <fill>
        <patternFill>
          <bgColor rgb="00FEF3C7"/>
        </patternFill>
      </fill>
    </dxf>
    <dxf>
      <font>
        <b val="1"/>
        <color rgb="00991B1B"/>
      </font>
      <fill>
        <patternFill>
          <bgColor rgb="00FECACA"/>
        </patternFill>
      </fill>
    </dxf>
    <dxf>
      <font>
        <b val="1"/>
        <color rgb="0092400E"/>
      </font>
      <fill>
        <patternFill>
          <bgColor rgb="00FEF3C7"/>
        </patternFill>
      </fill>
    </dxf>
    <dxf>
      <font>
        <b val="1"/>
        <color rgb="00991B1B"/>
      </font>
      <fill>
        <patternFill patternType="solid">
          <bgColor rgb="00FECACA"/>
        </patternFill>
      </fill>
    </dxf>
    <dxf>
      <font>
        <b val="1"/>
        <color rgb="0092400E"/>
      </font>
      <fill>
        <patternFill patternType="solid">
          <bgColor rgb="00FEF3C7"/>
        </patternFill>
      </fill>
    </dxf>
    <dxf>
      <font>
        <b val="1"/>
        <color rgb="00991B1B"/>
      </font>
      <fill>
        <patternFill patternType="solid">
          <bgColor rgb="00FECACA"/>
        </patternFill>
      </fill>
    </dxf>
    <dxf>
      <font>
        <b val="1"/>
        <color rgb="00991B1B"/>
      </font>
      <fill>
        <patternFill patternType="solid">
          <bgColor rgb="00FECACA"/>
        </patternFill>
      </fill>
    </dxf>
    <dxf>
      <font>
        <b val="1"/>
        <color rgb="0092400E"/>
      </font>
      <fill>
        <patternFill patternType="solid">
          <bgColor rgb="00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Executive KPI Snapshot</a:t>
            </a:r>
          </a:p>
        </rich>
      </tx>
      <overlay val="0"/>
    </title>
    <plotArea>
      <layout/>
      <barChart>
        <barDir val="col"/>
        <grouping val="clustered"/>
        <varyColors val="0"/>
        <ser>
          <idx val="0"/>
          <order val="0"/>
          <tx>
            <v>Series 1</v>
          </tx>
          <spPr>
            <a:ln xmlns:a="http://schemas.openxmlformats.org/drawingml/2006/main">
              <a:prstDash val="solid"/>
            </a:ln>
          </spPr>
          <cat>
            <strRef>
              <f>'Executive_Dashboard'!$A$4:$A$11</f>
              <strCache>
                <ptCount val="0"/>
              </strCache>
            </strRef>
          </cat>
          <val>
            <numRef>
              <f>'Executive_Dashboard'!$B$4:$B$11</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Policy Risk Score by Policy</a:t>
            </a:r>
          </a:p>
        </rich>
      </tx>
      <overlay val="0"/>
    </title>
    <plotArea>
      <layout/>
      <barChart>
        <barDir val="col"/>
        <grouping val="clustered"/>
        <varyColors val="0"/>
        <ser>
          <idx val="0"/>
          <order val="0"/>
          <tx>
            <v>Policy / Regulation</v>
          </tx>
          <spPr>
            <a:ln xmlns:a="http://schemas.openxmlformats.org/drawingml/2006/main">
              <a:prstDash val="solid"/>
            </a:ln>
          </spPr>
          <cat>
            <strRef>
              <f>'Policy_Monitoring'!$A$2:$A$11</f>
              <strCache>
                <ptCount val="0"/>
              </strCache>
            </strRef>
          </cat>
          <val>
            <numRef>
              <f>'Policy_Monitoring'!$B$2:$B$11</f>
              <numCache>
                <ptCount val="0"/>
              </numCache>
            </numRef>
          </val>
        </ser>
        <ser>
          <idx val="1"/>
          <order val="1"/>
          <tx>
            <v>Agency</v>
          </tx>
          <spPr>
            <a:ln xmlns:a="http://schemas.openxmlformats.org/drawingml/2006/main">
              <a:prstDash val="solid"/>
            </a:ln>
          </spPr>
          <cat>
            <strRef>
              <f>'Policy_Monitoring'!$A$2:$A$11</f>
              <strCache>
                <ptCount val="0"/>
              </strCache>
            </strRef>
          </cat>
          <val>
            <numRef>
              <f>'Policy_Monitoring'!$C$2:$C$11</f>
              <numCache>
                <ptCount val="0"/>
              </numCache>
            </numRef>
          </val>
        </ser>
        <ser>
          <idx val="2"/>
          <order val="2"/>
          <tx>
            <v>Policy Stage</v>
          </tx>
          <spPr>
            <a:ln xmlns:a="http://schemas.openxmlformats.org/drawingml/2006/main">
              <a:prstDash val="solid"/>
            </a:ln>
          </spPr>
          <cat>
            <strRef>
              <f>'Policy_Monitoring'!$A$2:$A$11</f>
              <strCache>
                <ptCount val="0"/>
              </strCache>
            </strRef>
          </cat>
          <val>
            <numRef>
              <f>'Policy_Monitoring'!$D$2:$D$11</f>
              <numCache>
                <ptCount val="0"/>
              </numCache>
            </numRef>
          </val>
        </ser>
        <ser>
          <idx val="3"/>
          <order val="3"/>
          <tx>
            <v>Expected Timeline</v>
          </tx>
          <spPr>
            <a:ln xmlns:a="http://schemas.openxmlformats.org/drawingml/2006/main">
              <a:prstDash val="solid"/>
            </a:ln>
          </spPr>
          <cat>
            <strRef>
              <f>'Policy_Monitoring'!$A$2:$A$11</f>
              <strCache>
                <ptCount val="0"/>
              </strCache>
            </strRef>
          </cat>
          <val>
            <numRef>
              <f>'Policy_Monitoring'!$E$2:$E$11</f>
              <numCache>
                <ptCount val="0"/>
              </numCache>
            </numRef>
          </val>
        </ser>
        <ser>
          <idx val="4"/>
          <order val="4"/>
          <tx>
            <v>Probability (%)</v>
          </tx>
          <spPr>
            <a:ln xmlns:a="http://schemas.openxmlformats.org/drawingml/2006/main">
              <a:prstDash val="solid"/>
            </a:ln>
          </spPr>
          <cat>
            <strRef>
              <f>'Policy_Monitoring'!$A$2:$A$11</f>
              <strCache>
                <ptCount val="0"/>
              </strCache>
            </strRef>
          </cat>
          <val>
            <numRef>
              <f>'Policy_Monitoring'!$F$2:$F$11</f>
              <numCache>
                <ptCount val="0"/>
              </numCache>
            </numRef>
          </val>
        </ser>
        <ser>
          <idx val="5"/>
          <order val="5"/>
          <tx>
            <v>Business Impact (1-5)</v>
          </tx>
          <spPr>
            <a:ln xmlns:a="http://schemas.openxmlformats.org/drawingml/2006/main">
              <a:prstDash val="solid"/>
            </a:ln>
          </spPr>
          <cat>
            <strRef>
              <f>'Policy_Monitoring'!$A$2:$A$11</f>
              <strCache>
                <ptCount val="0"/>
              </strCache>
            </strRef>
          </cat>
          <val>
            <numRef>
              <f>'Policy_Monitoring'!$G$2:$G$11</f>
              <numCache>
                <ptCount val="0"/>
              </numCache>
            </numRef>
          </val>
        </ser>
        <ser>
          <idx val="6"/>
          <order val="6"/>
          <tx>
            <v>Reputation Impact (1-5)</v>
          </tx>
          <spPr>
            <a:ln xmlns:a="http://schemas.openxmlformats.org/drawingml/2006/main">
              <a:prstDash val="solid"/>
            </a:ln>
          </spPr>
          <cat>
            <strRef>
              <f>'Policy_Monitoring'!$A$2:$A$11</f>
              <strCache>
                <ptCount val="0"/>
              </strCache>
            </strRef>
          </cat>
          <val>
            <numRef>
              <f>'Policy_Monitoring'!$H$2:$H$11</f>
              <numCache>
                <ptCount val="0"/>
              </numCache>
            </numRef>
          </val>
        </ser>
        <ser>
          <idx val="7"/>
          <order val="7"/>
          <tx>
            <v>Risk Score</v>
          </tx>
          <spPr>
            <a:ln xmlns:a="http://schemas.openxmlformats.org/drawingml/2006/main">
              <a:prstDash val="solid"/>
            </a:ln>
          </spPr>
          <cat>
            <strRef>
              <f>'Policy_Monitoring'!$A$2:$A$11</f>
              <strCache>
                <ptCount val="0"/>
              </strCache>
            </strRef>
          </cat>
          <val>
            <numRef>
              <f>'Policy_Monitoring'!$I$2:$I$11</f>
              <numCach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from>
      <col>5</col>
      <colOff>0</colOff>
      <row>2</row>
      <rowOff>0</rowOff>
    </from>
    <to>
      <col>13</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13</col>
      <colOff>0</colOff>
      <row>1</row>
      <rowOff>0</rowOff>
    </from>
    <to>
      <col>22</col>
      <colOff>0</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RegCalendar" displayName="RegCalendar" ref="A1:K31" headerRowCount="1">
  <tableColumns count="11">
    <tableColumn id="1" name="Obligation ID"/>
    <tableColumn id="2" name="Report / Obligation"/>
    <tableColumn id="3" name="Regulator"/>
    <tableColumn id="4" name="Frequency"/>
    <tableColumn id="5" name="Owner Dept"/>
    <tableColumn id="6" name="Due Date"/>
    <tableColumn id="7" name="Days to Due"/>
    <tableColumn id="8" name="Status"/>
    <tableColumn id="9" name="Quality Check"/>
    <tableColumn id="10" name="Escalation"/>
    <tableColumn id="11" name="Notes"/>
  </tableColumns>
  <tableStyleInfo name="TableStyleMedium2" showRowStripes="1"/>
</table>
</file>

<file path=xl/tables/table2.xml><?xml version="1.0" encoding="utf-8"?>
<table xmlns="http://schemas.openxmlformats.org/spreadsheetml/2006/main" id="2" name="SubmissionTable" displayName="SubmissionTable" ref="A1:M61" headerRowCount="1">
  <tableColumns count="13">
    <tableColumn id="1" name="Submission ID"/>
    <tableColumn id="2" name="Document / Request"/>
    <tableColumn id="3" name="Regulator"/>
    <tableColumn id="4" name="Submission Type"/>
    <tableColumn id="5" name="Owner Dept"/>
    <tableColumn id="6" name="Received Date"/>
    <tableColumn id="7" name="Submission Due Date"/>
    <tableColumn id="8" name="Submitted Date"/>
    <tableColumn id="9" name="Status"/>
    <tableColumn id="10" name="Lead Time Days"/>
    <tableColumn id="11" name="Checklist Complete"/>
    <tableColumn id="12" name="Risk Level"/>
    <tableColumn id="13" name="Next Action"/>
  </tableColumns>
  <tableStyleInfo name="TableStyleMedium2" showRowStripes="1"/>
</table>
</file>

<file path=xl/tables/table3.xml><?xml version="1.0" encoding="utf-8"?>
<table xmlns="http://schemas.openxmlformats.org/spreadsheetml/2006/main" id="3" name="ApprovalTable" displayName="ApprovalTable" ref="A1:M26" headerRowCount="1">
  <tableColumns count="13">
    <tableColumn id="1" name="Approval ID"/>
    <tableColumn id="2" name="Approval Item"/>
    <tableColumn id="3" name="Category"/>
    <tableColumn id="4" name="Regulator"/>
    <tableColumn id="5" name="Business Owner"/>
    <tableColumn id="6" name="Current Stage"/>
    <tableColumn id="7" name="Request Date"/>
    <tableColumn id="8" name="Target Approval Date"/>
    <tableColumn id="9" name="Days in Pipeline"/>
    <tableColumn id="10" name="Probability of Approval (%)"/>
    <tableColumn id="11" name="Business Impact"/>
    <tableColumn id="12" name="Blocker"/>
    <tableColumn id="13" name="Next Action"/>
  </tableColumns>
  <tableStyleInfo name="TableStyleMedium2" showRowStripes="1"/>
</table>
</file>

<file path=xl/tables/table4.xml><?xml version="1.0" encoding="utf-8"?>
<table xmlns="http://schemas.openxmlformats.org/spreadsheetml/2006/main" id="4" name="InteractionTable" displayName="InteractionTable" ref="A1:K49" headerRowCount="1">
  <tableColumns count="11">
    <tableColumn id="1" name="Interaction ID"/>
    <tableColumn id="2" name="Date"/>
    <tableColumn id="3" name="Regulator"/>
    <tableColumn id="4" name="Person / Unit"/>
    <tableColumn id="5" name="Topic"/>
    <tableColumn id="6" name="Interaction Type"/>
    <tableColumn id="7" name="Tone"/>
    <tableColumn id="8" name="Key Message"/>
    <tableColumn id="9" name="Follow-up Owner"/>
    <tableColumn id="10" name="Follow-up Due"/>
    <tableColumn id="11" name="Status"/>
  </tableColumns>
  <tableStyleInfo name="TableStyleMedium2" showRowStripes="1"/>
</table>
</file>

<file path=xl/tables/table5.xml><?xml version="1.0" encoding="utf-8"?>
<table xmlns="http://schemas.openxmlformats.org/spreadsheetml/2006/main" id="5" name="PolicyTable" displayName="PolicyTable" ref="A1:L11" headerRowCount="1">
  <tableColumns count="12">
    <tableColumn id="1" name="Policy ID"/>
    <tableColumn id="2" name="Policy / Regulation"/>
    <tableColumn id="3" name="Agency"/>
    <tableColumn id="4" name="Policy Stage"/>
    <tableColumn id="5" name="Expected Timeline"/>
    <tableColumn id="6" name="Probability (%)"/>
    <tableColumn id="7" name="Business Impact (1-5)"/>
    <tableColumn id="8" name="Reputation Impact (1-5)"/>
    <tableColumn id="9" name="Risk Score"/>
    <tableColumn id="10" name="Opportunity"/>
    <tableColumn id="11" name="Recommended Action"/>
    <tableColumn id="12" name="Owner"/>
  </tableColumns>
  <tableStyleInfo name="TableStyleMedium2" showRowStripes="1"/>
</table>
</file>

<file path=xl/tables/table6.xml><?xml version="1.0" encoding="utf-8"?>
<table xmlns="http://schemas.openxmlformats.org/spreadsheetml/2006/main" id="6" name="TranslationTable" displayName="TranslationTable" ref="A1:I21" headerRowCount="1">
  <tableColumns count="9">
    <tableColumn id="1" name="Document ID"/>
    <tableColumn id="2" name="Document Name"/>
    <tableColumn id="3" name="Direction"/>
    <tableColumn id="4" name="Owner"/>
    <tableColumn id="5" name="Received Date"/>
    <tableColumn id="6" name="Due Date"/>
    <tableColumn id="7" name="Status"/>
    <tableColumn id="8" name="SLA Days"/>
    <tableColumn id="9" name="Notes"/>
  </tableColumns>
  <tableStyleInfo name="TableStyleMedium2" showRowStripes="1"/>
</table>
</file>

<file path=xl/tables/table7.xml><?xml version="1.0" encoding="utf-8"?>
<table xmlns="http://schemas.openxmlformats.org/spreadsheetml/2006/main" id="7" name="RegulatorCRMTable" displayName="RegulatorCRMTable" ref="A3:J9" headerRowCount="1">
  <tableColumns count="10">
    <tableColumn id="1" name="Regulator"/>
    <tableColumn id="2" name="Mandate / Role"/>
    <tableColumn id="3" name="Key Units / Contact Point"/>
    <tableColumn id="4" name="Relationship Strength (1-5)"/>
    <tableColumn id="5" name="Sentiment"/>
    <tableColumn id="6" name="Open Issues"/>
    <tableColumn id="7" name="Pending Requests"/>
    <tableColumn id="8" name="Next Engagement"/>
    <tableColumn id="9" name="Engagement Owner"/>
    <tableColumn id="10" name="Institutional Memory Note"/>
  </tableColumns>
  <tableStyleInfo name="TableStyleMedium2" showRowStripes="1"/>
</table>
</file>

<file path=xl/tables/table8.xml><?xml version="1.0" encoding="utf-8"?>
<table xmlns="http://schemas.openxmlformats.org/spreadsheetml/2006/main" id="8" name="KnowledgeBaseTable" displayName="KnowledgeBaseTable" ref="A3:J9" headerRowCount="1">
  <tableColumns count="10">
    <tableColumn id="1" name="Topic / Regulation"/>
    <tableColumn id="2" name="Agency"/>
    <tableColumn id="3" name="Summary"/>
    <tableColumn id="4" name="Key Obligations"/>
    <tableColumn id="5" name="Impact on Manulife"/>
    <tableColumn id="6" name="Affected Departments"/>
    <tableColumn id="7" name="Required Actions"/>
    <tableColumn id="8" name="Status"/>
    <tableColumn id="9" name="Owner"/>
    <tableColumn id="10" name="Review Frequency"/>
  </tableColumns>
  <tableStyleInfo name="TableStyleMedium2" showRowStripes="1"/>
</table>
</file>

<file path=xl/tables/table9.xml><?xml version="1.0" encoding="utf-8"?>
<table xmlns="http://schemas.openxmlformats.org/spreadsheetml/2006/main" id="9" name="WorkflowEngineTable" displayName="WorkflowEngineTable" ref="A3:J13" headerRowCount="1">
  <tableColumns count="10">
    <tableColumn id="1" name="Workflow ID"/>
    <tableColumn id="2" name="Workflow Name"/>
    <tableColumn id="3" name="Stage"/>
    <tableColumn id="4" name="Owner"/>
    <tableColumn id="5" name="SLA Days"/>
    <tableColumn id="6" name="Status"/>
    <tableColumn id="7" name="Bottleneck"/>
    <tableColumn id="8" name="Next Action"/>
    <tableColumn id="9" name="Regulator / Audience"/>
    <tableColumn id="10" name="Control Point"/>
  </tableColumns>
  <tableStyleInfo name="TableStyleMedium2" showRowStripes="1"/>
</table>
</file>

<file path=xl/tables/table10.xml><?xml version="1.0" encoding="utf-8"?>
<table xmlns="http://schemas.openxmlformats.org/spreadsheetml/2006/main" id="10" name="ExecutiveBriefTable" displayName="ExecutiveBriefTable" ref="A3:I5" headerRowCount="1">
  <tableColumns count="9">
    <tableColumn id="1" name="Brief Date"/>
    <tableColumn id="2" name="Audience"/>
    <tableColumn id="3" name="Executive Summary"/>
    <tableColumn id="4" name="Top Deadline"/>
    <tableColumn id="5" name="Top Risk"/>
    <tableColumn id="6" name="Key Regulator Interaction"/>
    <tableColumn id="7" name="Documents Not Ready"/>
    <tableColumn id="8" name="Next 7-Day Priorities"/>
    <tableColumn id="9" name="Prepared By"/>
  </tableColumns>
  <tableStyleInfo name="TableStyleMedium2" showRowStripes="1"/>
</table>
</file>

<file path=xl/tables/table11.xml><?xml version="1.0" encoding="utf-8"?>
<table xmlns="http://schemas.openxmlformats.org/spreadsheetml/2006/main" id="11" name="ApprovalAnalyticsTable" displayName="ApprovalAnalyticsTable" ref="A3:I8" headerRowCount="1">
  <tableColumns count="9">
    <tableColumn id="1" name="Regulator"/>
    <tableColumn id="2" name="Approval Type"/>
    <tableColumn id="3" name="No. of Cases"/>
    <tableColumn id="4" name="Avg Days to Approval"/>
    <tableColumn id="5" name="Median Days"/>
    <tableColumn id="6" name="Longest Open Case"/>
    <tableColumn id="7" name="Expected Approval Time Next Case"/>
    <tableColumn id="8" name="Bottleneck"/>
    <tableColumn id="9" name="Recommended Improvement"/>
  </tableColumns>
  <tableStyleInfo name="TableStyleMedium2" showRowStripes="1"/>
</table>
</file>

<file path=xl/tables/table12.xml><?xml version="1.0" encoding="utf-8"?>
<table xmlns="http://schemas.openxmlformats.org/spreadsheetml/2006/main" id="12" name="PAScorecardTable" displayName="PAScorecardTable" ref="A3:H10" headerRowCount="1">
  <tableColumns count="8">
    <tableColumn id="1" name="KPI Area"/>
    <tableColumn id="2" name="Metric"/>
    <tableColumn id="3" name="Target"/>
    <tableColumn id="4" name="Current"/>
    <tableColumn id="5" name="Gap"/>
    <tableColumn id="6" name="RAG Status"/>
    <tableColumn id="7" name="Interpretation"/>
    <tableColumn id="8" name="Owner"/>
  </tableColumns>
  <tableStyleInfo name="TableStyleMedium2" showRowStripes="1"/>
</table>
</file>

<file path=xl/tables/table13.xml><?xml version="1.0" encoding="utf-8"?>
<table xmlns="http://schemas.openxmlformats.org/spreadsheetml/2006/main" id="13" name="RegulatoryObligationRegister" displayName="RegulatoryObligationRegister" ref="A4:P14" headerRowCount="1">
  <tableColumns count="16">
    <tableColumn id="1" name="Obligation ID"/>
    <tableColumn id="2" name="Obligation"/>
    <tableColumn id="3" name="Regulator"/>
    <tableColumn id="4" name="Legal Basis / Source"/>
    <tableColumn id="5" name="Frequency"/>
    <tableColumn id="6" name="Owner Dept"/>
    <tableColumn id="7" name="Submission Channel"/>
    <tableColumn id="8" name="Due Rule"/>
    <tableColumn id="9" name="Next Due Date"/>
    <tableColumn id="10" name="Penalty / Consequence"/>
    <tableColumn id="11" name="Criticality"/>
    <tableColumn id="12" name="Evidence Required"/>
    <tableColumn id="13" name="Control Owner"/>
    <tableColumn id="14" name="Status"/>
    <tableColumn id="15" name="Days to Due"/>
    <tableColumn id="16" name="RAG"/>
  </tableColumns>
  <tableStyleInfo name="TableStyleMedium2" showRowStripes="1"/>
</table>
</file>

<file path=xl/tables/table14.xml><?xml version="1.0" encoding="utf-8"?>
<table xmlns="http://schemas.openxmlformats.org/spreadsheetml/2006/main" id="14" name="RegulatoryResponseTracker" displayName="RegulatoryResponseTracker" ref="A4:N11" headerRowCount="1">
  <tableColumns count="14">
    <tableColumn id="1" name="Ref No"/>
    <tableColumn id="2" name="Date Received / Sent"/>
    <tableColumn id="3" name="Direction"/>
    <tableColumn id="4" name="Regulator"/>
    <tableColumn id="5" name="Topic"/>
    <tableColumn id="6" name="Linked Obligation / Submission"/>
    <tableColumn id="7" name="Internal Owner"/>
    <tableColumn id="8" name="Response Due Date"/>
    <tableColumn id="9" name="Status"/>
    <tableColumn id="10" name="Response Sent Date"/>
    <tableColumn id="11" name="Days Open"/>
    <tableColumn id="12" name="SLA Status"/>
    <tableColumn id="13" name="Next Action"/>
    <tableColumn id="14" name="Archive Location"/>
  </tableColumns>
  <tableStyleInfo name="TableStyleMedium2" showRowStripes="1"/>
</table>
</file>

<file path=xl/tables/table15.xml><?xml version="1.0" encoding="utf-8"?>
<table xmlns="http://schemas.openxmlformats.org/spreadsheetml/2006/main" id="15" name="ProductApprovalCommandCenter" displayName="ProductApprovalCommandCenter" ref="A4:N10" headerRowCount="1">
  <tableColumns count="14">
    <tableColumn id="1" name="Product ID"/>
    <tableColumn id="2" name="Product Name"/>
    <tableColumn id="3" name="Product Type"/>
    <tableColumn id="4" name="Business Owner"/>
    <tableColumn id="5" name="Regulator"/>
    <tableColumn id="6" name="Current Stage"/>
    <tableColumn id="7" name="Request Date"/>
    <tableColumn id="8" name="Submitted Date"/>
    <tableColumn id="9" name="Target Approval Date"/>
    <tableColumn id="10" name="Expected Approval Days"/>
    <tableColumn id="11" name="Actual Approval Date"/>
    <tableColumn id="12" name="Bottleneck"/>
    <tableColumn id="13" name="Approval Risk"/>
    <tableColumn id="14" name="Next Action"/>
  </tableColumns>
  <tableStyleInfo name="TableStyleMedium2" showRowStripes="1"/>
</table>
</file>

<file path=xl/tables/table16.xml><?xml version="1.0" encoding="utf-8"?>
<table xmlns="http://schemas.openxmlformats.org/spreadsheetml/2006/main" id="16" name="InternalCoordinationTracker" displayName="InternalCoordinationTracker" ref="A4:M11" headerRowCount="1">
  <tableColumns count="13">
    <tableColumn id="1" name="Item ID"/>
    <tableColumn id="2" name="Department"/>
    <tableColumn id="3" name="Request / Input Needed"/>
    <tableColumn id="4" name="Linked Matter"/>
    <tableColumn id="5" name="Request Date"/>
    <tableColumn id="6" name="Due Date"/>
    <tableColumn id="7" name="SLA Days"/>
    <tableColumn id="8" name="Owner"/>
    <tableColumn id="9" name="Status"/>
    <tableColumn id="10" name="Escalation"/>
    <tableColumn id="11" name="Days to Due"/>
    <tableColumn id="12" name="Reminder Sent"/>
    <tableColumn id="13" name="Management Attention"/>
  </tableColumns>
  <tableStyleInfo name="TableStyleMedium2" showRowStripes="1"/>
</table>
</file>

<file path=xl/tables/table17.xml><?xml version="1.0" encoding="utf-8"?>
<table xmlns="http://schemas.openxmlformats.org/spreadsheetml/2006/main" id="17" name="MeetingIntelligence" displayName="MeetingIntelligence" ref="A4:O8" headerRowCount="1">
  <tableColumns count="15">
    <tableColumn id="1" name="Meeting ID"/>
    <tableColumn id="2" name="Date"/>
    <tableColumn id="3" name="Regulator"/>
    <tableColumn id="4" name="Topic"/>
    <tableColumn id="5" name="Meeting Type"/>
    <tableColumn id="6" name="Pre-Meeting Objective"/>
    <tableColumn id="7" name="Key Talking Points"/>
    <tableColumn id="8" name="Potential Regulator Questions"/>
    <tableColumn id="9" name="Recommended Position"/>
    <tableColumn id="10" name="Commitments Made"/>
    <tableColumn id="11" name="Action Owner"/>
    <tableColumn id="12" name="Action Due Date"/>
    <tableColumn id="13" name="Status"/>
    <tableColumn id="14" name="Institutional Memory Note"/>
    <tableColumn id="15" name="Linked Documents"/>
  </tableColumns>
  <tableStyleInfo name="TableStyleMedium2" showRowStripes="1"/>
</table>
</file>

<file path=xl/tables/table18.xml><?xml version="1.0" encoding="utf-8"?>
<table xmlns="http://schemas.openxmlformats.org/spreadsheetml/2006/main" id="18" name="InspectionReadiness" displayName="InspectionReadiness" ref="A4:K10" headerRowCount="1">
  <tableColumns count="11">
    <tableColumn id="1" name="Area"/>
    <tableColumn id="2" name="Regulator Focus"/>
    <tableColumn id="3" name="Required Evidence"/>
    <tableColumn id="4" name="Owner"/>
    <tableColumn id="5" name="Last Review Date"/>
    <tableColumn id="6" name="Readiness Score (0-100)"/>
    <tableColumn id="7" name="Gap"/>
    <tableColumn id="8" name="Remediation Action"/>
    <tableColumn id="9" name="Due Date"/>
    <tableColumn id="10" name="Status"/>
    <tableColumn id="11" name="RAG"/>
  </tableColumns>
  <tableStyleInfo name="TableStyleMedium2" showRowStripes="1"/>
</table>
</file>

<file path=xl/tables/table19.xml><?xml version="1.0" encoding="utf-8"?>
<table xmlns="http://schemas.openxmlformats.org/spreadsheetml/2006/main" id="19" name="ExecutiveAttentionToday" displayName="ExecutiveAttentionToday" ref="A4:H9" headerRowCount="1">
  <tableColumns count="8">
    <tableColumn id="1" name="Priority"/>
    <tableColumn id="2" name="Item"/>
    <tableColumn id="3" name="Source Module"/>
    <tableColumn id="4" name="Owner"/>
    <tableColumn id="5" name="Due Date"/>
    <tableColumn id="6" name="Why It Matters"/>
    <tableColumn id="7" name="Recommended Decision / Action"/>
    <tableColumn id="8" name="Status"/>
  </tableColumns>
  <tableStyleInfo name="TableStyleMedium2" showRowStripes="1"/>
</table>
</file>

<file path=xl/tables/table20.xml><?xml version="1.0" encoding="utf-8"?>
<table xmlns="http://schemas.openxmlformats.org/spreadsheetml/2006/main" id="20" name="DataDictionaryTable" displayName="DataDictionaryTable" ref="A3:H22" headerRowCount="1">
  <tableColumns count="8">
    <tableColumn id="1" name="Sheet / Module"/>
    <tableColumn id="2" name="Purpose"/>
    <tableColumn id="3" name="Primary User"/>
    <tableColumn id="4" name="Update Frequency"/>
    <tableColumn id="5" name="Key Inputs"/>
    <tableColumn id="6" name="Key Outputs"/>
    <tableColumn id="7" name="Typical KPI"/>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5.xml" Id="rId2"/></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table" Target="/xl/tables/table7.xml" Id="rId1"/></Relationships>
</file>

<file path=xl/worksheets/_rels/sheet14.xml.rels><Relationships xmlns="http://schemas.openxmlformats.org/package/2006/relationships"><Relationship Type="http://schemas.openxmlformats.org/officeDocument/2006/relationships/table" Target="/xl/tables/table8.xml" Id="rId1"/></Relationships>
</file>

<file path=xl/worksheets/_rels/sheet15.xml.rels><Relationships xmlns="http://schemas.openxmlformats.org/package/2006/relationships"><Relationship Type="http://schemas.openxmlformats.org/officeDocument/2006/relationships/table" Target="/xl/tables/table9.xml" Id="rId1"/></Relationships>
</file>

<file path=xl/worksheets/_rels/sheet16.xml.rels><Relationships xmlns="http://schemas.openxmlformats.org/package/2006/relationships"><Relationship Type="http://schemas.openxmlformats.org/officeDocument/2006/relationships/table" Target="/xl/tables/table10.xml" Id="rId1"/></Relationships>
</file>

<file path=xl/worksheets/_rels/sheet17.xml.rels><Relationships xmlns="http://schemas.openxmlformats.org/package/2006/relationships"><Relationship Type="http://schemas.openxmlformats.org/officeDocument/2006/relationships/table" Target="/xl/tables/table11.xml" Id="rId1"/></Relationships>
</file>

<file path=xl/worksheets/_rels/sheet18.xml.rels><Relationships xmlns="http://schemas.openxmlformats.org/package/2006/relationships"><Relationship Type="http://schemas.openxmlformats.org/officeDocument/2006/relationships/table" Target="/xl/tables/table12.xml" Id="rId1"/></Relationships>
</file>

<file path=xl/worksheets/_rels/sheet19.xml.rels><Relationships xmlns="http://schemas.openxmlformats.org/package/2006/relationships"><Relationship Type="http://schemas.openxmlformats.org/officeDocument/2006/relationships/table" Target="/xl/tables/table13.xml" Id="rId1"/></Relationships>
</file>

<file path=xl/worksheets/_rels/sheet20.xml.rels><Relationships xmlns="http://schemas.openxmlformats.org/package/2006/relationships"><Relationship Type="http://schemas.openxmlformats.org/officeDocument/2006/relationships/table" Target="/xl/tables/table14.xml" Id="rId1"/></Relationships>
</file>

<file path=xl/worksheets/_rels/sheet21.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5.xml.rels><Relationships xmlns="http://schemas.openxmlformats.org/package/2006/relationships"><Relationship Type="http://schemas.openxmlformats.org/officeDocument/2006/relationships/table" Target="/xl/tables/table19.xml" Id="rId1"/></Relationships>
</file>

<file path=xl/worksheets/_rels/sheet26.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5" customWidth="1" style="44" min="1" max="1"/>
    <col width="35" customWidth="1" style="44" min="2" max="2"/>
  </cols>
  <sheetData>
    <row r="1">
      <c r="A1" t="inlineStr">
        <is>
          <t>Consolidated Version</t>
        </is>
      </c>
      <c r="B1" t="inlineStr">
        <is>
          <t>v8 lean / JD-fit</t>
        </is>
      </c>
    </row>
    <row r="2">
      <c r="A2" t="inlineStr">
        <is>
          <t>Purpose</t>
        </is>
      </c>
      <c r="B2" t="inlineStr">
        <is>
          <t>Remove duplicate sheets and simplify Streamlit dashboard tabs while preserving content in core sheets.</t>
        </is>
      </c>
    </row>
    <row r="4">
      <c r="A4" t="inlineStr">
        <is>
          <t>Removed Sheet</t>
        </is>
      </c>
      <c r="B4" t="inlineStr">
        <is>
          <t>Merged Into</t>
        </is>
      </c>
    </row>
    <row r="5">
      <c r="A5" t="inlineStr">
        <is>
          <t>Meeting_Brief</t>
        </is>
      </c>
      <c r="B5" t="inlineStr">
        <is>
          <t>Meeting_Intelligence</t>
        </is>
      </c>
    </row>
    <row r="6">
      <c r="A6" t="inlineStr">
        <is>
          <t>Regional_Report_Pack</t>
        </is>
      </c>
      <c r="B6" t="inlineStr">
        <is>
          <t>Executive_Brief</t>
        </is>
      </c>
    </row>
    <row r="7">
      <c r="A7" t="inlineStr">
        <is>
          <t>Monthly_RO_Report_Generator</t>
        </is>
      </c>
      <c r="B7" t="inlineStr">
        <is>
          <t>Executive_Brief</t>
        </is>
      </c>
    </row>
    <row r="8">
      <c r="A8" t="inlineStr">
        <is>
          <t>Relationship_Intelligence</t>
        </is>
      </c>
      <c r="B8" t="inlineStr">
        <is>
          <t>Regulator_CRM</t>
        </is>
      </c>
    </row>
    <row r="9">
      <c r="A9" t="inlineStr">
        <is>
          <t>Risk_Radar</t>
        </is>
      </c>
      <c r="B9" t="inlineStr">
        <is>
          <t>Policy_Monitoring</t>
        </is>
      </c>
    </row>
    <row r="10">
      <c r="A10" t="inlineStr">
        <is>
          <t>Regulatory_News_Feed</t>
        </is>
      </c>
      <c r="B10" t="inlineStr">
        <is>
          <t>Policy_Monitoring</t>
        </is>
      </c>
    </row>
    <row r="11">
      <c r="A11" t="inlineStr">
        <is>
          <t>Interview_Story_Mode</t>
        </is>
      </c>
      <c r="B11" t="inlineStr">
        <is>
          <t>Interview_Demo_Mode</t>
        </is>
      </c>
    </row>
    <row r="12">
      <c r="A12" t="inlineStr">
        <is>
          <t>Demo_Script_Mode</t>
        </is>
      </c>
      <c r="B12" t="inlineStr">
        <is>
          <t>Interview_Demo_Mode</t>
        </is>
      </c>
    </row>
    <row r="13">
      <c r="A13" t="inlineStr">
        <is>
          <t>Version_Change_Log</t>
        </is>
      </c>
      <c r="B13" t="inlineStr">
        <is>
          <t>Removed</t>
        </is>
      </c>
    </row>
    <row r="14">
      <c r="A14" t="inlineStr">
        <is>
          <t>Excel_Streamlit_Integration</t>
        </is>
      </c>
      <c r="B14" t="inlineStr">
        <is>
          <t>Removed from dashboard / concept retained in user guide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
  <sheetViews>
    <sheetView workbookViewId="0">
      <selection activeCell="A1" sqref="A1"/>
    </sheetView>
  </sheetViews>
  <sheetFormatPr baseColWidth="8" defaultRowHeight="15"/>
  <cols>
    <col width="161.9100036621094" customWidth="1" style="44" min="1" max="1"/>
    <col width="47.90999984741211" customWidth="1" style="44" min="2" max="2"/>
    <col width="37.95000076293945" customWidth="1" style="44" min="3" max="3"/>
    <col width="27.98999977111816" customWidth="1" style="44" min="4" max="4"/>
  </cols>
  <sheetData>
    <row r="1" ht="30" customHeight="1" s="44">
      <c r="A1" s="41" t="inlineStr">
        <is>
          <t>Manulife Vietnam Regulatory &amp; Public Affairs Command Center v4.0 (v3 fully inherited + v4 modules added)</t>
        </is>
      </c>
      <c r="B1" s="1" t="n"/>
      <c r="C1" s="1" t="n"/>
      <c r="D1" s="1" t="n"/>
      <c r="E1" s="1" t="n"/>
      <c r="F1" s="1" t="n"/>
      <c r="G1" s="1" t="n"/>
      <c r="H1" s="1" t="n"/>
      <c r="I1" s="12" t="n"/>
      <c r="J1" s="12" t="n"/>
      <c r="K1" s="12" t="n"/>
      <c r="L1" s="12" t="n"/>
      <c r="M1" s="12" t="n"/>
      <c r="N1" s="12" t="n"/>
      <c r="O1" s="12" t="n"/>
      <c r="P1" s="12" t="n"/>
      <c r="Q1" s="12" t="n"/>
      <c r="R1" s="12" t="n"/>
      <c r="S1" s="12" t="n"/>
      <c r="T1" s="12" t="n"/>
      <c r="U1" s="12" t="n"/>
      <c r="V1" s="12" t="n"/>
      <c r="W1" s="12" t="n"/>
      <c r="X1" s="12" t="n"/>
      <c r="Y1" s="12" t="n"/>
      <c r="Z1" s="12" t="n"/>
    </row>
    <row r="3">
      <c r="A3" s="22" t="inlineStr">
        <is>
          <t>KPI</t>
        </is>
      </c>
      <c r="B3" s="22" t="inlineStr">
        <is>
          <t>Value</t>
        </is>
      </c>
      <c r="C3" s="22" t="inlineStr">
        <is>
          <t>Interpretation</t>
        </is>
      </c>
      <c r="D3" s="22" t="inlineStr">
        <is>
          <t>Formula / Source</t>
        </is>
      </c>
    </row>
    <row r="4">
      <c r="A4" t="inlineStr">
        <is>
          <t>Reports due in 7 days</t>
        </is>
      </c>
      <c r="B4">
        <f>COUNTIF(Regulatory_Calendar!H2:H31,"Due Soon")</f>
        <v/>
      </c>
      <c r="C4" t="inlineStr">
        <is>
          <t>Deadline pressure</t>
        </is>
      </c>
      <c r="D4" t="inlineStr">
        <is>
          <t>Regulatory_Calendar</t>
        </is>
      </c>
    </row>
    <row r="5">
      <c r="A5" t="inlineStr">
        <is>
          <t>Overdue reports</t>
        </is>
      </c>
      <c r="B5">
        <f>COUNTIF(Regulatory_Calendar!H2:H31,"Overdue")</f>
        <v/>
      </c>
      <c r="C5" t="inlineStr">
        <is>
          <t>Needs escalation</t>
        </is>
      </c>
      <c r="D5" t="inlineStr">
        <is>
          <t>Regulatory_Calendar</t>
        </is>
      </c>
    </row>
    <row r="6">
      <c r="A6" t="inlineStr">
        <is>
          <t>Pending submissions</t>
        </is>
      </c>
      <c r="B6">
        <f>COUNTIFS(Submission_Tracker!I2:I61,"&lt;&gt;Submitted",Submission_Tracker!I2:I61,"&lt;&gt;Approved")</f>
        <v/>
      </c>
      <c r="C6" t="inlineStr">
        <is>
          <t>Open workload</t>
        </is>
      </c>
      <c r="D6" t="inlineStr">
        <is>
          <t>Submission_Tracker</t>
        </is>
      </c>
    </row>
    <row r="7">
      <c r="A7" t="inlineStr">
        <is>
          <t>Pending approvals</t>
        </is>
      </c>
      <c r="B7">
        <f>COUNTIFS(Approval_Pipeline!F2:F26,"&lt;&gt;Approved",Approval_Pipeline!F2:F26,"&lt;&gt;Rejected/Withdrawn")</f>
        <v/>
      </c>
      <c r="C7" t="inlineStr">
        <is>
          <t>Regulatory pipeline</t>
        </is>
      </c>
      <c r="D7" t="inlineStr">
        <is>
          <t>Approval_Pipeline</t>
        </is>
      </c>
    </row>
    <row r="8">
      <c r="A8" t="inlineStr">
        <is>
          <t>High policy risk items</t>
        </is>
      </c>
      <c r="B8">
        <f>COUNTIF(Policy_Monitoring!I2:I11,"&gt;=10")</f>
        <v/>
      </c>
      <c r="C8" t="inlineStr">
        <is>
          <t>Early warning</t>
        </is>
      </c>
      <c r="D8" t="inlineStr">
        <is>
          <t>Policy_Monitoring</t>
        </is>
      </c>
    </row>
    <row r="9">
      <c r="A9" t="inlineStr">
        <is>
          <t>Average relationship strength</t>
        </is>
      </c>
      <c r="B9">
        <f>ROUND(AVERAGE(Relationship_Intelligence!D2:D7),2)</f>
        <v/>
      </c>
      <c r="C9" t="inlineStr">
        <is>
          <t>Regulator trust base</t>
        </is>
      </c>
      <c r="D9" t="inlineStr">
        <is>
          <t>Relationship_Intelligence</t>
        </is>
      </c>
    </row>
    <row r="10">
      <c r="A10" t="inlineStr">
        <is>
          <t>Open follow-ups</t>
        </is>
      </c>
      <c r="B10">
        <f>COUNTIF(Regulator_Interactions!K2:K49,"Open")</f>
        <v/>
      </c>
      <c r="C10" t="inlineStr">
        <is>
          <t>Action discipline</t>
        </is>
      </c>
      <c r="D10" t="inlineStr">
        <is>
          <t>Regulator_Interactions</t>
        </is>
      </c>
    </row>
    <row r="11">
      <c r="A11" t="inlineStr">
        <is>
          <t>Translation overdue</t>
        </is>
      </c>
      <c r="B11">
        <f>COUNTIF(Translation_Tracker!G2:G21,"Overdue")</f>
        <v/>
      </c>
      <c r="C11" t="inlineStr">
        <is>
          <t>Operational support</t>
        </is>
      </c>
      <c r="D11" t="inlineStr">
        <is>
          <t>Translation_Tracker</t>
        </is>
      </c>
    </row>
    <row r="13">
      <c r="A13" s="27" t="inlineStr">
        <is>
          <t>Recommended Weekly Operating Rhythm</t>
        </is>
      </c>
      <c r="B13" s="1" t="n"/>
      <c r="C13" s="1" t="n"/>
      <c r="D13" s="1" t="n"/>
    </row>
    <row r="14">
      <c r="A14" s="3" t="inlineStr">
        <is>
          <t>Day</t>
        </is>
      </c>
      <c r="B14" s="3" t="inlineStr">
        <is>
          <t>Action</t>
        </is>
      </c>
      <c r="C14" s="3" t="inlineStr">
        <is>
          <t>Output</t>
        </is>
      </c>
      <c r="D14" s="3" t="inlineStr">
        <is>
          <t>Owner</t>
        </is>
      </c>
    </row>
    <row r="15">
      <c r="A15" t="inlineStr">
        <is>
          <t>Monday</t>
        </is>
      </c>
      <c r="B15" t="inlineStr">
        <is>
          <t>Review deadline dashboard and overdue items</t>
        </is>
      </c>
      <c r="C15" t="inlineStr">
        <is>
          <t>Escalation list</t>
        </is>
      </c>
      <c r="D15" t="inlineStr">
        <is>
          <t>Public Affairs</t>
        </is>
      </c>
    </row>
    <row r="16">
      <c r="A16" t="inlineStr">
        <is>
          <t>Tuesday</t>
        </is>
      </c>
      <c r="B16" t="inlineStr">
        <is>
          <t>Policy monitoring and regulator news scan</t>
        </is>
      </c>
      <c r="C16" t="inlineStr">
        <is>
          <t>Policy radar memo</t>
        </is>
      </c>
      <c r="D16" t="inlineStr">
        <is>
          <t>Public Affairs</t>
        </is>
      </c>
    </row>
    <row r="17">
      <c r="A17" t="inlineStr">
        <is>
          <t>Wednesday</t>
        </is>
      </c>
      <c r="B17" t="inlineStr">
        <is>
          <t>Check submission quality and internal follow-up</t>
        </is>
      </c>
      <c r="C17" t="inlineStr">
        <is>
          <t>Submission status update</t>
        </is>
      </c>
      <c r="D17" t="inlineStr">
        <is>
          <t>Legal/Compliance/Business</t>
        </is>
      </c>
    </row>
    <row r="18">
      <c r="A18" t="inlineStr">
        <is>
          <t>Thursday</t>
        </is>
      </c>
      <c r="B18" t="inlineStr">
        <is>
          <t>Prepare meeting briefs and regulator interaction notes</t>
        </is>
      </c>
      <c r="C18" t="inlineStr">
        <is>
          <t>Briefing pack</t>
        </is>
      </c>
      <c r="D18" t="inlineStr">
        <is>
          <t>Public Affairs</t>
        </is>
      </c>
    </row>
    <row r="19">
      <c r="A19" t="inlineStr">
        <is>
          <t>Friday</t>
        </is>
      </c>
      <c r="B19" t="inlineStr">
        <is>
          <t>Regional Office reporting pack</t>
        </is>
      </c>
      <c r="C19" t="inlineStr">
        <is>
          <t>Weekly regulatory update</t>
        </is>
      </c>
      <c r="D19" t="inlineStr">
        <is>
          <t>Public Affairs</t>
        </is>
      </c>
    </row>
    <row r="21">
      <c r="A21" s="33" t="inlineStr">
        <is>
          <t>How this model fits the JD: reporting documents, regulatory research, deadline reminders, official letter quality review, approvals support, regulator interactions, meeting logistics, translation tracker.</t>
        </is>
      </c>
      <c r="B21" s="1" t="n"/>
      <c r="C21" s="1" t="n"/>
      <c r="D21" s="1" t="n"/>
      <c r="E21" s="1" t="n"/>
      <c r="F21" s="1" t="n"/>
      <c r="G21" s="1" t="n"/>
      <c r="H21" s="1" t="n"/>
    </row>
    <row r="23">
      <c r="A23" s="60" t="inlineStr">
        <is>
          <t>v4 Add-on Modules</t>
        </is>
      </c>
      <c r="B23" s="60" t="inlineStr">
        <is>
          <t>Purpose</t>
        </is>
      </c>
      <c r="C23" s="60" t="inlineStr">
        <is>
          <t>Primary Output</t>
        </is>
      </c>
      <c r="D23" s="60" t="inlineStr">
        <is>
          <t>How Streamlit Uses It</t>
        </is>
      </c>
    </row>
    <row r="24">
      <c r="A24" s="12" t="inlineStr">
        <is>
          <t>Regulator CRM</t>
        </is>
      </c>
      <c r="B24" s="12" t="inlineStr">
        <is>
          <t>Create institutional memory for MOF/ISA/IAV/MIC/SBV/VCA</t>
        </is>
      </c>
      <c r="C24" s="12" t="inlineStr">
        <is>
          <t>Regulator profile, open issues, relationship plan</t>
        </is>
      </c>
      <c r="D24" s="12" t="inlineStr">
        <is>
          <t>CRM tab + relationship drilldown</t>
        </is>
      </c>
    </row>
    <row r="25">
      <c r="A25" s="12" t="inlineStr">
        <is>
          <t>Knowledge Base</t>
        </is>
      </c>
      <c r="B25" s="12" t="inlineStr">
        <is>
          <t>Store summaries of key laws/circulars and obligations</t>
        </is>
      </c>
      <c r="C25" s="12" t="inlineStr">
        <is>
          <t>Key obligations and affected departments</t>
        </is>
      </c>
      <c r="D25" s="12" t="inlineStr">
        <is>
          <t>Knowledge Base AI-lite tab</t>
        </is>
      </c>
    </row>
    <row r="26">
      <c r="A26" s="12" t="inlineStr">
        <is>
          <t>Workflow Engine</t>
        </is>
      </c>
      <c r="B26" s="12" t="inlineStr">
        <is>
          <t>Standardize request-to-submission process</t>
        </is>
      </c>
      <c r="C26" s="12" t="inlineStr">
        <is>
          <t>Workflow stage, owner, SLA and bottlenecks</t>
        </is>
      </c>
      <c r="D26" s="12" t="inlineStr">
        <is>
          <t>Approval/Submission workflow tab</t>
        </is>
      </c>
    </row>
    <row r="27">
      <c r="A27" s="12" t="inlineStr">
        <is>
          <t>Executive Brief Generator</t>
        </is>
      </c>
      <c r="B27" s="12" t="inlineStr">
        <is>
          <t>Generate 30-second daily/weekly regulatory brief</t>
        </is>
      </c>
      <c r="C27" s="12" t="inlineStr">
        <is>
          <t>CEO/EMT style brief</t>
        </is>
      </c>
      <c r="D27" s="12" t="inlineStr">
        <is>
          <t>Executive Brief tab</t>
        </is>
      </c>
    </row>
    <row r="28">
      <c r="A28" s="12" t="inlineStr">
        <is>
          <t>Approval Time Analytics</t>
        </is>
      </c>
      <c r="B28" s="12" t="inlineStr">
        <is>
          <t>Analyze average regulator approval time</t>
        </is>
      </c>
      <c r="C28" s="12" t="inlineStr">
        <is>
          <t>Lead-time benchmarks and bottlenecks</t>
        </is>
      </c>
      <c r="D28" s="12" t="inlineStr">
        <is>
          <t>Approval Analytics tab</t>
        </is>
      </c>
    </row>
    <row r="29">
      <c r="A29" s="12" t="inlineStr">
        <is>
          <t>Public Affairs Scorecard</t>
        </is>
      </c>
      <c r="B29" s="12" t="inlineStr">
        <is>
          <t>Translate PA operations into measurable KPIs</t>
        </is>
      </c>
      <c r="C29" s="12" t="inlineStr">
        <is>
          <t>On-time rate, relationship score, risk closure</t>
        </is>
      </c>
      <c r="D29" s="12" t="inlineStr">
        <is>
          <t>Scorecard tab</t>
        </is>
      </c>
    </row>
    <row r="30">
      <c r="A30" s="12" t="inlineStr">
        <is>
          <t>Risk Radar</t>
        </is>
      </c>
      <c r="B30" s="12" t="inlineStr">
        <is>
          <t>Quantify regulatory probability x impact</t>
        </is>
      </c>
      <c r="C30" s="12" t="inlineStr">
        <is>
          <t>High-priority risk heatmap</t>
        </is>
      </c>
      <c r="D30" s="12" t="inlineStr">
        <is>
          <t>Risk Radar tab</t>
        </is>
      </c>
    </row>
  </sheetData>
  <mergeCells count="3">
    <mergeCell ref="A21:H21"/>
    <mergeCell ref="A13:D13"/>
    <mergeCell ref="A1:H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cols>
    <col width="13.31999969482422" customWidth="1" style="44" min="1" max="1"/>
    <col width="32.29999923706055" customWidth="1" style="44" min="2" max="2"/>
    <col width="11.97999954223633" customWidth="1" style="44" min="3" max="3"/>
    <col width="11.17000007629395" customWidth="1" style="44" min="4" max="4"/>
    <col width="12.64999961853027" customWidth="1" style="44" min="5" max="5"/>
    <col width="10.22999954223633" customWidth="1" style="44" min="6" max="6"/>
    <col width="12.38000011444092" customWidth="1" style="44" min="7" max="7"/>
    <col width="8.210000038146973" customWidth="1" style="44" min="8" max="8"/>
    <col width="13.85999965667725" customWidth="1" style="44" min="9" max="9"/>
    <col width="10.89999961853027" customWidth="1" style="44" min="10" max="10"/>
    <col width="34.9900016784668" customWidth="1" style="44" min="11" max="11"/>
  </cols>
  <sheetData>
    <row r="1">
      <c r="A1" s="6" t="inlineStr">
        <is>
          <t>Obligation ID</t>
        </is>
      </c>
      <c r="B1" s="6" t="inlineStr">
        <is>
          <t>Report / Obligation</t>
        </is>
      </c>
      <c r="C1" s="6" t="inlineStr">
        <is>
          <t>Regulator</t>
        </is>
      </c>
      <c r="D1" s="6" t="inlineStr">
        <is>
          <t>Frequency</t>
        </is>
      </c>
      <c r="E1" s="6" t="inlineStr">
        <is>
          <t>Owner Dept</t>
        </is>
      </c>
      <c r="F1" s="6" t="inlineStr">
        <is>
          <t>Due Date</t>
        </is>
      </c>
      <c r="G1" s="6" t="inlineStr">
        <is>
          <t>Days to Due</t>
        </is>
      </c>
      <c r="H1" s="6" t="inlineStr">
        <is>
          <t>Status</t>
        </is>
      </c>
      <c r="I1" s="6" t="inlineStr">
        <is>
          <t>Quality Check</t>
        </is>
      </c>
      <c r="J1" s="6" t="inlineStr">
        <is>
          <t>Escalation</t>
        </is>
      </c>
      <c r="K1" s="6" t="inlineStr">
        <is>
          <t>Notes</t>
        </is>
      </c>
      <c r="L1" s="12" t="n"/>
      <c r="M1" s="12" t="n"/>
      <c r="N1" s="12" t="n"/>
      <c r="O1" s="12" t="n"/>
      <c r="P1" s="12" t="n"/>
      <c r="Q1" s="12" t="n"/>
      <c r="R1" s="12" t="n"/>
      <c r="S1" s="12" t="n"/>
      <c r="T1" s="12" t="n"/>
      <c r="U1" s="12" t="n"/>
      <c r="V1" s="12" t="n"/>
      <c r="W1" s="12" t="n"/>
      <c r="X1" s="12" t="n"/>
      <c r="Y1" s="12" t="n"/>
      <c r="Z1" s="12" t="n"/>
    </row>
    <row r="2">
      <c r="A2" s="12" t="inlineStr">
        <is>
          <t>CAL-001</t>
        </is>
      </c>
      <c r="B2" s="12" t="inlineStr">
        <is>
          <t>Monthly solvency monitoring report</t>
        </is>
      </c>
      <c r="C2" s="12" t="inlineStr">
        <is>
          <t>ISA</t>
        </is>
      </c>
      <c r="D2" s="12" t="inlineStr">
        <is>
          <t>Monthly</t>
        </is>
      </c>
      <c r="E2" s="12" t="inlineStr">
        <is>
          <t>Product</t>
        </is>
      </c>
      <c r="F2" s="124" t="n">
        <v>46179</v>
      </c>
      <c r="G2" s="12">
        <f>F2-TODAY()</f>
        <v/>
      </c>
      <c r="H2" s="12" t="inlineStr">
        <is>
          <t>Overdue</t>
        </is>
      </c>
      <c r="I2" s="12" t="inlineStr">
        <is>
          <t>In Progress</t>
        </is>
      </c>
      <c r="J2" s="12" t="inlineStr">
        <is>
          <t>Yes</t>
        </is>
      </c>
      <c r="K2" s="12" t="inlineStr">
        <is>
          <t>Sample data - replace with actual obligation</t>
        </is>
      </c>
    </row>
    <row r="3">
      <c r="A3" s="12" t="inlineStr">
        <is>
          <t>CAL-002</t>
        </is>
      </c>
      <c r="B3" s="12" t="inlineStr">
        <is>
          <t>Quarterly capital adequacy report</t>
        </is>
      </c>
      <c r="C3" s="12" t="inlineStr">
        <is>
          <t>MOF</t>
        </is>
      </c>
      <c r="D3" s="12" t="inlineStr">
        <is>
          <t>Quarterly</t>
        </is>
      </c>
      <c r="E3" s="12" t="inlineStr">
        <is>
          <t>Agency</t>
        </is>
      </c>
      <c r="F3" s="124" t="n">
        <v>46187</v>
      </c>
      <c r="G3" s="12">
        <f>F3-TODAY()</f>
        <v/>
      </c>
      <c r="H3" s="12" t="inlineStr">
        <is>
          <t>Due Soon</t>
        </is>
      </c>
      <c r="I3" s="12" t="inlineStr">
        <is>
          <t>Not Started</t>
        </is>
      </c>
      <c r="J3" s="12" t="inlineStr">
        <is>
          <t>No</t>
        </is>
      </c>
      <c r="K3" s="12" t="inlineStr">
        <is>
          <t>Sample data - replace with actual obligation</t>
        </is>
      </c>
    </row>
    <row r="4">
      <c r="A4" s="12" t="inlineStr">
        <is>
          <t>CAL-003</t>
        </is>
      </c>
      <c r="B4" s="12" t="inlineStr">
        <is>
          <t>Annual audited financial statement filing</t>
        </is>
      </c>
      <c r="C4" s="12" t="inlineStr">
        <is>
          <t>MOF</t>
        </is>
      </c>
      <c r="D4" s="12" t="inlineStr">
        <is>
          <t>Annual</t>
        </is>
      </c>
      <c r="E4" s="12" t="inlineStr">
        <is>
          <t>Bancassurance</t>
        </is>
      </c>
      <c r="F4" s="124" t="n">
        <v>46184</v>
      </c>
      <c r="G4" s="12">
        <f>F4-TODAY()</f>
        <v/>
      </c>
      <c r="H4" s="12" t="inlineStr">
        <is>
          <t>Due Soon</t>
        </is>
      </c>
      <c r="I4" s="12" t="inlineStr">
        <is>
          <t>Completed</t>
        </is>
      </c>
      <c r="J4" s="12" t="inlineStr">
        <is>
          <t>No</t>
        </is>
      </c>
      <c r="K4" s="12" t="inlineStr">
        <is>
          <t>Sample data - replace with actual obligation</t>
        </is>
      </c>
    </row>
    <row r="5">
      <c r="A5" s="12" t="inlineStr">
        <is>
          <t>CAL-004</t>
        </is>
      </c>
      <c r="B5" s="12" t="inlineStr">
        <is>
          <t>Product approval status update</t>
        </is>
      </c>
      <c r="C5" s="12" t="inlineStr">
        <is>
          <t>ISA</t>
        </is>
      </c>
      <c r="D5" s="12" t="inlineStr">
        <is>
          <t>Ad-hoc</t>
        </is>
      </c>
      <c r="E5" s="12" t="inlineStr">
        <is>
          <t>Operations</t>
        </is>
      </c>
      <c r="F5" s="124" t="n">
        <v>46179</v>
      </c>
      <c r="G5" s="12">
        <f>F5-TODAY()</f>
        <v/>
      </c>
      <c r="H5" s="12" t="inlineStr">
        <is>
          <t>Submitted</t>
        </is>
      </c>
      <c r="I5" s="12" t="inlineStr">
        <is>
          <t>Completed</t>
        </is>
      </c>
      <c r="J5" s="12" t="inlineStr">
        <is>
          <t>No</t>
        </is>
      </c>
      <c r="K5" s="12" t="inlineStr">
        <is>
          <t>Sample data - replace with actual obligation</t>
        </is>
      </c>
    </row>
    <row r="6">
      <c r="A6" s="12" t="inlineStr">
        <is>
          <t>CAL-005</t>
        </is>
      </c>
      <c r="B6" s="12" t="inlineStr">
        <is>
          <t>Agency training approval report</t>
        </is>
      </c>
      <c r="C6" s="12" t="inlineStr">
        <is>
          <t>ISA</t>
        </is>
      </c>
      <c r="D6" s="12" t="inlineStr">
        <is>
          <t>Monthly</t>
        </is>
      </c>
      <c r="E6" s="12" t="inlineStr">
        <is>
          <t>CEO Office</t>
        </is>
      </c>
      <c r="F6" s="124" t="n">
        <v>46179</v>
      </c>
      <c r="G6" s="12">
        <f>F6-TODAY()</f>
        <v/>
      </c>
      <c r="H6" s="12" t="inlineStr">
        <is>
          <t>Submitted</t>
        </is>
      </c>
      <c r="I6" s="12" t="inlineStr">
        <is>
          <t>Not Started</t>
        </is>
      </c>
      <c r="J6" s="12" t="inlineStr">
        <is>
          <t>No</t>
        </is>
      </c>
      <c r="K6" s="12" t="inlineStr">
        <is>
          <t>Sample data - replace with actual obligation</t>
        </is>
      </c>
    </row>
    <row r="7">
      <c r="A7" s="12" t="inlineStr">
        <is>
          <t>CAL-006</t>
        </is>
      </c>
      <c r="B7" s="12" t="inlineStr">
        <is>
          <t>Bancassurance compliance update</t>
        </is>
      </c>
      <c r="C7" s="12" t="inlineStr">
        <is>
          <t>SBV</t>
        </is>
      </c>
      <c r="D7" s="12" t="inlineStr">
        <is>
          <t>Quarterly</t>
        </is>
      </c>
      <c r="E7" s="12" t="inlineStr">
        <is>
          <t>Legal</t>
        </is>
      </c>
      <c r="F7" s="124" t="n">
        <v>46172</v>
      </c>
      <c r="G7" s="12">
        <f>F7-TODAY()</f>
        <v/>
      </c>
      <c r="H7" s="12" t="inlineStr">
        <is>
          <t>Overdue</t>
        </is>
      </c>
      <c r="I7" s="12" t="inlineStr">
        <is>
          <t>Not Started</t>
        </is>
      </c>
      <c r="J7" s="12" t="inlineStr">
        <is>
          <t>Yes</t>
        </is>
      </c>
      <c r="K7" s="12" t="inlineStr">
        <is>
          <t>Sample data - replace with actual obligation</t>
        </is>
      </c>
    </row>
    <row r="8">
      <c r="A8" s="12" t="inlineStr">
        <is>
          <t>CAL-007</t>
        </is>
      </c>
      <c r="B8" s="12" t="inlineStr">
        <is>
          <t>Consumer complaint summary</t>
        </is>
      </c>
      <c r="C8" s="12" t="inlineStr">
        <is>
          <t>VCA</t>
        </is>
      </c>
      <c r="D8" s="12" t="inlineStr">
        <is>
          <t>Monthly</t>
        </is>
      </c>
      <c r="E8" s="12" t="inlineStr">
        <is>
          <t>Compliance</t>
        </is>
      </c>
      <c r="F8" s="124" t="n">
        <v>46219</v>
      </c>
      <c r="G8" s="12">
        <f>F8-TODAY()</f>
        <v/>
      </c>
      <c r="H8" s="12" t="inlineStr">
        <is>
          <t>On Track</t>
        </is>
      </c>
      <c r="I8" s="12" t="inlineStr">
        <is>
          <t>Completed</t>
        </is>
      </c>
      <c r="J8" s="12" t="inlineStr">
        <is>
          <t>No</t>
        </is>
      </c>
      <c r="K8" s="12" t="inlineStr">
        <is>
          <t>Sample data - replace with actual obligation</t>
        </is>
      </c>
    </row>
    <row r="9">
      <c r="A9" s="12" t="inlineStr">
        <is>
          <t>CAL-008</t>
        </is>
      </c>
      <c r="B9" s="12" t="inlineStr">
        <is>
          <t>AML / CFT compliance certification</t>
        </is>
      </c>
      <c r="C9" s="12" t="inlineStr">
        <is>
          <t>MOF</t>
        </is>
      </c>
      <c r="D9" s="12" t="inlineStr">
        <is>
          <t>Annual</t>
        </is>
      </c>
      <c r="E9" s="12" t="inlineStr">
        <is>
          <t>Finance</t>
        </is>
      </c>
      <c r="F9" s="124" t="n">
        <v>46172</v>
      </c>
      <c r="G9" s="12">
        <f>F9-TODAY()</f>
        <v/>
      </c>
      <c r="H9" s="12" t="inlineStr">
        <is>
          <t>Submitted</t>
        </is>
      </c>
      <c r="I9" s="12" t="inlineStr">
        <is>
          <t>Completed</t>
        </is>
      </c>
      <c r="J9" s="12" t="inlineStr">
        <is>
          <t>No</t>
        </is>
      </c>
      <c r="K9" s="12" t="inlineStr">
        <is>
          <t>Sample data - replace with actual obligation</t>
        </is>
      </c>
    </row>
    <row r="10">
      <c r="A10" s="12" t="inlineStr">
        <is>
          <t>CAL-009</t>
        </is>
      </c>
      <c r="B10" s="12" t="inlineStr">
        <is>
          <t>Data privacy compliance update</t>
        </is>
      </c>
      <c r="C10" s="12" t="inlineStr">
        <is>
          <t>MIC</t>
        </is>
      </c>
      <c r="D10" s="12" t="inlineStr">
        <is>
          <t>Quarterly</t>
        </is>
      </c>
      <c r="E10" s="12" t="inlineStr">
        <is>
          <t>Product</t>
        </is>
      </c>
      <c r="F10" s="124" t="n">
        <v>46219</v>
      </c>
      <c r="G10" s="12">
        <f>F10-TODAY()</f>
        <v/>
      </c>
      <c r="H10" s="12" t="inlineStr">
        <is>
          <t>On Track</t>
        </is>
      </c>
      <c r="I10" s="12" t="inlineStr">
        <is>
          <t>In Progress</t>
        </is>
      </c>
      <c r="J10" s="12" t="inlineStr">
        <is>
          <t>No</t>
        </is>
      </c>
      <c r="K10" s="12" t="inlineStr">
        <is>
          <t>Sample data - replace with actual obligation</t>
        </is>
      </c>
    </row>
    <row r="11">
      <c r="A11" s="12" t="inlineStr">
        <is>
          <t>CAL-010</t>
        </is>
      </c>
      <c r="B11" s="12" t="inlineStr">
        <is>
          <t>Market conduct remediation update</t>
        </is>
      </c>
      <c r="C11" s="12" t="inlineStr">
        <is>
          <t>ISA</t>
        </is>
      </c>
      <c r="D11" s="12" t="inlineStr">
        <is>
          <t>Ad-hoc</t>
        </is>
      </c>
      <c r="E11" s="12" t="inlineStr">
        <is>
          <t>Agency</t>
        </is>
      </c>
      <c r="F11" s="124" t="n">
        <v>46187</v>
      </c>
      <c r="G11" s="12">
        <f>F11-TODAY()</f>
        <v/>
      </c>
      <c r="H11" s="12" t="inlineStr">
        <is>
          <t>Due Soon</t>
        </is>
      </c>
      <c r="I11" s="12" t="inlineStr">
        <is>
          <t>In Progress</t>
        </is>
      </c>
      <c r="J11" s="12" t="inlineStr">
        <is>
          <t>No</t>
        </is>
      </c>
      <c r="K11" s="12" t="inlineStr">
        <is>
          <t>Sample data - replace with actual obligation</t>
        </is>
      </c>
    </row>
    <row r="12">
      <c r="A12" s="12" t="inlineStr">
        <is>
          <t>CAL-011</t>
        </is>
      </c>
      <c r="B12" s="12" t="inlineStr">
        <is>
          <t>Regional Office regulatory update</t>
        </is>
      </c>
      <c r="C12" s="12" t="inlineStr">
        <is>
          <t>Regional Office</t>
        </is>
      </c>
      <c r="D12" s="12" t="inlineStr">
        <is>
          <t>Monthly</t>
        </is>
      </c>
      <c r="E12" s="12" t="inlineStr">
        <is>
          <t>Bancassurance</t>
        </is>
      </c>
      <c r="F12" s="124" t="n">
        <v>46232</v>
      </c>
      <c r="G12" s="12">
        <f>F12-TODAY()</f>
        <v/>
      </c>
      <c r="H12" s="12" t="inlineStr">
        <is>
          <t>On Track</t>
        </is>
      </c>
      <c r="I12" s="12" t="inlineStr">
        <is>
          <t>In Progress</t>
        </is>
      </c>
      <c r="J12" s="12" t="inlineStr">
        <is>
          <t>No</t>
        </is>
      </c>
      <c r="K12" s="12" t="inlineStr">
        <is>
          <t>Sample data - replace with actual obligation</t>
        </is>
      </c>
    </row>
    <row r="13">
      <c r="A13" s="12" t="inlineStr">
        <is>
          <t>CAL-012</t>
        </is>
      </c>
      <c r="B13" s="12" t="inlineStr">
        <is>
          <t>Ad-hoc ISA information request</t>
        </is>
      </c>
      <c r="C13" s="12" t="inlineStr">
        <is>
          <t>ISA</t>
        </is>
      </c>
      <c r="D13" s="12" t="inlineStr">
        <is>
          <t>Ad-hoc</t>
        </is>
      </c>
      <c r="E13" s="12" t="inlineStr">
        <is>
          <t>Operations</t>
        </is>
      </c>
      <c r="F13" s="124" t="n">
        <v>46172</v>
      </c>
      <c r="G13" s="12">
        <f>F13-TODAY()</f>
        <v/>
      </c>
      <c r="H13" s="12" t="inlineStr">
        <is>
          <t>Submitted</t>
        </is>
      </c>
      <c r="I13" s="12" t="inlineStr">
        <is>
          <t>Not Started</t>
        </is>
      </c>
      <c r="J13" s="12" t="inlineStr">
        <is>
          <t>No</t>
        </is>
      </c>
      <c r="K13" s="12" t="inlineStr">
        <is>
          <t>Sample data - replace with actual obligation</t>
        </is>
      </c>
    </row>
    <row r="14">
      <c r="A14" s="12" t="inlineStr">
        <is>
          <t>CAL-013</t>
        </is>
      </c>
      <c r="B14" s="12" t="inlineStr">
        <is>
          <t>Monthly solvency monitoring report</t>
        </is>
      </c>
      <c r="C14" s="12" t="inlineStr">
        <is>
          <t>ISA</t>
        </is>
      </c>
      <c r="D14" s="12" t="inlineStr">
        <is>
          <t>Monthly</t>
        </is>
      </c>
      <c r="E14" s="12" t="inlineStr">
        <is>
          <t>CEO Office</t>
        </is>
      </c>
      <c r="F14" s="124" t="n">
        <v>46199</v>
      </c>
      <c r="G14" s="12">
        <f>F14-TODAY()</f>
        <v/>
      </c>
      <c r="H14" s="12" t="inlineStr">
        <is>
          <t>On Track</t>
        </is>
      </c>
      <c r="I14" s="12" t="inlineStr">
        <is>
          <t>In Progress</t>
        </is>
      </c>
      <c r="J14" s="12" t="inlineStr">
        <is>
          <t>No</t>
        </is>
      </c>
      <c r="K14" s="12" t="inlineStr">
        <is>
          <t>Sample data - replace with actual obligation</t>
        </is>
      </c>
    </row>
    <row r="15">
      <c r="A15" s="12" t="inlineStr">
        <is>
          <t>CAL-014</t>
        </is>
      </c>
      <c r="B15" s="12" t="inlineStr">
        <is>
          <t>Quarterly capital adequacy report</t>
        </is>
      </c>
      <c r="C15" s="12" t="inlineStr">
        <is>
          <t>MOF</t>
        </is>
      </c>
      <c r="D15" s="12" t="inlineStr">
        <is>
          <t>Quarterly</t>
        </is>
      </c>
      <c r="E15" s="12" t="inlineStr">
        <is>
          <t>Legal</t>
        </is>
      </c>
      <c r="F15" s="124" t="n">
        <v>46189</v>
      </c>
      <c r="G15" s="12">
        <f>F15-TODAY()</f>
        <v/>
      </c>
      <c r="H15" s="12" t="inlineStr">
        <is>
          <t>Due Soon</t>
        </is>
      </c>
      <c r="I15" s="12" t="inlineStr">
        <is>
          <t>Not Started</t>
        </is>
      </c>
      <c r="J15" s="12" t="inlineStr">
        <is>
          <t>No</t>
        </is>
      </c>
      <c r="K15" s="12" t="inlineStr">
        <is>
          <t>Sample data - replace with actual obligation</t>
        </is>
      </c>
    </row>
    <row r="16">
      <c r="A16" s="12" t="inlineStr">
        <is>
          <t>CAL-015</t>
        </is>
      </c>
      <c r="B16" s="12" t="inlineStr">
        <is>
          <t>Annual audited financial statement filing</t>
        </is>
      </c>
      <c r="C16" s="12" t="inlineStr">
        <is>
          <t>MOF</t>
        </is>
      </c>
      <c r="D16" s="12" t="inlineStr">
        <is>
          <t>Annual</t>
        </is>
      </c>
      <c r="E16" s="12" t="inlineStr">
        <is>
          <t>Compliance</t>
        </is>
      </c>
      <c r="F16" s="124" t="n">
        <v>46187</v>
      </c>
      <c r="G16" s="12">
        <f>F16-TODAY()</f>
        <v/>
      </c>
      <c r="H16" s="12" t="inlineStr">
        <is>
          <t>Due Soon</t>
        </is>
      </c>
      <c r="I16" s="12" t="inlineStr">
        <is>
          <t>In Progress</t>
        </is>
      </c>
      <c r="J16" s="12" t="inlineStr">
        <is>
          <t>No</t>
        </is>
      </c>
      <c r="K16" s="12" t="inlineStr">
        <is>
          <t>Sample data - replace with actual obligation</t>
        </is>
      </c>
    </row>
    <row r="17">
      <c r="A17" s="12" t="inlineStr">
        <is>
          <t>CAL-016</t>
        </is>
      </c>
      <c r="B17" s="12" t="inlineStr">
        <is>
          <t>Product approval status update</t>
        </is>
      </c>
      <c r="C17" s="12" t="inlineStr">
        <is>
          <t>ISA</t>
        </is>
      </c>
      <c r="D17" s="12" t="inlineStr">
        <is>
          <t>Ad-hoc</t>
        </is>
      </c>
      <c r="E17" s="12" t="inlineStr">
        <is>
          <t>Finance</t>
        </is>
      </c>
      <c r="F17" s="124" t="n">
        <v>46179</v>
      </c>
      <c r="G17" s="12">
        <f>F17-TODAY()</f>
        <v/>
      </c>
      <c r="H17" s="12" t="inlineStr">
        <is>
          <t>Overdue</t>
        </is>
      </c>
      <c r="I17" s="12" t="inlineStr">
        <is>
          <t>Not Started</t>
        </is>
      </c>
      <c r="J17" s="12" t="inlineStr">
        <is>
          <t>Yes</t>
        </is>
      </c>
      <c r="K17" s="12" t="inlineStr">
        <is>
          <t>Sample data - replace with actual obligation</t>
        </is>
      </c>
    </row>
    <row r="18">
      <c r="A18" s="12" t="inlineStr">
        <is>
          <t>CAL-017</t>
        </is>
      </c>
      <c r="B18" s="12" t="inlineStr">
        <is>
          <t>Agency training approval report</t>
        </is>
      </c>
      <c r="C18" s="12" t="inlineStr">
        <is>
          <t>ISA</t>
        </is>
      </c>
      <c r="D18" s="12" t="inlineStr">
        <is>
          <t>Monthly</t>
        </is>
      </c>
      <c r="E18" s="12" t="inlineStr">
        <is>
          <t>Product</t>
        </is>
      </c>
      <c r="F18" s="124" t="n">
        <v>46192</v>
      </c>
      <c r="G18" s="12">
        <f>F18-TODAY()</f>
        <v/>
      </c>
      <c r="H18" s="12" t="inlineStr">
        <is>
          <t>On Track</t>
        </is>
      </c>
      <c r="I18" s="12" t="inlineStr">
        <is>
          <t>In Progress</t>
        </is>
      </c>
      <c r="J18" s="12" t="inlineStr">
        <is>
          <t>No</t>
        </is>
      </c>
      <c r="K18" s="12" t="inlineStr">
        <is>
          <t>Sample data - replace with actual obligation</t>
        </is>
      </c>
    </row>
    <row r="19">
      <c r="A19" s="12" t="inlineStr">
        <is>
          <t>CAL-018</t>
        </is>
      </c>
      <c r="B19" s="12" t="inlineStr">
        <is>
          <t>Bancassurance compliance update</t>
        </is>
      </c>
      <c r="C19" s="12" t="inlineStr">
        <is>
          <t>SBV</t>
        </is>
      </c>
      <c r="D19" s="12" t="inlineStr">
        <is>
          <t>Quarterly</t>
        </is>
      </c>
      <c r="E19" s="12" t="inlineStr">
        <is>
          <t>Agency</t>
        </is>
      </c>
      <c r="F19" s="124" t="n">
        <v>46232</v>
      </c>
      <c r="G19" s="12">
        <f>F19-TODAY()</f>
        <v/>
      </c>
      <c r="H19" s="12" t="inlineStr">
        <is>
          <t>On Track</t>
        </is>
      </c>
      <c r="I19" s="12" t="inlineStr">
        <is>
          <t>In Progress</t>
        </is>
      </c>
      <c r="J19" s="12" t="inlineStr">
        <is>
          <t>No</t>
        </is>
      </c>
      <c r="K19" s="12" t="inlineStr">
        <is>
          <t>Sample data - replace with actual obligation</t>
        </is>
      </c>
    </row>
    <row r="20">
      <c r="A20" s="12" t="inlineStr">
        <is>
          <t>CAL-019</t>
        </is>
      </c>
      <c r="B20" s="12" t="inlineStr">
        <is>
          <t>Consumer complaint summary</t>
        </is>
      </c>
      <c r="C20" s="12" t="inlineStr">
        <is>
          <t>VCA</t>
        </is>
      </c>
      <c r="D20" s="12" t="inlineStr">
        <is>
          <t>Monthly</t>
        </is>
      </c>
      <c r="E20" s="12" t="inlineStr">
        <is>
          <t>Bancassurance</t>
        </is>
      </c>
      <c r="F20" s="124" t="n">
        <v>46172</v>
      </c>
      <c r="G20" s="12">
        <f>F20-TODAY()</f>
        <v/>
      </c>
      <c r="H20" s="12" t="inlineStr">
        <is>
          <t>Submitted</t>
        </is>
      </c>
      <c r="I20" s="12" t="inlineStr">
        <is>
          <t>Completed</t>
        </is>
      </c>
      <c r="J20" s="12" t="inlineStr">
        <is>
          <t>No</t>
        </is>
      </c>
      <c r="K20" s="12" t="inlineStr">
        <is>
          <t>Sample data - replace with actual obligation</t>
        </is>
      </c>
    </row>
    <row r="21">
      <c r="A21" s="12" t="inlineStr">
        <is>
          <t>CAL-020</t>
        </is>
      </c>
      <c r="B21" s="12" t="inlineStr">
        <is>
          <t>AML / CFT compliance certification</t>
        </is>
      </c>
      <c r="C21" s="12" t="inlineStr">
        <is>
          <t>MOF</t>
        </is>
      </c>
      <c r="D21" s="12" t="inlineStr">
        <is>
          <t>Annual</t>
        </is>
      </c>
      <c r="E21" s="12" t="inlineStr">
        <is>
          <t>Operations</t>
        </is>
      </c>
      <c r="F21" s="124" t="n">
        <v>46179</v>
      </c>
      <c r="G21" s="12">
        <f>F21-TODAY()</f>
        <v/>
      </c>
      <c r="H21" s="12" t="inlineStr">
        <is>
          <t>Submitted</t>
        </is>
      </c>
      <c r="I21" s="12" t="inlineStr">
        <is>
          <t>In Progress</t>
        </is>
      </c>
      <c r="J21" s="12" t="inlineStr">
        <is>
          <t>No</t>
        </is>
      </c>
      <c r="K21" s="12" t="inlineStr">
        <is>
          <t>Sample data - replace with actual obligation</t>
        </is>
      </c>
    </row>
    <row r="22">
      <c r="A22" s="12" t="inlineStr">
        <is>
          <t>CAL-021</t>
        </is>
      </c>
      <c r="B22" s="12" t="inlineStr">
        <is>
          <t>Data privacy compliance update</t>
        </is>
      </c>
      <c r="C22" s="12" t="inlineStr">
        <is>
          <t>MIC</t>
        </is>
      </c>
      <c r="D22" s="12" t="inlineStr">
        <is>
          <t>Quarterly</t>
        </is>
      </c>
      <c r="E22" s="12" t="inlineStr">
        <is>
          <t>CEO Office</t>
        </is>
      </c>
      <c r="F22" s="124" t="n">
        <v>46179</v>
      </c>
      <c r="G22" s="12">
        <f>F22-TODAY()</f>
        <v/>
      </c>
      <c r="H22" s="12" t="inlineStr">
        <is>
          <t>Submitted</t>
        </is>
      </c>
      <c r="I22" s="12" t="inlineStr">
        <is>
          <t>Completed</t>
        </is>
      </c>
      <c r="J22" s="12" t="inlineStr">
        <is>
          <t>No</t>
        </is>
      </c>
      <c r="K22" s="12" t="inlineStr">
        <is>
          <t>Sample data - replace with actual obligation</t>
        </is>
      </c>
    </row>
    <row r="23">
      <c r="A23" s="12" t="inlineStr">
        <is>
          <t>CAL-022</t>
        </is>
      </c>
      <c r="B23" s="12" t="inlineStr">
        <is>
          <t>Market conduct remediation update</t>
        </is>
      </c>
      <c r="C23" s="12" t="inlineStr">
        <is>
          <t>ISA</t>
        </is>
      </c>
      <c r="D23" s="12" t="inlineStr">
        <is>
          <t>Ad-hoc</t>
        </is>
      </c>
      <c r="E23" s="12" t="inlineStr">
        <is>
          <t>Legal</t>
        </is>
      </c>
      <c r="F23" s="124" t="n">
        <v>46232</v>
      </c>
      <c r="G23" s="12">
        <f>F23-TODAY()</f>
        <v/>
      </c>
      <c r="H23" s="12" t="inlineStr">
        <is>
          <t>On Track</t>
        </is>
      </c>
      <c r="I23" s="12" t="inlineStr">
        <is>
          <t>In Progress</t>
        </is>
      </c>
      <c r="J23" s="12" t="inlineStr">
        <is>
          <t>No</t>
        </is>
      </c>
      <c r="K23" s="12" t="inlineStr">
        <is>
          <t>Sample data - replace with actual obligation</t>
        </is>
      </c>
    </row>
    <row r="24">
      <c r="A24" s="12" t="inlineStr">
        <is>
          <t>CAL-023</t>
        </is>
      </c>
      <c r="B24" s="12" t="inlineStr">
        <is>
          <t>Regional Office regulatory update</t>
        </is>
      </c>
      <c r="C24" s="12" t="inlineStr">
        <is>
          <t>Regional Office</t>
        </is>
      </c>
      <c r="D24" s="12" t="inlineStr">
        <is>
          <t>Monthly</t>
        </is>
      </c>
      <c r="E24" s="12" t="inlineStr">
        <is>
          <t>Compliance</t>
        </is>
      </c>
      <c r="F24" s="124" t="n">
        <v>46232</v>
      </c>
      <c r="G24" s="12">
        <f>F24-TODAY()</f>
        <v/>
      </c>
      <c r="H24" s="12" t="inlineStr">
        <is>
          <t>On Track</t>
        </is>
      </c>
      <c r="I24" s="12" t="inlineStr">
        <is>
          <t>Not Started</t>
        </is>
      </c>
      <c r="J24" s="12" t="inlineStr">
        <is>
          <t>No</t>
        </is>
      </c>
      <c r="K24" s="12" t="inlineStr">
        <is>
          <t>Sample data - replace with actual obligation</t>
        </is>
      </c>
    </row>
    <row r="25">
      <c r="A25" s="12" t="inlineStr">
        <is>
          <t>CAL-024</t>
        </is>
      </c>
      <c r="B25" s="12" t="inlineStr">
        <is>
          <t>Ad-hoc ISA information request</t>
        </is>
      </c>
      <c r="C25" s="12" t="inlineStr">
        <is>
          <t>ISA</t>
        </is>
      </c>
      <c r="D25" s="12" t="inlineStr">
        <is>
          <t>Ad-hoc</t>
        </is>
      </c>
      <c r="E25" s="12" t="inlineStr">
        <is>
          <t>Finance</t>
        </is>
      </c>
      <c r="F25" s="124" t="n">
        <v>46179</v>
      </c>
      <c r="G25" s="12">
        <f>F25-TODAY()</f>
        <v/>
      </c>
      <c r="H25" s="12" t="inlineStr">
        <is>
          <t>Overdue</t>
        </is>
      </c>
      <c r="I25" s="12" t="inlineStr">
        <is>
          <t>Not Started</t>
        </is>
      </c>
      <c r="J25" s="12" t="inlineStr">
        <is>
          <t>Yes</t>
        </is>
      </c>
      <c r="K25" s="12" t="inlineStr">
        <is>
          <t>Sample data - replace with actual obligation</t>
        </is>
      </c>
    </row>
    <row r="26">
      <c r="A26" s="12" t="inlineStr">
        <is>
          <t>CAL-025</t>
        </is>
      </c>
      <c r="B26" s="12" t="inlineStr">
        <is>
          <t>Monthly solvency monitoring report</t>
        </is>
      </c>
      <c r="C26" s="12" t="inlineStr">
        <is>
          <t>ISA</t>
        </is>
      </c>
      <c r="D26" s="12" t="inlineStr">
        <is>
          <t>Monthly</t>
        </is>
      </c>
      <c r="E26" s="12" t="inlineStr">
        <is>
          <t>Product</t>
        </is>
      </c>
      <c r="F26" s="124" t="n">
        <v>46189</v>
      </c>
      <c r="G26" s="12">
        <f>F26-TODAY()</f>
        <v/>
      </c>
      <c r="H26" s="12" t="inlineStr">
        <is>
          <t>Due Soon</t>
        </is>
      </c>
      <c r="I26" s="12" t="inlineStr">
        <is>
          <t>Not Started</t>
        </is>
      </c>
      <c r="J26" s="12" t="inlineStr">
        <is>
          <t>No</t>
        </is>
      </c>
      <c r="K26" s="12" t="inlineStr">
        <is>
          <t>Sample data - replace with actual obligation</t>
        </is>
      </c>
    </row>
    <row r="27">
      <c r="A27" s="12" t="inlineStr">
        <is>
          <t>CAL-026</t>
        </is>
      </c>
      <c r="B27" s="12" t="inlineStr">
        <is>
          <t>Quarterly capital adequacy report</t>
        </is>
      </c>
      <c r="C27" s="12" t="inlineStr">
        <is>
          <t>MOF</t>
        </is>
      </c>
      <c r="D27" s="12" t="inlineStr">
        <is>
          <t>Quarterly</t>
        </is>
      </c>
      <c r="E27" s="12" t="inlineStr">
        <is>
          <t>Agency</t>
        </is>
      </c>
      <c r="F27" s="124" t="n">
        <v>46187</v>
      </c>
      <c r="G27" s="12">
        <f>F27-TODAY()</f>
        <v/>
      </c>
      <c r="H27" s="12" t="inlineStr">
        <is>
          <t>Due Soon</t>
        </is>
      </c>
      <c r="I27" s="12" t="inlineStr">
        <is>
          <t>Not Started</t>
        </is>
      </c>
      <c r="J27" s="12" t="inlineStr">
        <is>
          <t>No</t>
        </is>
      </c>
      <c r="K27" s="12" t="inlineStr">
        <is>
          <t>Sample data - replace with actual obligation</t>
        </is>
      </c>
    </row>
    <row r="28">
      <c r="A28" s="12" t="inlineStr">
        <is>
          <t>CAL-027</t>
        </is>
      </c>
      <c r="B28" s="12" t="inlineStr">
        <is>
          <t>Annual audited financial statement filing</t>
        </is>
      </c>
      <c r="C28" s="12" t="inlineStr">
        <is>
          <t>MOF</t>
        </is>
      </c>
      <c r="D28" s="12" t="inlineStr">
        <is>
          <t>Annual</t>
        </is>
      </c>
      <c r="E28" s="12" t="inlineStr">
        <is>
          <t>Bancassurance</t>
        </is>
      </c>
      <c r="F28" s="124" t="n">
        <v>46199</v>
      </c>
      <c r="G28" s="12">
        <f>F28-TODAY()</f>
        <v/>
      </c>
      <c r="H28" s="12" t="inlineStr">
        <is>
          <t>On Track</t>
        </is>
      </c>
      <c r="I28" s="12" t="inlineStr">
        <is>
          <t>In Progress</t>
        </is>
      </c>
      <c r="J28" s="12" t="inlineStr">
        <is>
          <t>No</t>
        </is>
      </c>
      <c r="K28" s="12" t="inlineStr">
        <is>
          <t>Sample data - replace with actual obligation</t>
        </is>
      </c>
    </row>
    <row r="29">
      <c r="A29" s="12" t="inlineStr">
        <is>
          <t>CAL-028</t>
        </is>
      </c>
      <c r="B29" s="12" t="inlineStr">
        <is>
          <t>Product approval status update</t>
        </is>
      </c>
      <c r="C29" s="12" t="inlineStr">
        <is>
          <t>ISA</t>
        </is>
      </c>
      <c r="D29" s="12" t="inlineStr">
        <is>
          <t>Ad-hoc</t>
        </is>
      </c>
      <c r="E29" s="12" t="inlineStr">
        <is>
          <t>Operations</t>
        </is>
      </c>
      <c r="F29" s="124" t="n">
        <v>46206</v>
      </c>
      <c r="G29" s="12">
        <f>F29-TODAY()</f>
        <v/>
      </c>
      <c r="H29" s="12" t="inlineStr">
        <is>
          <t>On Track</t>
        </is>
      </c>
      <c r="I29" s="12" t="inlineStr">
        <is>
          <t>Completed</t>
        </is>
      </c>
      <c r="J29" s="12" t="inlineStr">
        <is>
          <t>No</t>
        </is>
      </c>
      <c r="K29" s="12" t="inlineStr">
        <is>
          <t>Sample data - replace with actual obligation</t>
        </is>
      </c>
    </row>
    <row r="30">
      <c r="A30" s="12" t="inlineStr">
        <is>
          <t>CAL-029</t>
        </is>
      </c>
      <c r="B30" s="12" t="inlineStr">
        <is>
          <t>Agency training approval report</t>
        </is>
      </c>
      <c r="C30" s="12" t="inlineStr">
        <is>
          <t>ISA</t>
        </is>
      </c>
      <c r="D30" s="12" t="inlineStr">
        <is>
          <t>Monthly</t>
        </is>
      </c>
      <c r="E30" s="12" t="inlineStr">
        <is>
          <t>CEO Office</t>
        </is>
      </c>
      <c r="F30" s="124" t="n">
        <v>46192</v>
      </c>
      <c r="G30" s="12">
        <f>F30-TODAY()</f>
        <v/>
      </c>
      <c r="H30" s="12" t="inlineStr">
        <is>
          <t>On Track</t>
        </is>
      </c>
      <c r="I30" s="12" t="inlineStr">
        <is>
          <t>Not Started</t>
        </is>
      </c>
      <c r="J30" s="12" t="inlineStr">
        <is>
          <t>No</t>
        </is>
      </c>
      <c r="K30" s="12" t="inlineStr">
        <is>
          <t>Sample data - replace with actual obligation</t>
        </is>
      </c>
    </row>
    <row r="31">
      <c r="A31" s="12" t="inlineStr">
        <is>
          <t>CAL-030</t>
        </is>
      </c>
      <c r="B31" s="12" t="inlineStr">
        <is>
          <t>Bancassurance compliance update</t>
        </is>
      </c>
      <c r="C31" s="12" t="inlineStr">
        <is>
          <t>SBV</t>
        </is>
      </c>
      <c r="D31" s="12" t="inlineStr">
        <is>
          <t>Quarterly</t>
        </is>
      </c>
      <c r="E31" s="12" t="inlineStr">
        <is>
          <t>Legal</t>
        </is>
      </c>
      <c r="F31" s="124" t="n">
        <v>46192</v>
      </c>
      <c r="G31" s="12">
        <f>F31-TODAY()</f>
        <v/>
      </c>
      <c r="H31" s="12" t="inlineStr">
        <is>
          <t>On Track</t>
        </is>
      </c>
      <c r="I31" s="12" t="inlineStr">
        <is>
          <t>In Progress</t>
        </is>
      </c>
      <c r="J31" s="12" t="inlineStr">
        <is>
          <t>No</t>
        </is>
      </c>
      <c r="K31" s="12" t="inlineStr">
        <is>
          <t>Sample data - replace with actual obligation</t>
        </is>
      </c>
    </row>
  </sheetData>
  <conditionalFormatting sqref="H2:H31">
    <cfRule type="expression" priority="1" dxfId="0">
      <formula>H2="Overdue"</formula>
    </cfRule>
    <cfRule type="expression" priority="2" dxfId="1">
      <formula>H2="Due Soon"</formula>
    </cfRule>
  </conditionalFormatting>
  <conditionalFormatting sqref="G2:G200">
    <cfRule type="cellIs" priority="3" operator="lessThan" dxfId="22">
      <formula>0</formula>
    </cfRule>
    <cfRule type="cellIs" priority="4" operator="between" dxfId="23">
      <formula>0</formula>
    </cfRule>
  </conditionalFormatting>
  <dataValidations count="4">
    <dataValidation sqref="H2:H31" showDropDown="0" showInputMessage="0" showErrorMessage="0" allowBlank="0" type="list">
      <formula1>"On Track,Due Soon,Overdue,Submitted,Approved,In Review,Drafting,Waiting Internal Input"</formula1>
    </dataValidation>
    <dataValidation sqref="C2:C200" showDropDown="0" showInputMessage="0" showErrorMessage="0" allowBlank="0" type="list">
      <formula1>"MOF,ISA,IAV,SBV,MIC,VCA,Regional Office"</formula1>
    </dataValidation>
    <dataValidation sqref="E2:E200" showDropDown="0" showInputMessage="0" showErrorMessage="0" allowBlank="0" type="list">
      <formula1>"Legal,Compliance,Finance,Product,Agency,Bancassurance,Operations,CEO Office,Public Affairs,Risk"</formula1>
    </dataValidation>
    <dataValidation sqref="H2:H200" showDropDown="0" showInputMessage="0" showErrorMessage="0" allowBlank="0" type="list">
      <formula1>"On Track,Due Soon,Overdue,Submitted,Approved,In Review,Drafting,Waiting Internal Input,Open,Closed,In Progress,Blocked,Pending,Done,Not Started"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61"/>
  <sheetViews>
    <sheetView workbookViewId="0">
      <selection activeCell="A1" sqref="A1"/>
    </sheetView>
  </sheetViews>
  <sheetFormatPr baseColWidth="8" defaultRowHeight="15"/>
  <cols>
    <col width="14.13000011444092" customWidth="1" style="44" min="1" max="1"/>
    <col width="25.56999969482422" customWidth="1" style="44" min="2" max="2"/>
    <col width="10.5" customWidth="1" style="44" min="3" max="3"/>
    <col width="17.89999961853027" customWidth="1" style="44" min="4" max="4"/>
    <col width="12.64999961853027" customWidth="1" style="44" min="5" max="5"/>
    <col width="14.27000045776367" customWidth="1" style="44" min="6" max="6"/>
    <col width="19.92000007629395" customWidth="1" style="44" min="7" max="7"/>
    <col width="15.34000015258789" customWidth="1" style="44" min="8" max="8"/>
    <col width="17.5" customWidth="1" style="44" min="9" max="9"/>
    <col width="15.34000015258789" customWidth="1" style="44" min="10" max="10"/>
    <col width="18.29999923706055" customWidth="1" style="44" min="11" max="11"/>
    <col width="10.63000011444092" customWidth="1" style="44" min="12" max="12"/>
    <col width="20.72999954223633" customWidth="1" style="44" min="13" max="13"/>
  </cols>
  <sheetData>
    <row r="1">
      <c r="A1" s="6" t="inlineStr">
        <is>
          <t>Submission ID</t>
        </is>
      </c>
      <c r="B1" s="6" t="inlineStr">
        <is>
          <t>Document / Request</t>
        </is>
      </c>
      <c r="C1" s="6" t="inlineStr">
        <is>
          <t>Regulator</t>
        </is>
      </c>
      <c r="D1" s="6" t="inlineStr">
        <is>
          <t>Submission Type</t>
        </is>
      </c>
      <c r="E1" s="6" t="inlineStr">
        <is>
          <t>Owner Dept</t>
        </is>
      </c>
      <c r="F1" s="6" t="inlineStr">
        <is>
          <t>Received Date</t>
        </is>
      </c>
      <c r="G1" s="6" t="inlineStr">
        <is>
          <t>Submission Due Date</t>
        </is>
      </c>
      <c r="H1" s="6" t="inlineStr">
        <is>
          <t>Submitted Date</t>
        </is>
      </c>
      <c r="I1" s="6" t="inlineStr">
        <is>
          <t>Status</t>
        </is>
      </c>
      <c r="J1" s="6" t="inlineStr">
        <is>
          <t>Lead Time Days</t>
        </is>
      </c>
      <c r="K1" s="6" t="inlineStr">
        <is>
          <t>Checklist Complete</t>
        </is>
      </c>
      <c r="L1" s="6" t="inlineStr">
        <is>
          <t>Risk Level</t>
        </is>
      </c>
      <c r="M1" s="6" t="inlineStr">
        <is>
          <t>Next Action</t>
        </is>
      </c>
      <c r="N1" s="12" t="n"/>
      <c r="O1" s="12" t="n"/>
      <c r="P1" s="12" t="n"/>
      <c r="Q1" s="12" t="n"/>
      <c r="R1" s="12" t="n"/>
      <c r="S1" s="12" t="n"/>
      <c r="T1" s="12" t="n"/>
      <c r="U1" s="12" t="n"/>
      <c r="V1" s="12" t="n"/>
      <c r="W1" s="12" t="n"/>
      <c r="X1" s="12" t="n"/>
      <c r="Y1" s="12" t="n"/>
      <c r="Z1" s="12" t="n"/>
    </row>
    <row r="2">
      <c r="A2" s="12" t="inlineStr">
        <is>
          <t>SUB-001</t>
        </is>
      </c>
      <c r="B2" s="12" t="inlineStr">
        <is>
          <t>License/Transaction - item 1</t>
        </is>
      </c>
      <c r="C2" s="12" t="inlineStr">
        <is>
          <t>MOF</t>
        </is>
      </c>
      <c r="D2" s="12" t="inlineStr">
        <is>
          <t>Agency Training</t>
        </is>
      </c>
      <c r="E2" s="12" t="inlineStr">
        <is>
          <t>Finance</t>
        </is>
      </c>
      <c r="F2" s="124" t="n">
        <v>46157</v>
      </c>
      <c r="G2" s="124" t="n">
        <v>46183</v>
      </c>
      <c r="H2" s="124" t="str"/>
      <c r="I2" s="12" t="inlineStr">
        <is>
          <t>In Review</t>
        </is>
      </c>
      <c r="J2" s="12">
        <f>IF(H2="",TODAY()-F2,H2-F2)</f>
        <v/>
      </c>
      <c r="K2" s="12" t="inlineStr">
        <is>
          <t>Partial</t>
        </is>
      </c>
      <c r="L2" s="12" t="inlineStr">
        <is>
          <t>Low</t>
        </is>
      </c>
      <c r="M2" s="12" t="inlineStr">
        <is>
          <t>Follow-up / quality review</t>
        </is>
      </c>
    </row>
    <row r="3">
      <c r="A3" s="12" t="inlineStr">
        <is>
          <t>SUB-002</t>
        </is>
      </c>
      <c r="B3" s="12" t="inlineStr">
        <is>
          <t>License/Transaction - item 2</t>
        </is>
      </c>
      <c r="C3" s="12" t="inlineStr">
        <is>
          <t>SBV</t>
        </is>
      </c>
      <c r="D3" s="12" t="inlineStr">
        <is>
          <t>Report</t>
        </is>
      </c>
      <c r="E3" s="12" t="inlineStr">
        <is>
          <t>Bancassurance</t>
        </is>
      </c>
      <c r="F3" s="124" t="n">
        <v>46152</v>
      </c>
      <c r="G3" s="124" t="n">
        <v>46162</v>
      </c>
      <c r="H3" s="124" t="n">
        <v>46160</v>
      </c>
      <c r="I3" s="12" t="inlineStr">
        <is>
          <t>Submitted</t>
        </is>
      </c>
      <c r="J3" s="12">
        <f>IF(H3="",TODAY()-F3,H3-F3)</f>
        <v/>
      </c>
      <c r="K3" s="12" t="inlineStr">
        <is>
          <t>Yes</t>
        </is>
      </c>
      <c r="L3" s="12" t="inlineStr">
        <is>
          <t>High</t>
        </is>
      </c>
      <c r="M3" s="12" t="inlineStr">
        <is>
          <t>Follow-up / quality review</t>
        </is>
      </c>
    </row>
    <row r="4">
      <c r="A4" s="12" t="inlineStr">
        <is>
          <t>SUB-003</t>
        </is>
      </c>
      <c r="B4" s="12" t="inlineStr">
        <is>
          <t>New Product Approval - item 3</t>
        </is>
      </c>
      <c r="C4" s="12" t="inlineStr">
        <is>
          <t>MOF</t>
        </is>
      </c>
      <c r="D4" s="12" t="inlineStr">
        <is>
          <t>Report</t>
        </is>
      </c>
      <c r="E4" s="12" t="inlineStr">
        <is>
          <t>Bancassurance</t>
        </is>
      </c>
      <c r="F4" s="124" t="n">
        <v>46179</v>
      </c>
      <c r="G4" s="124" t="n">
        <v>46209</v>
      </c>
      <c r="H4" s="124" t="str"/>
      <c r="I4" s="12" t="inlineStr">
        <is>
          <t>In Review</t>
        </is>
      </c>
      <c r="J4" s="12">
        <f>IF(H4="",TODAY()-F4,H4-F4)</f>
        <v/>
      </c>
      <c r="K4" s="12" t="inlineStr">
        <is>
          <t>Yes</t>
        </is>
      </c>
      <c r="L4" s="12" t="inlineStr">
        <is>
          <t>Low</t>
        </is>
      </c>
      <c r="M4" s="12" t="inlineStr">
        <is>
          <t>Follow-up / quality review</t>
        </is>
      </c>
    </row>
    <row r="5">
      <c r="A5" s="12" t="inlineStr">
        <is>
          <t>SUB-004</t>
        </is>
      </c>
      <c r="B5" s="12" t="inlineStr">
        <is>
          <t>Report - item 4</t>
        </is>
      </c>
      <c r="C5" s="12" t="inlineStr">
        <is>
          <t>IAV</t>
        </is>
      </c>
      <c r="D5" s="12" t="inlineStr">
        <is>
          <t>Report</t>
        </is>
      </c>
      <c r="E5" s="12" t="inlineStr">
        <is>
          <t>Product</t>
        </is>
      </c>
      <c r="F5" s="124" t="n">
        <v>46120</v>
      </c>
      <c r="G5" s="124" t="n">
        <v>46137</v>
      </c>
      <c r="H5" s="124" t="n">
        <v>46134</v>
      </c>
      <c r="I5" s="12" t="inlineStr">
        <is>
          <t>Approved</t>
        </is>
      </c>
      <c r="J5" s="12">
        <f>IF(H5="",TODAY()-F5,H5-F5)</f>
        <v/>
      </c>
      <c r="K5" s="12" t="inlineStr">
        <is>
          <t>Partial</t>
        </is>
      </c>
      <c r="L5" s="12" t="inlineStr">
        <is>
          <t>Low</t>
        </is>
      </c>
      <c r="M5" s="12" t="inlineStr">
        <is>
          <t>Follow-up / quality review</t>
        </is>
      </c>
    </row>
    <row r="6">
      <c r="A6" s="12" t="inlineStr">
        <is>
          <t>SUB-005</t>
        </is>
      </c>
      <c r="B6" s="12" t="inlineStr">
        <is>
          <t>Agency Training - item 5</t>
        </is>
      </c>
      <c r="C6" s="12" t="inlineStr">
        <is>
          <t>MIC</t>
        </is>
      </c>
      <c r="D6" s="12" t="inlineStr">
        <is>
          <t>New Product Approval</t>
        </is>
      </c>
      <c r="E6" s="12" t="inlineStr">
        <is>
          <t>Product</t>
        </is>
      </c>
      <c r="F6" s="124" t="n">
        <v>46115</v>
      </c>
      <c r="G6" s="124" t="n">
        <v>46128</v>
      </c>
      <c r="H6" s="124" t="n">
        <v>46125</v>
      </c>
      <c r="I6" s="12" t="inlineStr">
        <is>
          <t>Approved</t>
        </is>
      </c>
      <c r="J6" s="12">
        <f>IF(H6="",TODAY()-F6,H6-F6)</f>
        <v/>
      </c>
      <c r="K6" s="12" t="inlineStr">
        <is>
          <t>Yes</t>
        </is>
      </c>
      <c r="L6" s="12" t="inlineStr">
        <is>
          <t>Low</t>
        </is>
      </c>
      <c r="M6" s="12" t="inlineStr">
        <is>
          <t>Follow-up / quality review</t>
        </is>
      </c>
    </row>
    <row r="7">
      <c r="A7" s="12" t="inlineStr">
        <is>
          <t>SUB-006</t>
        </is>
      </c>
      <c r="B7" s="12" t="inlineStr">
        <is>
          <t>Report - item 6</t>
        </is>
      </c>
      <c r="C7" s="12" t="inlineStr">
        <is>
          <t>ISA</t>
        </is>
      </c>
      <c r="D7" s="12" t="inlineStr">
        <is>
          <t>Ad-hoc Response</t>
        </is>
      </c>
      <c r="E7" s="12" t="inlineStr">
        <is>
          <t>Operations</t>
        </is>
      </c>
      <c r="F7" s="124" t="n">
        <v>46120</v>
      </c>
      <c r="G7" s="124" t="n">
        <v>46127</v>
      </c>
      <c r="H7" s="124" t="n">
        <v>46127</v>
      </c>
      <c r="I7" s="12" t="inlineStr">
        <is>
          <t>Approved</t>
        </is>
      </c>
      <c r="J7" s="12">
        <f>IF(H7="",TODAY()-F7,H7-F7)</f>
        <v/>
      </c>
      <c r="K7" s="12" t="inlineStr">
        <is>
          <t>Partial</t>
        </is>
      </c>
      <c r="L7" s="12" t="inlineStr">
        <is>
          <t>High</t>
        </is>
      </c>
      <c r="M7" s="12" t="inlineStr">
        <is>
          <t>Follow-up / quality review</t>
        </is>
      </c>
    </row>
    <row r="8">
      <c r="A8" s="12" t="inlineStr">
        <is>
          <t>SUB-007</t>
        </is>
      </c>
      <c r="B8" s="12" t="inlineStr">
        <is>
          <t>Agency Training - item 7</t>
        </is>
      </c>
      <c r="C8" s="12" t="inlineStr">
        <is>
          <t>IAV</t>
        </is>
      </c>
      <c r="D8" s="12" t="inlineStr">
        <is>
          <t>Agency Training</t>
        </is>
      </c>
      <c r="E8" s="12" t="inlineStr">
        <is>
          <t>Legal</t>
        </is>
      </c>
      <c r="F8" s="124" t="n">
        <v>46134</v>
      </c>
      <c r="G8" s="124" t="n">
        <v>46151</v>
      </c>
      <c r="H8" s="124" t="n">
        <v>46148</v>
      </c>
      <c r="I8" s="12" t="inlineStr">
        <is>
          <t>Submitted</t>
        </is>
      </c>
      <c r="J8" s="12">
        <f>IF(H8="",TODAY()-F8,H8-F8)</f>
        <v/>
      </c>
      <c r="K8" s="12" t="inlineStr">
        <is>
          <t>Partial</t>
        </is>
      </c>
      <c r="L8" s="12" t="inlineStr">
        <is>
          <t>Low</t>
        </is>
      </c>
      <c r="M8" s="12" t="inlineStr">
        <is>
          <t>Follow-up / quality review</t>
        </is>
      </c>
    </row>
    <row r="9">
      <c r="A9" s="12" t="inlineStr">
        <is>
          <t>SUB-008</t>
        </is>
      </c>
      <c r="B9" s="12" t="inlineStr">
        <is>
          <t>Ad-hoc Response - item 8</t>
        </is>
      </c>
      <c r="C9" s="12" t="inlineStr">
        <is>
          <t>IAV</t>
        </is>
      </c>
      <c r="D9" s="12" t="inlineStr">
        <is>
          <t>Official Letter</t>
        </is>
      </c>
      <c r="E9" s="12" t="inlineStr">
        <is>
          <t>Agency</t>
        </is>
      </c>
      <c r="F9" s="124" t="n">
        <v>46169</v>
      </c>
      <c r="G9" s="124" t="n">
        <v>46195</v>
      </c>
      <c r="H9" s="124" t="n">
        <v>46193</v>
      </c>
      <c r="I9" s="12" t="inlineStr">
        <is>
          <t>Approved</t>
        </is>
      </c>
      <c r="J9" s="12">
        <f>IF(H9="",TODAY()-F9,H9-F9)</f>
        <v/>
      </c>
      <c r="K9" s="12" t="inlineStr">
        <is>
          <t>No</t>
        </is>
      </c>
      <c r="L9" s="12" t="inlineStr">
        <is>
          <t>High</t>
        </is>
      </c>
      <c r="M9" s="12" t="inlineStr">
        <is>
          <t>Follow-up / quality review</t>
        </is>
      </c>
    </row>
    <row r="10">
      <c r="A10" s="12" t="inlineStr">
        <is>
          <t>SUB-009</t>
        </is>
      </c>
      <c r="B10" s="12" t="inlineStr">
        <is>
          <t>License/Transaction - item 9</t>
        </is>
      </c>
      <c r="C10" s="12" t="inlineStr">
        <is>
          <t>IAV</t>
        </is>
      </c>
      <c r="D10" s="12" t="inlineStr">
        <is>
          <t>Agency Training</t>
        </is>
      </c>
      <c r="E10" s="12" t="inlineStr">
        <is>
          <t>Finance</t>
        </is>
      </c>
      <c r="F10" s="124" t="n">
        <v>46125</v>
      </c>
      <c r="G10" s="124" t="n">
        <v>46130</v>
      </c>
      <c r="H10" s="124" t="str"/>
      <c r="I10" s="12" t="inlineStr">
        <is>
          <t>Overdue</t>
        </is>
      </c>
      <c r="J10" s="12">
        <f>IF(H10="",TODAY()-F10,H10-F10)</f>
        <v/>
      </c>
      <c r="K10" s="12" t="inlineStr">
        <is>
          <t>Partial</t>
        </is>
      </c>
      <c r="L10" s="12" t="inlineStr">
        <is>
          <t>High</t>
        </is>
      </c>
      <c r="M10" s="12" t="inlineStr">
        <is>
          <t>Follow-up / quality review</t>
        </is>
      </c>
    </row>
    <row r="11">
      <c r="A11" s="12" t="inlineStr">
        <is>
          <t>SUB-010</t>
        </is>
      </c>
      <c r="B11" s="12" t="inlineStr">
        <is>
          <t>Report - item 10</t>
        </is>
      </c>
      <c r="C11" s="12" t="inlineStr">
        <is>
          <t>IAV</t>
        </is>
      </c>
      <c r="D11" s="12" t="inlineStr">
        <is>
          <t>Ad-hoc Response</t>
        </is>
      </c>
      <c r="E11" s="12" t="inlineStr">
        <is>
          <t>Finance</t>
        </is>
      </c>
      <c r="F11" s="124" t="n">
        <v>46103</v>
      </c>
      <c r="G11" s="124" t="n">
        <v>46117</v>
      </c>
      <c r="H11" s="124" t="n">
        <v>46116</v>
      </c>
      <c r="I11" s="12" t="inlineStr">
        <is>
          <t>Approved</t>
        </is>
      </c>
      <c r="J11" s="12">
        <f>IF(H11="",TODAY()-F11,H11-F11)</f>
        <v/>
      </c>
      <c r="K11" s="12" t="inlineStr">
        <is>
          <t>Partial</t>
        </is>
      </c>
      <c r="L11" s="12" t="inlineStr">
        <is>
          <t>Low</t>
        </is>
      </c>
      <c r="M11" s="12" t="inlineStr">
        <is>
          <t>Follow-up / quality review</t>
        </is>
      </c>
    </row>
    <row r="12">
      <c r="A12" s="12" t="inlineStr">
        <is>
          <t>SUB-011</t>
        </is>
      </c>
      <c r="B12" s="12" t="inlineStr">
        <is>
          <t>Official Letter - item 11</t>
        </is>
      </c>
      <c r="C12" s="12" t="inlineStr">
        <is>
          <t>MOF</t>
        </is>
      </c>
      <c r="D12" s="12" t="inlineStr">
        <is>
          <t>New Product Approval</t>
        </is>
      </c>
      <c r="E12" s="12" t="inlineStr">
        <is>
          <t>Agency</t>
        </is>
      </c>
      <c r="F12" s="124" t="n">
        <v>46183</v>
      </c>
      <c r="G12" s="124" t="n">
        <v>46207</v>
      </c>
      <c r="H12" s="124" t="str"/>
      <c r="I12" s="12" t="inlineStr">
        <is>
          <t>In Review</t>
        </is>
      </c>
      <c r="J12" s="12">
        <f>IF(H12="",TODAY()-F12,H12-F12)</f>
        <v/>
      </c>
      <c r="K12" s="12" t="inlineStr">
        <is>
          <t>Yes</t>
        </is>
      </c>
      <c r="L12" s="12" t="inlineStr">
        <is>
          <t>High</t>
        </is>
      </c>
      <c r="M12" s="12" t="inlineStr">
        <is>
          <t>Follow-up / quality review</t>
        </is>
      </c>
    </row>
    <row r="13">
      <c r="A13" s="12" t="inlineStr">
        <is>
          <t>SUB-012</t>
        </is>
      </c>
      <c r="B13" s="12" t="inlineStr">
        <is>
          <t>Official Letter - item 12</t>
        </is>
      </c>
      <c r="C13" s="12" t="inlineStr">
        <is>
          <t>MIC</t>
        </is>
      </c>
      <c r="D13" s="12" t="inlineStr">
        <is>
          <t>Ad-hoc Response</t>
        </is>
      </c>
      <c r="E13" s="12" t="inlineStr">
        <is>
          <t>Compliance</t>
        </is>
      </c>
      <c r="F13" s="124" t="n">
        <v>46153</v>
      </c>
      <c r="G13" s="124" t="n">
        <v>46176</v>
      </c>
      <c r="H13" s="124" t="str"/>
      <c r="I13" s="12" t="inlineStr">
        <is>
          <t>Overdue</t>
        </is>
      </c>
      <c r="J13" s="12">
        <f>IF(H13="",TODAY()-F13,H13-F13)</f>
        <v/>
      </c>
      <c r="K13" s="12" t="inlineStr">
        <is>
          <t>Partial</t>
        </is>
      </c>
      <c r="L13" s="12" t="inlineStr">
        <is>
          <t>High</t>
        </is>
      </c>
      <c r="M13" s="12" t="inlineStr">
        <is>
          <t>Follow-up / quality review</t>
        </is>
      </c>
    </row>
    <row r="14">
      <c r="A14" s="12" t="inlineStr">
        <is>
          <t>SUB-013</t>
        </is>
      </c>
      <c r="B14" s="12" t="inlineStr">
        <is>
          <t>New Product Approval - item 13</t>
        </is>
      </c>
      <c r="C14" s="12" t="inlineStr">
        <is>
          <t>SBV</t>
        </is>
      </c>
      <c r="D14" s="12" t="inlineStr">
        <is>
          <t>Ad-hoc Response</t>
        </is>
      </c>
      <c r="E14" s="12" t="inlineStr">
        <is>
          <t>Operations</t>
        </is>
      </c>
      <c r="F14" s="124" t="n">
        <v>46167</v>
      </c>
      <c r="G14" s="124" t="n">
        <v>46193</v>
      </c>
      <c r="H14" s="124" t="n">
        <v>46192</v>
      </c>
      <c r="I14" s="12" t="inlineStr">
        <is>
          <t>Submitted</t>
        </is>
      </c>
      <c r="J14" s="12">
        <f>IF(H14="",TODAY()-F14,H14-F14)</f>
        <v/>
      </c>
      <c r="K14" s="12" t="inlineStr">
        <is>
          <t>Yes</t>
        </is>
      </c>
      <c r="L14" s="12" t="inlineStr">
        <is>
          <t>Low</t>
        </is>
      </c>
      <c r="M14" s="12" t="inlineStr">
        <is>
          <t>Follow-up / quality review</t>
        </is>
      </c>
    </row>
    <row r="15">
      <c r="A15" s="12" t="inlineStr">
        <is>
          <t>SUB-014</t>
        </is>
      </c>
      <c r="B15" s="12" t="inlineStr">
        <is>
          <t>Capital Injection - item 14</t>
        </is>
      </c>
      <c r="C15" s="12" t="inlineStr">
        <is>
          <t>IAV</t>
        </is>
      </c>
      <c r="D15" s="12" t="inlineStr">
        <is>
          <t>Capital Injection</t>
        </is>
      </c>
      <c r="E15" s="12" t="inlineStr">
        <is>
          <t>CEO Office</t>
        </is>
      </c>
      <c r="F15" s="124" t="n">
        <v>46087</v>
      </c>
      <c r="G15" s="124" t="n">
        <v>46115</v>
      </c>
      <c r="H15" s="124" t="n">
        <v>46113</v>
      </c>
      <c r="I15" s="12" t="inlineStr">
        <is>
          <t>Approved</t>
        </is>
      </c>
      <c r="J15" s="12">
        <f>IF(H15="",TODAY()-F15,H15-F15)</f>
        <v/>
      </c>
      <c r="K15" s="12" t="inlineStr">
        <is>
          <t>Yes</t>
        </is>
      </c>
      <c r="L15" s="12" t="inlineStr">
        <is>
          <t>High</t>
        </is>
      </c>
      <c r="M15" s="12" t="inlineStr">
        <is>
          <t>Follow-up / quality review</t>
        </is>
      </c>
    </row>
    <row r="16">
      <c r="A16" s="12" t="inlineStr">
        <is>
          <t>SUB-015</t>
        </is>
      </c>
      <c r="B16" s="12" t="inlineStr">
        <is>
          <t>Agency Training - item 15</t>
        </is>
      </c>
      <c r="C16" s="12" t="inlineStr">
        <is>
          <t>SBV</t>
        </is>
      </c>
      <c r="D16" s="12" t="inlineStr">
        <is>
          <t>Report</t>
        </is>
      </c>
      <c r="E16" s="12" t="inlineStr">
        <is>
          <t>Product</t>
        </is>
      </c>
      <c r="F16" s="124" t="n">
        <v>46155</v>
      </c>
      <c r="G16" s="124" t="n">
        <v>46162</v>
      </c>
      <c r="H16" s="124" t="str"/>
      <c r="I16" s="12" t="inlineStr">
        <is>
          <t>In Review</t>
        </is>
      </c>
      <c r="J16" s="12">
        <f>IF(H16="",TODAY()-F16,H16-F16)</f>
        <v/>
      </c>
      <c r="K16" s="12" t="inlineStr">
        <is>
          <t>Yes</t>
        </is>
      </c>
      <c r="L16" s="12" t="inlineStr">
        <is>
          <t>High</t>
        </is>
      </c>
      <c r="M16" s="12" t="inlineStr">
        <is>
          <t>Follow-up / quality review</t>
        </is>
      </c>
    </row>
    <row r="17">
      <c r="A17" s="12" t="inlineStr">
        <is>
          <t>SUB-016</t>
        </is>
      </c>
      <c r="B17" s="12" t="inlineStr">
        <is>
          <t>Official Letter - item 16</t>
        </is>
      </c>
      <c r="C17" s="12" t="inlineStr">
        <is>
          <t>MOF</t>
        </is>
      </c>
      <c r="D17" s="12" t="inlineStr">
        <is>
          <t>Ad-hoc Response</t>
        </is>
      </c>
      <c r="E17" s="12" t="inlineStr">
        <is>
          <t>Bancassurance</t>
        </is>
      </c>
      <c r="F17" s="124" t="n">
        <v>46093</v>
      </c>
      <c r="G17" s="124" t="n">
        <v>46118</v>
      </c>
      <c r="H17" s="124" t="str"/>
      <c r="I17" s="12" t="inlineStr">
        <is>
          <t>Drafting</t>
        </is>
      </c>
      <c r="J17" s="12">
        <f>IF(H17="",TODAY()-F17,H17-F17)</f>
        <v/>
      </c>
      <c r="K17" s="12" t="inlineStr">
        <is>
          <t>Yes</t>
        </is>
      </c>
      <c r="L17" s="12" t="inlineStr">
        <is>
          <t>Low</t>
        </is>
      </c>
      <c r="M17" s="12" t="inlineStr">
        <is>
          <t>Follow-up / quality review</t>
        </is>
      </c>
    </row>
    <row r="18">
      <c r="A18" s="12" t="inlineStr">
        <is>
          <t>SUB-017</t>
        </is>
      </c>
      <c r="B18" s="12" t="inlineStr">
        <is>
          <t>Agency Training - item 17</t>
        </is>
      </c>
      <c r="C18" s="12" t="inlineStr">
        <is>
          <t>ISA</t>
        </is>
      </c>
      <c r="D18" s="12" t="inlineStr">
        <is>
          <t>License/Transaction</t>
        </is>
      </c>
      <c r="E18" s="12" t="inlineStr">
        <is>
          <t>CEO Office</t>
        </is>
      </c>
      <c r="F18" s="124" t="n">
        <v>46153</v>
      </c>
      <c r="G18" s="124" t="n">
        <v>46166</v>
      </c>
      <c r="H18" s="124" t="n">
        <v>46165</v>
      </c>
      <c r="I18" s="12" t="inlineStr">
        <is>
          <t>Approved</t>
        </is>
      </c>
      <c r="J18" s="12">
        <f>IF(H18="",TODAY()-F18,H18-F18)</f>
        <v/>
      </c>
      <c r="K18" s="12" t="inlineStr">
        <is>
          <t>Yes</t>
        </is>
      </c>
      <c r="L18" s="12" t="inlineStr">
        <is>
          <t>Medium</t>
        </is>
      </c>
      <c r="M18" s="12" t="inlineStr">
        <is>
          <t>Follow-up / quality review</t>
        </is>
      </c>
    </row>
    <row r="19">
      <c r="A19" s="12" t="inlineStr">
        <is>
          <t>SUB-018</t>
        </is>
      </c>
      <c r="B19" s="12" t="inlineStr">
        <is>
          <t>License/Transaction - item 18</t>
        </is>
      </c>
      <c r="C19" s="12" t="inlineStr">
        <is>
          <t>MIC</t>
        </is>
      </c>
      <c r="D19" s="12" t="inlineStr">
        <is>
          <t>New Product Approval</t>
        </is>
      </c>
      <c r="E19" s="12" t="inlineStr">
        <is>
          <t>Operations</t>
        </is>
      </c>
      <c r="F19" s="124" t="n">
        <v>46131</v>
      </c>
      <c r="G19" s="124" t="n">
        <v>46142</v>
      </c>
      <c r="H19" s="124" t="str"/>
      <c r="I19" s="12" t="inlineStr">
        <is>
          <t>Drafting</t>
        </is>
      </c>
      <c r="J19" s="12">
        <f>IF(H19="",TODAY()-F19,H19-F19)</f>
        <v/>
      </c>
      <c r="K19" s="12" t="inlineStr">
        <is>
          <t>No</t>
        </is>
      </c>
      <c r="L19" s="12" t="inlineStr">
        <is>
          <t>Medium</t>
        </is>
      </c>
      <c r="M19" s="12" t="inlineStr">
        <is>
          <t>Follow-up / quality review</t>
        </is>
      </c>
    </row>
    <row r="20">
      <c r="A20" s="12" t="inlineStr">
        <is>
          <t>SUB-019</t>
        </is>
      </c>
      <c r="B20" s="12" t="inlineStr">
        <is>
          <t>Official Letter - item 19</t>
        </is>
      </c>
      <c r="C20" s="12" t="inlineStr">
        <is>
          <t>MIC</t>
        </is>
      </c>
      <c r="D20" s="12" t="inlineStr">
        <is>
          <t>License/Transaction</t>
        </is>
      </c>
      <c r="E20" s="12" t="inlineStr">
        <is>
          <t>Bancassurance</t>
        </is>
      </c>
      <c r="F20" s="124" t="n">
        <v>46090</v>
      </c>
      <c r="G20" s="124" t="n">
        <v>46096</v>
      </c>
      <c r="H20" s="124" t="n">
        <v>46096</v>
      </c>
      <c r="I20" s="12" t="inlineStr">
        <is>
          <t>Approved</t>
        </is>
      </c>
      <c r="J20" s="12">
        <f>IF(H20="",TODAY()-F20,H20-F20)</f>
        <v/>
      </c>
      <c r="K20" s="12" t="inlineStr">
        <is>
          <t>Yes</t>
        </is>
      </c>
      <c r="L20" s="12" t="inlineStr">
        <is>
          <t>High</t>
        </is>
      </c>
      <c r="M20" s="12" t="inlineStr">
        <is>
          <t>Follow-up / quality review</t>
        </is>
      </c>
    </row>
    <row r="21">
      <c r="A21" s="12" t="inlineStr">
        <is>
          <t>SUB-020</t>
        </is>
      </c>
      <c r="B21" s="12" t="inlineStr">
        <is>
          <t>Capital Injection - item 20</t>
        </is>
      </c>
      <c r="C21" s="12" t="inlineStr">
        <is>
          <t>ISA</t>
        </is>
      </c>
      <c r="D21" s="12" t="inlineStr">
        <is>
          <t>New Product Approval</t>
        </is>
      </c>
      <c r="E21" s="12" t="inlineStr">
        <is>
          <t>CEO Office</t>
        </is>
      </c>
      <c r="F21" s="124" t="n">
        <v>46159</v>
      </c>
      <c r="G21" s="124" t="n">
        <v>46170</v>
      </c>
      <c r="H21" s="124" t="n">
        <v>46169</v>
      </c>
      <c r="I21" s="12" t="inlineStr">
        <is>
          <t>Submitted</t>
        </is>
      </c>
      <c r="J21" s="12">
        <f>IF(H21="",TODAY()-F21,H21-F21)</f>
        <v/>
      </c>
      <c r="K21" s="12" t="inlineStr">
        <is>
          <t>Yes</t>
        </is>
      </c>
      <c r="L21" s="12" t="inlineStr">
        <is>
          <t>High</t>
        </is>
      </c>
      <c r="M21" s="12" t="inlineStr">
        <is>
          <t>Follow-up / quality review</t>
        </is>
      </c>
    </row>
    <row r="22">
      <c r="A22" s="12" t="inlineStr">
        <is>
          <t>SUB-021</t>
        </is>
      </c>
      <c r="B22" s="12" t="inlineStr">
        <is>
          <t>Official Letter - item 21</t>
        </is>
      </c>
      <c r="C22" s="12" t="inlineStr">
        <is>
          <t>SBV</t>
        </is>
      </c>
      <c r="D22" s="12" t="inlineStr">
        <is>
          <t>Ad-hoc Response</t>
        </is>
      </c>
      <c r="E22" s="12" t="inlineStr">
        <is>
          <t>Legal</t>
        </is>
      </c>
      <c r="F22" s="124" t="n">
        <v>46127</v>
      </c>
      <c r="G22" s="124" t="n">
        <v>46157</v>
      </c>
      <c r="H22" s="124" t="n">
        <v>46157</v>
      </c>
      <c r="I22" s="12" t="inlineStr">
        <is>
          <t>Approved</t>
        </is>
      </c>
      <c r="J22" s="12">
        <f>IF(H22="",TODAY()-F22,H22-F22)</f>
        <v/>
      </c>
      <c r="K22" s="12" t="inlineStr">
        <is>
          <t>Yes</t>
        </is>
      </c>
      <c r="L22" s="12" t="inlineStr">
        <is>
          <t>High</t>
        </is>
      </c>
      <c r="M22" s="12" t="inlineStr">
        <is>
          <t>Follow-up / quality review</t>
        </is>
      </c>
    </row>
    <row r="23">
      <c r="A23" s="12" t="inlineStr">
        <is>
          <t>SUB-022</t>
        </is>
      </c>
      <c r="B23" s="12" t="inlineStr">
        <is>
          <t>Ad-hoc Response - item 22</t>
        </is>
      </c>
      <c r="C23" s="12" t="inlineStr">
        <is>
          <t>MIC</t>
        </is>
      </c>
      <c r="D23" s="12" t="inlineStr">
        <is>
          <t>Official Letter</t>
        </is>
      </c>
      <c r="E23" s="12" t="inlineStr">
        <is>
          <t>Finance</t>
        </is>
      </c>
      <c r="F23" s="124" t="n">
        <v>46162</v>
      </c>
      <c r="G23" s="124" t="n">
        <v>46180</v>
      </c>
      <c r="H23" s="124" t="n">
        <v>46179</v>
      </c>
      <c r="I23" s="12" t="inlineStr">
        <is>
          <t>Submitted</t>
        </is>
      </c>
      <c r="J23" s="12">
        <f>IF(H23="",TODAY()-F23,H23-F23)</f>
        <v/>
      </c>
      <c r="K23" s="12" t="inlineStr">
        <is>
          <t>No</t>
        </is>
      </c>
      <c r="L23" s="12" t="inlineStr">
        <is>
          <t>High</t>
        </is>
      </c>
      <c r="M23" s="12" t="inlineStr">
        <is>
          <t>Follow-up / quality review</t>
        </is>
      </c>
    </row>
    <row r="24">
      <c r="A24" s="12" t="inlineStr">
        <is>
          <t>SUB-023</t>
        </is>
      </c>
      <c r="B24" s="12" t="inlineStr">
        <is>
          <t>Ad-hoc Response - item 23</t>
        </is>
      </c>
      <c r="C24" s="12" t="inlineStr">
        <is>
          <t>MIC</t>
        </is>
      </c>
      <c r="D24" s="12" t="inlineStr">
        <is>
          <t>New Product Approval</t>
        </is>
      </c>
      <c r="E24" s="12" t="inlineStr">
        <is>
          <t>Operations</t>
        </is>
      </c>
      <c r="F24" s="124" t="n">
        <v>46134</v>
      </c>
      <c r="G24" s="124" t="n">
        <v>46147</v>
      </c>
      <c r="H24" s="124" t="str"/>
      <c r="I24" s="12" t="inlineStr">
        <is>
          <t>Overdue</t>
        </is>
      </c>
      <c r="J24" s="12">
        <f>IF(H24="",TODAY()-F24,H24-F24)</f>
        <v/>
      </c>
      <c r="K24" s="12" t="inlineStr">
        <is>
          <t>Partial</t>
        </is>
      </c>
      <c r="L24" s="12" t="inlineStr">
        <is>
          <t>Low</t>
        </is>
      </c>
      <c r="M24" s="12" t="inlineStr">
        <is>
          <t>Follow-up / quality review</t>
        </is>
      </c>
    </row>
    <row r="25">
      <c r="A25" s="12" t="inlineStr">
        <is>
          <t>SUB-024</t>
        </is>
      </c>
      <c r="B25" s="12" t="inlineStr">
        <is>
          <t>Report - item 24</t>
        </is>
      </c>
      <c r="C25" s="12" t="inlineStr">
        <is>
          <t>IAV</t>
        </is>
      </c>
      <c r="D25" s="12" t="inlineStr">
        <is>
          <t>Report</t>
        </is>
      </c>
      <c r="E25" s="12" t="inlineStr">
        <is>
          <t>Legal</t>
        </is>
      </c>
      <c r="F25" s="124" t="n">
        <v>46112</v>
      </c>
      <c r="G25" s="124" t="n">
        <v>46138</v>
      </c>
      <c r="H25" s="124" t="n">
        <v>46137</v>
      </c>
      <c r="I25" s="12" t="inlineStr">
        <is>
          <t>Approved</t>
        </is>
      </c>
      <c r="J25" s="12">
        <f>IF(H25="",TODAY()-F25,H25-F25)</f>
        <v/>
      </c>
      <c r="K25" s="12" t="inlineStr">
        <is>
          <t>Partial</t>
        </is>
      </c>
      <c r="L25" s="12" t="inlineStr">
        <is>
          <t>Low</t>
        </is>
      </c>
      <c r="M25" s="12" t="inlineStr">
        <is>
          <t>Follow-up / quality review</t>
        </is>
      </c>
    </row>
    <row r="26">
      <c r="A26" s="12" t="inlineStr">
        <is>
          <t>SUB-025</t>
        </is>
      </c>
      <c r="B26" s="12" t="inlineStr">
        <is>
          <t>Official Letter - item 25</t>
        </is>
      </c>
      <c r="C26" s="12" t="inlineStr">
        <is>
          <t>SBV</t>
        </is>
      </c>
      <c r="D26" s="12" t="inlineStr">
        <is>
          <t>Capital Injection</t>
        </is>
      </c>
      <c r="E26" s="12" t="inlineStr">
        <is>
          <t>Finance</t>
        </is>
      </c>
      <c r="F26" s="124" t="n">
        <v>46114</v>
      </c>
      <c r="G26" s="124" t="n">
        <v>46120</v>
      </c>
      <c r="H26" s="124" t="n">
        <v>46120</v>
      </c>
      <c r="I26" s="12" t="inlineStr">
        <is>
          <t>Approved</t>
        </is>
      </c>
      <c r="J26" s="12">
        <f>IF(H26="",TODAY()-F26,H26-F26)</f>
        <v/>
      </c>
      <c r="K26" s="12" t="inlineStr">
        <is>
          <t>Yes</t>
        </is>
      </c>
      <c r="L26" s="12" t="inlineStr">
        <is>
          <t>Low</t>
        </is>
      </c>
      <c r="M26" s="12" t="inlineStr">
        <is>
          <t>Follow-up / quality review</t>
        </is>
      </c>
    </row>
    <row r="27">
      <c r="A27" s="12" t="inlineStr">
        <is>
          <t>SUB-026</t>
        </is>
      </c>
      <c r="B27" s="12" t="inlineStr">
        <is>
          <t>Official Letter - item 26</t>
        </is>
      </c>
      <c r="C27" s="12" t="inlineStr">
        <is>
          <t>ISA</t>
        </is>
      </c>
      <c r="D27" s="12" t="inlineStr">
        <is>
          <t>Capital Injection</t>
        </is>
      </c>
      <c r="E27" s="12" t="inlineStr">
        <is>
          <t>Compliance</t>
        </is>
      </c>
      <c r="F27" s="124" t="n">
        <v>46173</v>
      </c>
      <c r="G27" s="124" t="n">
        <v>46183</v>
      </c>
      <c r="H27" s="124" t="str"/>
      <c r="I27" s="12" t="inlineStr">
        <is>
          <t>Drafting</t>
        </is>
      </c>
      <c r="J27" s="12">
        <f>IF(H27="",TODAY()-F27,H27-F27)</f>
        <v/>
      </c>
      <c r="K27" s="12" t="inlineStr">
        <is>
          <t>Partial</t>
        </is>
      </c>
      <c r="L27" s="12" t="inlineStr">
        <is>
          <t>High</t>
        </is>
      </c>
      <c r="M27" s="12" t="inlineStr">
        <is>
          <t>Follow-up / quality review</t>
        </is>
      </c>
    </row>
    <row r="28">
      <c r="A28" s="12" t="inlineStr">
        <is>
          <t>SUB-027</t>
        </is>
      </c>
      <c r="B28" s="12" t="inlineStr">
        <is>
          <t>Official Letter - item 27</t>
        </is>
      </c>
      <c r="C28" s="12" t="inlineStr">
        <is>
          <t>MIC</t>
        </is>
      </c>
      <c r="D28" s="12" t="inlineStr">
        <is>
          <t>License/Transaction</t>
        </is>
      </c>
      <c r="E28" s="12" t="inlineStr">
        <is>
          <t>Bancassurance</t>
        </is>
      </c>
      <c r="F28" s="124" t="n">
        <v>46109</v>
      </c>
      <c r="G28" s="124" t="n">
        <v>46133</v>
      </c>
      <c r="H28" s="124" t="str"/>
      <c r="I28" s="12" t="inlineStr">
        <is>
          <t>Drafting</t>
        </is>
      </c>
      <c r="J28" s="12">
        <f>IF(H28="",TODAY()-F28,H28-F28)</f>
        <v/>
      </c>
      <c r="K28" s="12" t="inlineStr">
        <is>
          <t>No</t>
        </is>
      </c>
      <c r="L28" s="12" t="inlineStr">
        <is>
          <t>High</t>
        </is>
      </c>
      <c r="M28" s="12" t="inlineStr">
        <is>
          <t>Follow-up / quality review</t>
        </is>
      </c>
    </row>
    <row r="29">
      <c r="A29" s="12" t="inlineStr">
        <is>
          <t>SUB-028</t>
        </is>
      </c>
      <c r="B29" s="12" t="inlineStr">
        <is>
          <t>New Product Approval - item 28</t>
        </is>
      </c>
      <c r="C29" s="12" t="inlineStr">
        <is>
          <t>MIC</t>
        </is>
      </c>
      <c r="D29" s="12" t="inlineStr">
        <is>
          <t>Report</t>
        </is>
      </c>
      <c r="E29" s="12" t="inlineStr">
        <is>
          <t>Agency</t>
        </is>
      </c>
      <c r="F29" s="124" t="n">
        <v>46098</v>
      </c>
      <c r="G29" s="124" t="n">
        <v>46125</v>
      </c>
      <c r="H29" s="124" t="str"/>
      <c r="I29" s="12" t="inlineStr">
        <is>
          <t>In Review</t>
        </is>
      </c>
      <c r="J29" s="12">
        <f>IF(H29="",TODAY()-F29,H29-F29)</f>
        <v/>
      </c>
      <c r="K29" s="12" t="inlineStr">
        <is>
          <t>No</t>
        </is>
      </c>
      <c r="L29" s="12" t="inlineStr">
        <is>
          <t>Medium</t>
        </is>
      </c>
      <c r="M29" s="12" t="inlineStr">
        <is>
          <t>Follow-up / quality review</t>
        </is>
      </c>
    </row>
    <row r="30">
      <c r="A30" s="12" t="inlineStr">
        <is>
          <t>SUB-029</t>
        </is>
      </c>
      <c r="B30" s="12" t="inlineStr">
        <is>
          <t>Agency Training - item 29</t>
        </is>
      </c>
      <c r="C30" s="12" t="inlineStr">
        <is>
          <t>SBV</t>
        </is>
      </c>
      <c r="D30" s="12" t="inlineStr">
        <is>
          <t>Official Letter</t>
        </is>
      </c>
      <c r="E30" s="12" t="inlineStr">
        <is>
          <t>Compliance</t>
        </is>
      </c>
      <c r="F30" s="124" t="n">
        <v>46087</v>
      </c>
      <c r="G30" s="124" t="n">
        <v>46094</v>
      </c>
      <c r="H30" s="124" t="str"/>
      <c r="I30" s="12" t="inlineStr">
        <is>
          <t>Drafting</t>
        </is>
      </c>
      <c r="J30" s="12">
        <f>IF(H30="",TODAY()-F30,H30-F30)</f>
        <v/>
      </c>
      <c r="K30" s="12" t="inlineStr">
        <is>
          <t>Partial</t>
        </is>
      </c>
      <c r="L30" s="12" t="inlineStr">
        <is>
          <t>High</t>
        </is>
      </c>
      <c r="M30" s="12" t="inlineStr">
        <is>
          <t>Follow-up / quality review</t>
        </is>
      </c>
    </row>
    <row r="31">
      <c r="A31" s="12" t="inlineStr">
        <is>
          <t>SUB-030</t>
        </is>
      </c>
      <c r="B31" s="12" t="inlineStr">
        <is>
          <t>New Product Approval - item 30</t>
        </is>
      </c>
      <c r="C31" s="12" t="inlineStr">
        <is>
          <t>MOF</t>
        </is>
      </c>
      <c r="D31" s="12" t="inlineStr">
        <is>
          <t>Report</t>
        </is>
      </c>
      <c r="E31" s="12" t="inlineStr">
        <is>
          <t>Bancassurance</t>
        </is>
      </c>
      <c r="F31" s="124" t="n">
        <v>46119</v>
      </c>
      <c r="G31" s="124" t="n">
        <v>46132</v>
      </c>
      <c r="H31" s="124" t="str"/>
      <c r="I31" s="12" t="inlineStr">
        <is>
          <t>Waiting Internal Input</t>
        </is>
      </c>
      <c r="J31" s="12">
        <f>IF(H31="",TODAY()-F31,H31-F31)</f>
        <v/>
      </c>
      <c r="K31" s="12" t="inlineStr">
        <is>
          <t>No</t>
        </is>
      </c>
      <c r="L31" s="12" t="inlineStr">
        <is>
          <t>High</t>
        </is>
      </c>
      <c r="M31" s="12" t="inlineStr">
        <is>
          <t>Follow-up / quality review</t>
        </is>
      </c>
    </row>
    <row r="32">
      <c r="A32" s="12" t="inlineStr">
        <is>
          <t>SUB-031</t>
        </is>
      </c>
      <c r="B32" s="12" t="inlineStr">
        <is>
          <t>License/Transaction - item 31</t>
        </is>
      </c>
      <c r="C32" s="12" t="inlineStr">
        <is>
          <t>SBV</t>
        </is>
      </c>
      <c r="D32" s="12" t="inlineStr">
        <is>
          <t>New Product Approval</t>
        </is>
      </c>
      <c r="E32" s="12" t="inlineStr">
        <is>
          <t>Compliance</t>
        </is>
      </c>
      <c r="F32" s="124" t="n">
        <v>46127</v>
      </c>
      <c r="G32" s="124" t="n">
        <v>46149</v>
      </c>
      <c r="H32" s="124" t="n">
        <v>46149</v>
      </c>
      <c r="I32" s="12" t="inlineStr">
        <is>
          <t>Approved</t>
        </is>
      </c>
      <c r="J32" s="12">
        <f>IF(H32="",TODAY()-F32,H32-F32)</f>
        <v/>
      </c>
      <c r="K32" s="12" t="inlineStr">
        <is>
          <t>Yes</t>
        </is>
      </c>
      <c r="L32" s="12" t="inlineStr">
        <is>
          <t>Medium</t>
        </is>
      </c>
      <c r="M32" s="12" t="inlineStr">
        <is>
          <t>Follow-up / quality review</t>
        </is>
      </c>
    </row>
    <row r="33">
      <c r="A33" s="12" t="inlineStr">
        <is>
          <t>SUB-032</t>
        </is>
      </c>
      <c r="B33" s="12" t="inlineStr">
        <is>
          <t>New Product Approval - item 32</t>
        </is>
      </c>
      <c r="C33" s="12" t="inlineStr">
        <is>
          <t>IAV</t>
        </is>
      </c>
      <c r="D33" s="12" t="inlineStr">
        <is>
          <t>Agency Training</t>
        </is>
      </c>
      <c r="E33" s="12" t="inlineStr">
        <is>
          <t>Product</t>
        </is>
      </c>
      <c r="F33" s="124" t="n">
        <v>46169</v>
      </c>
      <c r="G33" s="124" t="n">
        <v>46177</v>
      </c>
      <c r="H33" s="124" t="n">
        <v>46176</v>
      </c>
      <c r="I33" s="12" t="inlineStr">
        <is>
          <t>Approved</t>
        </is>
      </c>
      <c r="J33" s="12">
        <f>IF(H33="",TODAY()-F33,H33-F33)</f>
        <v/>
      </c>
      <c r="K33" s="12" t="inlineStr">
        <is>
          <t>Partial</t>
        </is>
      </c>
      <c r="L33" s="12" t="inlineStr">
        <is>
          <t>Medium</t>
        </is>
      </c>
      <c r="M33" s="12" t="inlineStr">
        <is>
          <t>Follow-up / quality review</t>
        </is>
      </c>
    </row>
    <row r="34">
      <c r="A34" s="12" t="inlineStr">
        <is>
          <t>SUB-033</t>
        </is>
      </c>
      <c r="B34" s="12" t="inlineStr">
        <is>
          <t>Agency Training - item 33</t>
        </is>
      </c>
      <c r="C34" s="12" t="inlineStr">
        <is>
          <t>MIC</t>
        </is>
      </c>
      <c r="D34" s="12" t="inlineStr">
        <is>
          <t>New Product Approval</t>
        </is>
      </c>
      <c r="E34" s="12" t="inlineStr">
        <is>
          <t>Legal</t>
        </is>
      </c>
      <c r="F34" s="124" t="n">
        <v>46157</v>
      </c>
      <c r="G34" s="124" t="n">
        <v>46183</v>
      </c>
      <c r="H34" s="124" t="n">
        <v>46181</v>
      </c>
      <c r="I34" s="12" t="inlineStr">
        <is>
          <t>Submitted</t>
        </is>
      </c>
      <c r="J34" s="12">
        <f>IF(H34="",TODAY()-F34,H34-F34)</f>
        <v/>
      </c>
      <c r="K34" s="12" t="inlineStr">
        <is>
          <t>Yes</t>
        </is>
      </c>
      <c r="L34" s="12" t="inlineStr">
        <is>
          <t>Low</t>
        </is>
      </c>
      <c r="M34" s="12" t="inlineStr">
        <is>
          <t>Follow-up / quality review</t>
        </is>
      </c>
    </row>
    <row r="35">
      <c r="A35" s="12" t="inlineStr">
        <is>
          <t>SUB-034</t>
        </is>
      </c>
      <c r="B35" s="12" t="inlineStr">
        <is>
          <t>New Product Approval - item 34</t>
        </is>
      </c>
      <c r="C35" s="12" t="inlineStr">
        <is>
          <t>ISA</t>
        </is>
      </c>
      <c r="D35" s="12" t="inlineStr">
        <is>
          <t>License/Transaction</t>
        </is>
      </c>
      <c r="E35" s="12" t="inlineStr">
        <is>
          <t>Agency</t>
        </is>
      </c>
      <c r="F35" s="124" t="n">
        <v>46129</v>
      </c>
      <c r="G35" s="124" t="n">
        <v>46142</v>
      </c>
      <c r="H35" s="124" t="str"/>
      <c r="I35" s="12" t="inlineStr">
        <is>
          <t>Drafting</t>
        </is>
      </c>
      <c r="J35" s="12">
        <f>IF(H35="",TODAY()-F35,H35-F35)</f>
        <v/>
      </c>
      <c r="K35" s="12" t="inlineStr">
        <is>
          <t>Yes</t>
        </is>
      </c>
      <c r="L35" s="12" t="inlineStr">
        <is>
          <t>Low</t>
        </is>
      </c>
      <c r="M35" s="12" t="inlineStr">
        <is>
          <t>Follow-up / quality review</t>
        </is>
      </c>
    </row>
    <row r="36">
      <c r="A36" s="12" t="inlineStr">
        <is>
          <t>SUB-035</t>
        </is>
      </c>
      <c r="B36" s="12" t="inlineStr">
        <is>
          <t>Official Letter - item 35</t>
        </is>
      </c>
      <c r="C36" s="12" t="inlineStr">
        <is>
          <t>MOF</t>
        </is>
      </c>
      <c r="D36" s="12" t="inlineStr">
        <is>
          <t>License/Transaction</t>
        </is>
      </c>
      <c r="E36" s="12" t="inlineStr">
        <is>
          <t>Finance</t>
        </is>
      </c>
      <c r="F36" s="124" t="n">
        <v>46127</v>
      </c>
      <c r="G36" s="124" t="n">
        <v>46149</v>
      </c>
      <c r="H36" s="124" t="n">
        <v>46149</v>
      </c>
      <c r="I36" s="12" t="inlineStr">
        <is>
          <t>Approved</t>
        </is>
      </c>
      <c r="J36" s="12">
        <f>IF(H36="",TODAY()-F36,H36-F36)</f>
        <v/>
      </c>
      <c r="K36" s="12" t="inlineStr">
        <is>
          <t>Partial</t>
        </is>
      </c>
      <c r="L36" s="12" t="inlineStr">
        <is>
          <t>High</t>
        </is>
      </c>
      <c r="M36" s="12" t="inlineStr">
        <is>
          <t>Follow-up / quality review</t>
        </is>
      </c>
    </row>
    <row r="37">
      <c r="A37" s="12" t="inlineStr">
        <is>
          <t>SUB-036</t>
        </is>
      </c>
      <c r="B37" s="12" t="inlineStr">
        <is>
          <t>Report - item 36</t>
        </is>
      </c>
      <c r="C37" s="12" t="inlineStr">
        <is>
          <t>MOF</t>
        </is>
      </c>
      <c r="D37" s="12" t="inlineStr">
        <is>
          <t>New Product Approval</t>
        </is>
      </c>
      <c r="E37" s="12" t="inlineStr">
        <is>
          <t>Bancassurance</t>
        </is>
      </c>
      <c r="F37" s="124" t="n">
        <v>46136</v>
      </c>
      <c r="G37" s="124" t="n">
        <v>46159</v>
      </c>
      <c r="H37" s="124" t="n">
        <v>46156</v>
      </c>
      <c r="I37" s="12" t="inlineStr">
        <is>
          <t>Submitted</t>
        </is>
      </c>
      <c r="J37" s="12">
        <f>IF(H37="",TODAY()-F37,H37-F37)</f>
        <v/>
      </c>
      <c r="K37" s="12" t="inlineStr">
        <is>
          <t>Yes</t>
        </is>
      </c>
      <c r="L37" s="12" t="inlineStr">
        <is>
          <t>Medium</t>
        </is>
      </c>
      <c r="M37" s="12" t="inlineStr">
        <is>
          <t>Follow-up / quality review</t>
        </is>
      </c>
    </row>
    <row r="38">
      <c r="A38" s="12" t="inlineStr">
        <is>
          <t>SUB-037</t>
        </is>
      </c>
      <c r="B38" s="12" t="inlineStr">
        <is>
          <t>Official Letter - item 37</t>
        </is>
      </c>
      <c r="C38" s="12" t="inlineStr">
        <is>
          <t>IAV</t>
        </is>
      </c>
      <c r="D38" s="12" t="inlineStr">
        <is>
          <t>Ad-hoc Response</t>
        </is>
      </c>
      <c r="E38" s="12" t="inlineStr">
        <is>
          <t>Operations</t>
        </is>
      </c>
      <c r="F38" s="124" t="n">
        <v>46157</v>
      </c>
      <c r="G38" s="124" t="n">
        <v>46183</v>
      </c>
      <c r="H38" s="124" t="str"/>
      <c r="I38" s="12" t="inlineStr">
        <is>
          <t>In Review</t>
        </is>
      </c>
      <c r="J38" s="12">
        <f>IF(H38="",TODAY()-F38,H38-F38)</f>
        <v/>
      </c>
      <c r="K38" s="12" t="inlineStr">
        <is>
          <t>Partial</t>
        </is>
      </c>
      <c r="L38" s="12" t="inlineStr">
        <is>
          <t>Low</t>
        </is>
      </c>
      <c r="M38" s="12" t="inlineStr">
        <is>
          <t>Follow-up / quality review</t>
        </is>
      </c>
    </row>
    <row r="39">
      <c r="A39" s="12" t="inlineStr">
        <is>
          <t>SUB-038</t>
        </is>
      </c>
      <c r="B39" s="12" t="inlineStr">
        <is>
          <t>Capital Injection - item 38</t>
        </is>
      </c>
      <c r="C39" s="12" t="inlineStr">
        <is>
          <t>MOF</t>
        </is>
      </c>
      <c r="D39" s="12" t="inlineStr">
        <is>
          <t>Report</t>
        </is>
      </c>
      <c r="E39" s="12" t="inlineStr">
        <is>
          <t>Bancassurance</t>
        </is>
      </c>
      <c r="F39" s="124" t="n">
        <v>46164</v>
      </c>
      <c r="G39" s="124" t="n">
        <v>46176</v>
      </c>
      <c r="H39" s="124" t="n">
        <v>46175</v>
      </c>
      <c r="I39" s="12" t="inlineStr">
        <is>
          <t>Approved</t>
        </is>
      </c>
      <c r="J39" s="12">
        <f>IF(H39="",TODAY()-F39,H39-F39)</f>
        <v/>
      </c>
      <c r="K39" s="12" t="inlineStr">
        <is>
          <t>No</t>
        </is>
      </c>
      <c r="L39" s="12" t="inlineStr">
        <is>
          <t>Low</t>
        </is>
      </c>
      <c r="M39" s="12" t="inlineStr">
        <is>
          <t>Follow-up / quality review</t>
        </is>
      </c>
    </row>
    <row r="40">
      <c r="A40" s="12" t="inlineStr">
        <is>
          <t>SUB-039</t>
        </is>
      </c>
      <c r="B40" s="12" t="inlineStr">
        <is>
          <t>Report - item 39</t>
        </is>
      </c>
      <c r="C40" s="12" t="inlineStr">
        <is>
          <t>MOF</t>
        </is>
      </c>
      <c r="D40" s="12" t="inlineStr">
        <is>
          <t>Capital Injection</t>
        </is>
      </c>
      <c r="E40" s="12" t="inlineStr">
        <is>
          <t>Legal</t>
        </is>
      </c>
      <c r="F40" s="124" t="n">
        <v>46089</v>
      </c>
      <c r="G40" s="124" t="n">
        <v>46119</v>
      </c>
      <c r="H40" s="124" t="str"/>
      <c r="I40" s="12" t="inlineStr">
        <is>
          <t>In Review</t>
        </is>
      </c>
      <c r="J40" s="12">
        <f>IF(H40="",TODAY()-F40,H40-F40)</f>
        <v/>
      </c>
      <c r="K40" s="12" t="inlineStr">
        <is>
          <t>No</t>
        </is>
      </c>
      <c r="L40" s="12" t="inlineStr">
        <is>
          <t>High</t>
        </is>
      </c>
      <c r="M40" s="12" t="inlineStr">
        <is>
          <t>Follow-up / quality review</t>
        </is>
      </c>
    </row>
    <row r="41">
      <c r="A41" s="12" t="inlineStr">
        <is>
          <t>SUB-040</t>
        </is>
      </c>
      <c r="B41" s="12" t="inlineStr">
        <is>
          <t>Ad-hoc Response - item 40</t>
        </is>
      </c>
      <c r="C41" s="12" t="inlineStr">
        <is>
          <t>ISA</t>
        </is>
      </c>
      <c r="D41" s="12" t="inlineStr">
        <is>
          <t>Report</t>
        </is>
      </c>
      <c r="E41" s="12" t="inlineStr">
        <is>
          <t>Legal</t>
        </is>
      </c>
      <c r="F41" s="124" t="n">
        <v>46158</v>
      </c>
      <c r="G41" s="124" t="n">
        <v>46177</v>
      </c>
      <c r="H41" s="124" t="str"/>
      <c r="I41" s="12" t="inlineStr">
        <is>
          <t>In Review</t>
        </is>
      </c>
      <c r="J41" s="12">
        <f>IF(H41="",TODAY()-F41,H41-F41)</f>
        <v/>
      </c>
      <c r="K41" s="12" t="inlineStr">
        <is>
          <t>Partial</t>
        </is>
      </c>
      <c r="L41" s="12" t="inlineStr">
        <is>
          <t>High</t>
        </is>
      </c>
      <c r="M41" s="12" t="inlineStr">
        <is>
          <t>Follow-up / quality review</t>
        </is>
      </c>
    </row>
    <row r="42">
      <c r="A42" s="12" t="inlineStr">
        <is>
          <t>SUB-041</t>
        </is>
      </c>
      <c r="B42" s="12" t="inlineStr">
        <is>
          <t>Official Letter - item 41</t>
        </is>
      </c>
      <c r="C42" s="12" t="inlineStr">
        <is>
          <t>IAV</t>
        </is>
      </c>
      <c r="D42" s="12" t="inlineStr">
        <is>
          <t>New Product Approval</t>
        </is>
      </c>
      <c r="E42" s="12" t="inlineStr">
        <is>
          <t>Operations</t>
        </is>
      </c>
      <c r="F42" s="124" t="n">
        <v>46132</v>
      </c>
      <c r="G42" s="124" t="n">
        <v>46147</v>
      </c>
      <c r="H42" s="124" t="str"/>
      <c r="I42" s="12" t="inlineStr">
        <is>
          <t>In Review</t>
        </is>
      </c>
      <c r="J42" s="12">
        <f>IF(H42="",TODAY()-F42,H42-F42)</f>
        <v/>
      </c>
      <c r="K42" s="12" t="inlineStr">
        <is>
          <t>Partial</t>
        </is>
      </c>
      <c r="L42" s="12" t="inlineStr">
        <is>
          <t>Low</t>
        </is>
      </c>
      <c r="M42" s="12" t="inlineStr">
        <is>
          <t>Follow-up / quality review</t>
        </is>
      </c>
    </row>
    <row r="43">
      <c r="A43" s="12" t="inlineStr">
        <is>
          <t>SUB-042</t>
        </is>
      </c>
      <c r="B43" s="12" t="inlineStr">
        <is>
          <t>New Product Approval - item 42</t>
        </is>
      </c>
      <c r="C43" s="12" t="inlineStr">
        <is>
          <t>ISA</t>
        </is>
      </c>
      <c r="D43" s="12" t="inlineStr">
        <is>
          <t>Agency Training</t>
        </is>
      </c>
      <c r="E43" s="12" t="inlineStr">
        <is>
          <t>Agency</t>
        </is>
      </c>
      <c r="F43" s="124" t="n">
        <v>46141</v>
      </c>
      <c r="G43" s="124" t="n">
        <v>46146</v>
      </c>
      <c r="H43" s="124" t="str"/>
      <c r="I43" s="12" t="inlineStr">
        <is>
          <t>Drafting</t>
        </is>
      </c>
      <c r="J43" s="12">
        <f>IF(H43="",TODAY()-F43,H43-F43)</f>
        <v/>
      </c>
      <c r="K43" s="12" t="inlineStr">
        <is>
          <t>Yes</t>
        </is>
      </c>
      <c r="L43" s="12" t="inlineStr">
        <is>
          <t>High</t>
        </is>
      </c>
      <c r="M43" s="12" t="inlineStr">
        <is>
          <t>Follow-up / quality review</t>
        </is>
      </c>
    </row>
    <row r="44">
      <c r="A44" s="12" t="inlineStr">
        <is>
          <t>SUB-043</t>
        </is>
      </c>
      <c r="B44" s="12" t="inlineStr">
        <is>
          <t>Ad-hoc Response - item 43</t>
        </is>
      </c>
      <c r="C44" s="12" t="inlineStr">
        <is>
          <t>IAV</t>
        </is>
      </c>
      <c r="D44" s="12" t="inlineStr">
        <is>
          <t>Capital Injection</t>
        </is>
      </c>
      <c r="E44" s="12" t="inlineStr">
        <is>
          <t>Compliance</t>
        </is>
      </c>
      <c r="F44" s="124" t="n">
        <v>46107</v>
      </c>
      <c r="G44" s="124" t="n">
        <v>46125</v>
      </c>
      <c r="H44" s="124" t="str"/>
      <c r="I44" s="12" t="inlineStr">
        <is>
          <t>In Review</t>
        </is>
      </c>
      <c r="J44" s="12">
        <f>IF(H44="",TODAY()-F44,H44-F44)</f>
        <v/>
      </c>
      <c r="K44" s="12" t="inlineStr">
        <is>
          <t>No</t>
        </is>
      </c>
      <c r="L44" s="12" t="inlineStr">
        <is>
          <t>Low</t>
        </is>
      </c>
      <c r="M44" s="12" t="inlineStr">
        <is>
          <t>Follow-up / quality review</t>
        </is>
      </c>
    </row>
    <row r="45">
      <c r="A45" s="12" t="inlineStr">
        <is>
          <t>SUB-044</t>
        </is>
      </c>
      <c r="B45" s="12" t="inlineStr">
        <is>
          <t>Capital Injection - item 44</t>
        </is>
      </c>
      <c r="C45" s="12" t="inlineStr">
        <is>
          <t>MOF</t>
        </is>
      </c>
      <c r="D45" s="12" t="inlineStr">
        <is>
          <t>Agency Training</t>
        </is>
      </c>
      <c r="E45" s="12" t="inlineStr">
        <is>
          <t>Product</t>
        </is>
      </c>
      <c r="F45" s="124" t="n">
        <v>46159</v>
      </c>
      <c r="G45" s="124" t="n">
        <v>46172</v>
      </c>
      <c r="H45" s="124" t="str"/>
      <c r="I45" s="12" t="inlineStr">
        <is>
          <t>Drafting</t>
        </is>
      </c>
      <c r="J45" s="12">
        <f>IF(H45="",TODAY()-F45,H45-F45)</f>
        <v/>
      </c>
      <c r="K45" s="12" t="inlineStr">
        <is>
          <t>No</t>
        </is>
      </c>
      <c r="L45" s="12" t="inlineStr">
        <is>
          <t>Medium</t>
        </is>
      </c>
      <c r="M45" s="12" t="inlineStr">
        <is>
          <t>Follow-up / quality review</t>
        </is>
      </c>
    </row>
    <row r="46">
      <c r="A46" s="12" t="inlineStr">
        <is>
          <t>SUB-045</t>
        </is>
      </c>
      <c r="B46" s="12" t="inlineStr">
        <is>
          <t>Agency Training - item 45</t>
        </is>
      </c>
      <c r="C46" s="12" t="inlineStr">
        <is>
          <t>IAV</t>
        </is>
      </c>
      <c r="D46" s="12" t="inlineStr">
        <is>
          <t>License/Transaction</t>
        </is>
      </c>
      <c r="E46" s="12" t="inlineStr">
        <is>
          <t>Compliance</t>
        </is>
      </c>
      <c r="F46" s="124" t="n">
        <v>46175</v>
      </c>
      <c r="G46" s="124" t="n">
        <v>46201</v>
      </c>
      <c r="H46" s="124" t="str"/>
      <c r="I46" s="12" t="inlineStr">
        <is>
          <t>Overdue</t>
        </is>
      </c>
      <c r="J46" s="12">
        <f>IF(H46="",TODAY()-F46,H46-F46)</f>
        <v/>
      </c>
      <c r="K46" s="12" t="inlineStr">
        <is>
          <t>Partial</t>
        </is>
      </c>
      <c r="L46" s="12" t="inlineStr">
        <is>
          <t>Medium</t>
        </is>
      </c>
      <c r="M46" s="12" t="inlineStr">
        <is>
          <t>Follow-up / quality review</t>
        </is>
      </c>
    </row>
    <row r="47">
      <c r="A47" s="12" t="inlineStr">
        <is>
          <t>SUB-046</t>
        </is>
      </c>
      <c r="B47" s="12" t="inlineStr">
        <is>
          <t>Capital Injection - item 46</t>
        </is>
      </c>
      <c r="C47" s="12" t="inlineStr">
        <is>
          <t>IAV</t>
        </is>
      </c>
      <c r="D47" s="12" t="inlineStr">
        <is>
          <t>Agency Training</t>
        </is>
      </c>
      <c r="E47" s="12" t="inlineStr">
        <is>
          <t>Finance</t>
        </is>
      </c>
      <c r="F47" s="124" t="n">
        <v>46119</v>
      </c>
      <c r="G47" s="124" t="n">
        <v>46133</v>
      </c>
      <c r="H47" s="124" t="n">
        <v>46131</v>
      </c>
      <c r="I47" s="12" t="inlineStr">
        <is>
          <t>Approved</t>
        </is>
      </c>
      <c r="J47" s="12">
        <f>IF(H47="",TODAY()-F47,H47-F47)</f>
        <v/>
      </c>
      <c r="K47" s="12" t="inlineStr">
        <is>
          <t>Yes</t>
        </is>
      </c>
      <c r="L47" s="12" t="inlineStr">
        <is>
          <t>Medium</t>
        </is>
      </c>
      <c r="M47" s="12" t="inlineStr">
        <is>
          <t>Follow-up / quality review</t>
        </is>
      </c>
    </row>
    <row r="48">
      <c r="A48" s="12" t="inlineStr">
        <is>
          <t>SUB-047</t>
        </is>
      </c>
      <c r="B48" s="12" t="inlineStr">
        <is>
          <t>Agency Training - item 47</t>
        </is>
      </c>
      <c r="C48" s="12" t="inlineStr">
        <is>
          <t>SBV</t>
        </is>
      </c>
      <c r="D48" s="12" t="inlineStr">
        <is>
          <t>New Product Approval</t>
        </is>
      </c>
      <c r="E48" s="12" t="inlineStr">
        <is>
          <t>Operations</t>
        </is>
      </c>
      <c r="F48" s="124" t="n">
        <v>46098</v>
      </c>
      <c r="G48" s="124" t="n">
        <v>46115</v>
      </c>
      <c r="H48" s="124" t="n">
        <v>46114</v>
      </c>
      <c r="I48" s="12" t="inlineStr">
        <is>
          <t>Approved</t>
        </is>
      </c>
      <c r="J48" s="12">
        <f>IF(H48="",TODAY()-F48,H48-F48)</f>
        <v/>
      </c>
      <c r="K48" s="12" t="inlineStr">
        <is>
          <t>Partial</t>
        </is>
      </c>
      <c r="L48" s="12" t="inlineStr">
        <is>
          <t>High</t>
        </is>
      </c>
      <c r="M48" s="12" t="inlineStr">
        <is>
          <t>Follow-up / quality review</t>
        </is>
      </c>
    </row>
    <row r="49">
      <c r="A49" s="12" t="inlineStr">
        <is>
          <t>SUB-048</t>
        </is>
      </c>
      <c r="B49" s="12" t="inlineStr">
        <is>
          <t>Ad-hoc Response - item 48</t>
        </is>
      </c>
      <c r="C49" s="12" t="inlineStr">
        <is>
          <t>SBV</t>
        </is>
      </c>
      <c r="D49" s="12" t="inlineStr">
        <is>
          <t>Agency Training</t>
        </is>
      </c>
      <c r="E49" s="12" t="inlineStr">
        <is>
          <t>Bancassurance</t>
        </is>
      </c>
      <c r="F49" s="124" t="n">
        <v>46145</v>
      </c>
      <c r="G49" s="124" t="n">
        <v>46159</v>
      </c>
      <c r="H49" s="124" t="str"/>
      <c r="I49" s="12" t="inlineStr">
        <is>
          <t>Waiting Internal Input</t>
        </is>
      </c>
      <c r="J49" s="12">
        <f>IF(H49="",TODAY()-F49,H49-F49)</f>
        <v/>
      </c>
      <c r="K49" s="12" t="inlineStr">
        <is>
          <t>No</t>
        </is>
      </c>
      <c r="L49" s="12" t="inlineStr">
        <is>
          <t>Medium</t>
        </is>
      </c>
      <c r="M49" s="12" t="inlineStr">
        <is>
          <t>Follow-up / quality review</t>
        </is>
      </c>
    </row>
    <row r="50">
      <c r="A50" s="12" t="inlineStr">
        <is>
          <t>SUB-049</t>
        </is>
      </c>
      <c r="B50" s="12" t="inlineStr">
        <is>
          <t>Capital Injection - item 49</t>
        </is>
      </c>
      <c r="C50" s="12" t="inlineStr">
        <is>
          <t>ISA</t>
        </is>
      </c>
      <c r="D50" s="12" t="inlineStr">
        <is>
          <t>License/Transaction</t>
        </is>
      </c>
      <c r="E50" s="12" t="inlineStr">
        <is>
          <t>Compliance</t>
        </is>
      </c>
      <c r="F50" s="124" t="n">
        <v>46127</v>
      </c>
      <c r="G50" s="124" t="n">
        <v>46153</v>
      </c>
      <c r="H50" s="124" t="str"/>
      <c r="I50" s="12" t="inlineStr">
        <is>
          <t>Waiting Internal Input</t>
        </is>
      </c>
      <c r="J50" s="12">
        <f>IF(H50="",TODAY()-F50,H50-F50)</f>
        <v/>
      </c>
      <c r="K50" s="12" t="inlineStr">
        <is>
          <t>No</t>
        </is>
      </c>
      <c r="L50" s="12" t="inlineStr">
        <is>
          <t>Low</t>
        </is>
      </c>
      <c r="M50" s="12" t="inlineStr">
        <is>
          <t>Follow-up / quality review</t>
        </is>
      </c>
    </row>
    <row r="51">
      <c r="A51" s="12" t="inlineStr">
        <is>
          <t>SUB-050</t>
        </is>
      </c>
      <c r="B51" s="12" t="inlineStr">
        <is>
          <t>Ad-hoc Response - item 50</t>
        </is>
      </c>
      <c r="C51" s="12" t="inlineStr">
        <is>
          <t>ISA</t>
        </is>
      </c>
      <c r="D51" s="12" t="inlineStr">
        <is>
          <t>License/Transaction</t>
        </is>
      </c>
      <c r="E51" s="12" t="inlineStr">
        <is>
          <t>Agency</t>
        </is>
      </c>
      <c r="F51" s="124" t="n">
        <v>46099</v>
      </c>
      <c r="G51" s="124" t="n">
        <v>46124</v>
      </c>
      <c r="H51" s="124" t="n">
        <v>46124</v>
      </c>
      <c r="I51" s="12" t="inlineStr">
        <is>
          <t>Submitted</t>
        </is>
      </c>
      <c r="J51" s="12">
        <f>IF(H51="",TODAY()-F51,H51-F51)</f>
        <v/>
      </c>
      <c r="K51" s="12" t="inlineStr">
        <is>
          <t>Yes</t>
        </is>
      </c>
      <c r="L51" s="12" t="inlineStr">
        <is>
          <t>High</t>
        </is>
      </c>
      <c r="M51" s="12" t="inlineStr">
        <is>
          <t>Follow-up / quality review</t>
        </is>
      </c>
    </row>
    <row r="52">
      <c r="A52" s="12" t="inlineStr">
        <is>
          <t>SUB-051</t>
        </is>
      </c>
      <c r="B52" s="12" t="inlineStr">
        <is>
          <t>Capital Injection - item 51</t>
        </is>
      </c>
      <c r="C52" s="12" t="inlineStr">
        <is>
          <t>SBV</t>
        </is>
      </c>
      <c r="D52" s="12" t="inlineStr">
        <is>
          <t>Ad-hoc Response</t>
        </is>
      </c>
      <c r="E52" s="12" t="inlineStr">
        <is>
          <t>Compliance</t>
        </is>
      </c>
      <c r="F52" s="124" t="n">
        <v>46165</v>
      </c>
      <c r="G52" s="124" t="n">
        <v>46170</v>
      </c>
      <c r="H52" s="124" t="str"/>
      <c r="I52" s="12" t="inlineStr">
        <is>
          <t>Drafting</t>
        </is>
      </c>
      <c r="J52" s="12">
        <f>IF(H52="",TODAY()-F52,H52-F52)</f>
        <v/>
      </c>
      <c r="K52" s="12" t="inlineStr">
        <is>
          <t>No</t>
        </is>
      </c>
      <c r="L52" s="12" t="inlineStr">
        <is>
          <t>Medium</t>
        </is>
      </c>
      <c r="M52" s="12" t="inlineStr">
        <is>
          <t>Follow-up / quality review</t>
        </is>
      </c>
    </row>
    <row r="53">
      <c r="A53" s="12" t="inlineStr">
        <is>
          <t>SUB-052</t>
        </is>
      </c>
      <c r="B53" s="12" t="inlineStr">
        <is>
          <t>License/Transaction - item 52</t>
        </is>
      </c>
      <c r="C53" s="12" t="inlineStr">
        <is>
          <t>MIC</t>
        </is>
      </c>
      <c r="D53" s="12" t="inlineStr">
        <is>
          <t>Capital Injection</t>
        </is>
      </c>
      <c r="E53" s="12" t="inlineStr">
        <is>
          <t>Operations</t>
        </is>
      </c>
      <c r="F53" s="124" t="n">
        <v>46103</v>
      </c>
      <c r="G53" s="124" t="n">
        <v>46126</v>
      </c>
      <c r="H53" s="124" t="str"/>
      <c r="I53" s="12" t="inlineStr">
        <is>
          <t>Waiting Internal Input</t>
        </is>
      </c>
      <c r="J53" s="12">
        <f>IF(H53="",TODAY()-F53,H53-F53)</f>
        <v/>
      </c>
      <c r="K53" s="12" t="inlineStr">
        <is>
          <t>Yes</t>
        </is>
      </c>
      <c r="L53" s="12" t="inlineStr">
        <is>
          <t>High</t>
        </is>
      </c>
      <c r="M53" s="12" t="inlineStr">
        <is>
          <t>Follow-up / quality review</t>
        </is>
      </c>
    </row>
    <row r="54">
      <c r="A54" s="12" t="inlineStr">
        <is>
          <t>SUB-053</t>
        </is>
      </c>
      <c r="B54" s="12" t="inlineStr">
        <is>
          <t>Ad-hoc Response - item 53</t>
        </is>
      </c>
      <c r="C54" s="12" t="inlineStr">
        <is>
          <t>MOF</t>
        </is>
      </c>
      <c r="D54" s="12" t="inlineStr">
        <is>
          <t>Ad-hoc Response</t>
        </is>
      </c>
      <c r="E54" s="12" t="inlineStr">
        <is>
          <t>Operations</t>
        </is>
      </c>
      <c r="F54" s="124" t="n">
        <v>46100</v>
      </c>
      <c r="G54" s="124" t="n">
        <v>46127</v>
      </c>
      <c r="H54" s="124" t="str"/>
      <c r="I54" s="12" t="inlineStr">
        <is>
          <t>Drafting</t>
        </is>
      </c>
      <c r="J54" s="12">
        <f>IF(H54="",TODAY()-F54,H54-F54)</f>
        <v/>
      </c>
      <c r="K54" s="12" t="inlineStr">
        <is>
          <t>Yes</t>
        </is>
      </c>
      <c r="L54" s="12" t="inlineStr">
        <is>
          <t>High</t>
        </is>
      </c>
      <c r="M54" s="12" t="inlineStr">
        <is>
          <t>Follow-up / quality review</t>
        </is>
      </c>
    </row>
    <row r="55">
      <c r="A55" s="12" t="inlineStr">
        <is>
          <t>SUB-054</t>
        </is>
      </c>
      <c r="B55" s="12" t="inlineStr">
        <is>
          <t>Ad-hoc Response - item 54</t>
        </is>
      </c>
      <c r="C55" s="12" t="inlineStr">
        <is>
          <t>MOF</t>
        </is>
      </c>
      <c r="D55" s="12" t="inlineStr">
        <is>
          <t>Capital Injection</t>
        </is>
      </c>
      <c r="E55" s="12" t="inlineStr">
        <is>
          <t>Finance</t>
        </is>
      </c>
      <c r="F55" s="124" t="n">
        <v>46094</v>
      </c>
      <c r="G55" s="124" t="n">
        <v>46115</v>
      </c>
      <c r="H55" s="124" t="n">
        <v>46114</v>
      </c>
      <c r="I55" s="12" t="inlineStr">
        <is>
          <t>Submitted</t>
        </is>
      </c>
      <c r="J55" s="12">
        <f>IF(H55="",TODAY()-F55,H55-F55)</f>
        <v/>
      </c>
      <c r="K55" s="12" t="inlineStr">
        <is>
          <t>No</t>
        </is>
      </c>
      <c r="L55" s="12" t="inlineStr">
        <is>
          <t>Low</t>
        </is>
      </c>
      <c r="M55" s="12" t="inlineStr">
        <is>
          <t>Follow-up / quality review</t>
        </is>
      </c>
    </row>
    <row r="56">
      <c r="A56" s="12" t="inlineStr">
        <is>
          <t>SUB-055</t>
        </is>
      </c>
      <c r="B56" s="12" t="inlineStr">
        <is>
          <t>Agency Training - item 55</t>
        </is>
      </c>
      <c r="C56" s="12" t="inlineStr">
        <is>
          <t>SBV</t>
        </is>
      </c>
      <c r="D56" s="12" t="inlineStr">
        <is>
          <t>Capital Injection</t>
        </is>
      </c>
      <c r="E56" s="12" t="inlineStr">
        <is>
          <t>CEO Office</t>
        </is>
      </c>
      <c r="F56" s="124" t="n">
        <v>46116</v>
      </c>
      <c r="G56" s="124" t="n">
        <v>46138</v>
      </c>
      <c r="H56" s="124" t="n">
        <v>46135</v>
      </c>
      <c r="I56" s="12" t="inlineStr">
        <is>
          <t>Submitted</t>
        </is>
      </c>
      <c r="J56" s="12">
        <f>IF(H56="",TODAY()-F56,H56-F56)</f>
        <v/>
      </c>
      <c r="K56" s="12" t="inlineStr">
        <is>
          <t>Yes</t>
        </is>
      </c>
      <c r="L56" s="12" t="inlineStr">
        <is>
          <t>Low</t>
        </is>
      </c>
      <c r="M56" s="12" t="inlineStr">
        <is>
          <t>Follow-up / quality review</t>
        </is>
      </c>
    </row>
    <row r="57">
      <c r="A57" s="12" t="inlineStr">
        <is>
          <t>SUB-056</t>
        </is>
      </c>
      <c r="B57" s="12" t="inlineStr">
        <is>
          <t>Report - item 56</t>
        </is>
      </c>
      <c r="C57" s="12" t="inlineStr">
        <is>
          <t>IAV</t>
        </is>
      </c>
      <c r="D57" s="12" t="inlineStr">
        <is>
          <t>Ad-hoc Response</t>
        </is>
      </c>
      <c r="E57" s="12" t="inlineStr">
        <is>
          <t>CEO Office</t>
        </is>
      </c>
      <c r="F57" s="124" t="n">
        <v>46123</v>
      </c>
      <c r="G57" s="124" t="n">
        <v>46142</v>
      </c>
      <c r="H57" s="124" t="str"/>
      <c r="I57" s="12" t="inlineStr">
        <is>
          <t>In Review</t>
        </is>
      </c>
      <c r="J57" s="12">
        <f>IF(H57="",TODAY()-F57,H57-F57)</f>
        <v/>
      </c>
      <c r="K57" s="12" t="inlineStr">
        <is>
          <t>Partial</t>
        </is>
      </c>
      <c r="L57" s="12" t="inlineStr">
        <is>
          <t>High</t>
        </is>
      </c>
      <c r="M57" s="12" t="inlineStr">
        <is>
          <t>Follow-up / quality review</t>
        </is>
      </c>
    </row>
    <row r="58">
      <c r="A58" s="12" t="inlineStr">
        <is>
          <t>SUB-057</t>
        </is>
      </c>
      <c r="B58" s="12" t="inlineStr">
        <is>
          <t>New Product Approval - item 57</t>
        </is>
      </c>
      <c r="C58" s="12" t="inlineStr">
        <is>
          <t>ISA</t>
        </is>
      </c>
      <c r="D58" s="12" t="inlineStr">
        <is>
          <t>New Product Approval</t>
        </is>
      </c>
      <c r="E58" s="12" t="inlineStr">
        <is>
          <t>Bancassurance</t>
        </is>
      </c>
      <c r="F58" s="124" t="n">
        <v>46148</v>
      </c>
      <c r="G58" s="124" t="n">
        <v>46167</v>
      </c>
      <c r="H58" s="124" t="str"/>
      <c r="I58" s="12" t="inlineStr">
        <is>
          <t>Drafting</t>
        </is>
      </c>
      <c r="J58" s="12">
        <f>IF(H58="",TODAY()-F58,H58-F58)</f>
        <v/>
      </c>
      <c r="K58" s="12" t="inlineStr">
        <is>
          <t>No</t>
        </is>
      </c>
      <c r="L58" s="12" t="inlineStr">
        <is>
          <t>Low</t>
        </is>
      </c>
      <c r="M58" s="12" t="inlineStr">
        <is>
          <t>Follow-up / quality review</t>
        </is>
      </c>
    </row>
    <row r="59">
      <c r="A59" s="12" t="inlineStr">
        <is>
          <t>SUB-058</t>
        </is>
      </c>
      <c r="B59" s="12" t="inlineStr">
        <is>
          <t>Capital Injection - item 58</t>
        </is>
      </c>
      <c r="C59" s="12" t="inlineStr">
        <is>
          <t>ISA</t>
        </is>
      </c>
      <c r="D59" s="12" t="inlineStr">
        <is>
          <t>License/Transaction</t>
        </is>
      </c>
      <c r="E59" s="12" t="inlineStr">
        <is>
          <t>Product</t>
        </is>
      </c>
      <c r="F59" s="124" t="n">
        <v>46173</v>
      </c>
      <c r="G59" s="124" t="n">
        <v>46182</v>
      </c>
      <c r="H59" s="124" t="str"/>
      <c r="I59" s="12" t="inlineStr">
        <is>
          <t>Waiting Internal Input</t>
        </is>
      </c>
      <c r="J59" s="12">
        <f>IF(H59="",TODAY()-F59,H59-F59)</f>
        <v/>
      </c>
      <c r="K59" s="12" t="inlineStr">
        <is>
          <t>Yes</t>
        </is>
      </c>
      <c r="L59" s="12" t="inlineStr">
        <is>
          <t>Medium</t>
        </is>
      </c>
      <c r="M59" s="12" t="inlineStr">
        <is>
          <t>Follow-up / quality review</t>
        </is>
      </c>
    </row>
    <row r="60">
      <c r="A60" s="12" t="inlineStr">
        <is>
          <t>SUB-059</t>
        </is>
      </c>
      <c r="B60" s="12" t="inlineStr">
        <is>
          <t>Official Letter - item 59</t>
        </is>
      </c>
      <c r="C60" s="12" t="inlineStr">
        <is>
          <t>ISA</t>
        </is>
      </c>
      <c r="D60" s="12" t="inlineStr">
        <is>
          <t>Ad-hoc Response</t>
        </is>
      </c>
      <c r="E60" s="12" t="inlineStr">
        <is>
          <t>Operations</t>
        </is>
      </c>
      <c r="F60" s="124" t="n">
        <v>46131</v>
      </c>
      <c r="G60" s="124" t="n">
        <v>46146</v>
      </c>
      <c r="H60" s="124" t="n">
        <v>46143</v>
      </c>
      <c r="I60" s="12" t="inlineStr">
        <is>
          <t>Submitted</t>
        </is>
      </c>
      <c r="J60" s="12">
        <f>IF(H60="",TODAY()-F60,H60-F60)</f>
        <v/>
      </c>
      <c r="K60" s="12" t="inlineStr">
        <is>
          <t>No</t>
        </is>
      </c>
      <c r="L60" s="12" t="inlineStr">
        <is>
          <t>Low</t>
        </is>
      </c>
      <c r="M60" s="12" t="inlineStr">
        <is>
          <t>Follow-up / quality review</t>
        </is>
      </c>
    </row>
    <row r="61">
      <c r="A61" s="12" t="inlineStr">
        <is>
          <t>SUB-060</t>
        </is>
      </c>
      <c r="B61" s="12" t="inlineStr">
        <is>
          <t>Capital Injection - item 60</t>
        </is>
      </c>
      <c r="C61" s="12" t="inlineStr">
        <is>
          <t>MOF</t>
        </is>
      </c>
      <c r="D61" s="12" t="inlineStr">
        <is>
          <t>New Product Approval</t>
        </is>
      </c>
      <c r="E61" s="12" t="inlineStr">
        <is>
          <t>Agency</t>
        </is>
      </c>
      <c r="F61" s="124" t="n">
        <v>46094</v>
      </c>
      <c r="G61" s="124" t="n">
        <v>46099</v>
      </c>
      <c r="H61" s="124" t="n">
        <v>46096</v>
      </c>
      <c r="I61" s="12" t="inlineStr">
        <is>
          <t>Approved</t>
        </is>
      </c>
      <c r="J61" s="12">
        <f>IF(H61="",TODAY()-F61,H61-F61)</f>
        <v/>
      </c>
      <c r="K61" s="12" t="inlineStr">
        <is>
          <t>No</t>
        </is>
      </c>
      <c r="L61" s="12" t="inlineStr">
        <is>
          <t>Medium</t>
        </is>
      </c>
      <c r="M61" s="12" t="inlineStr">
        <is>
          <t>Follow-up / quality review</t>
        </is>
      </c>
    </row>
  </sheetData>
  <conditionalFormatting sqref="I2:I61">
    <cfRule type="expression" priority="1" dxfId="0">
      <formula>I2="Overdue"</formula>
    </cfRule>
  </conditionalFormatting>
  <conditionalFormatting sqref="L2:L200">
    <cfRule type="expression" priority="2" dxfId="22">
      <formula>L2="High"</formula>
    </cfRule>
  </conditionalFormatting>
  <dataValidations count="5">
    <dataValidation sqref="I2:I61" showDropDown="0" showInputMessage="0" showErrorMessage="0" allowBlank="0" type="list">
      <formula1>"On Track,Due Soon,Overdue,Submitted,Approved,In Review,Drafting,Waiting Internal Input"</formula1>
    </dataValidation>
    <dataValidation sqref="C2:C200" showDropDown="0" showInputMessage="0" showErrorMessage="0" allowBlank="0" type="list">
      <formula1>"MOF,ISA,IAV,SBV,MIC,VCA,Regional Office"</formula1>
    </dataValidation>
    <dataValidation sqref="E2:E200" showDropDown="0" showInputMessage="0" showErrorMessage="0" allowBlank="0" type="list">
      <formula1>"Legal,Compliance,Finance,Product,Agency,Bancassurance,Operations,CEO Office,Public Affairs,Risk"</formula1>
    </dataValidation>
    <dataValidation sqref="I2:I200" showDropDown="0" showInputMessage="0" showErrorMessage="0" allowBlank="0" type="list">
      <formula1>"On Track,Due Soon,Overdue,Submitted,Approved,In Review,Drafting,Waiting Internal Input,Open,Closed,In Progress,Blocked,Pending,Done,Not Started"</formula1>
    </dataValidation>
    <dataValidation sqref="L2:L200" showDropDown="0" showInputMessage="0" showErrorMessage="0" allowBlank="0" type="list">
      <formula1>"Critical,High,Medium,Low"</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26"/>
  <sheetViews>
    <sheetView workbookViewId="0">
      <selection activeCell="A1" sqref="A1"/>
    </sheetView>
  </sheetViews>
  <sheetFormatPr baseColWidth="8" defaultRowHeight="15"/>
  <cols>
    <col width="12.25" customWidth="1" style="44" min="1" max="1"/>
    <col width="22.61000061035156" customWidth="1" style="44" min="2" max="2"/>
    <col width="9.960000038146973" customWidth="1" style="44" min="3" max="3"/>
    <col width="10.5" customWidth="1" style="44" min="4" max="4"/>
    <col width="15.75" customWidth="1" style="44" min="5" max="5"/>
    <col width="18.44000053405762" customWidth="1" style="44" min="6" max="6"/>
    <col width="13.59000015258789" customWidth="1" style="44" min="7" max="7"/>
    <col width="19.78000068664551" customWidth="1" style="44" min="8" max="8"/>
    <col width="15.60999965667725" customWidth="1" style="44" min="9" max="9"/>
    <col width="24.6299991607666" customWidth="1" style="44" min="10" max="10"/>
    <col width="15.75" customWidth="1" style="44" min="11" max="11"/>
    <col width="16.69000053405762" customWidth="1" style="44" min="12" max="12"/>
    <col width="23.01000022888184" customWidth="1" style="44" min="13" max="13"/>
  </cols>
  <sheetData>
    <row r="1">
      <c r="A1" s="6" t="inlineStr">
        <is>
          <t>Approval ID</t>
        </is>
      </c>
      <c r="B1" s="6" t="inlineStr">
        <is>
          <t>Approval Item</t>
        </is>
      </c>
      <c r="C1" s="6" t="inlineStr">
        <is>
          <t>Category</t>
        </is>
      </c>
      <c r="D1" s="6" t="inlineStr">
        <is>
          <t>Regulator</t>
        </is>
      </c>
      <c r="E1" s="6" t="inlineStr">
        <is>
          <t>Business Owner</t>
        </is>
      </c>
      <c r="F1" s="6" t="inlineStr">
        <is>
          <t>Current Stage</t>
        </is>
      </c>
      <c r="G1" s="6" t="inlineStr">
        <is>
          <t>Request Date</t>
        </is>
      </c>
      <c r="H1" s="6" t="inlineStr">
        <is>
          <t>Target Approval Date</t>
        </is>
      </c>
      <c r="I1" s="6" t="inlineStr">
        <is>
          <t>Days in Pipeline</t>
        </is>
      </c>
      <c r="J1" s="6" t="inlineStr">
        <is>
          <t>Probability of Approval (%)</t>
        </is>
      </c>
      <c r="K1" s="6" t="inlineStr">
        <is>
          <t>Business Impact</t>
        </is>
      </c>
      <c r="L1" s="6" t="inlineStr">
        <is>
          <t>Blocker</t>
        </is>
      </c>
      <c r="M1" s="6" t="inlineStr">
        <is>
          <t>Next Action</t>
        </is>
      </c>
      <c r="N1" s="12" t="n"/>
      <c r="O1" s="12" t="n"/>
      <c r="P1" s="12" t="n"/>
      <c r="Q1" s="12" t="n"/>
      <c r="R1" s="12" t="n"/>
      <c r="S1" s="12" t="n"/>
      <c r="T1" s="12" t="n"/>
      <c r="U1" s="12" t="n"/>
      <c r="V1" s="12" t="n"/>
      <c r="W1" s="12" t="n"/>
      <c r="X1" s="12" t="n"/>
      <c r="Y1" s="12" t="n"/>
      <c r="Z1" s="12" t="n"/>
    </row>
    <row r="2">
      <c r="A2" s="12" t="inlineStr">
        <is>
          <t>APR-001</t>
        </is>
      </c>
      <c r="B2" s="12" t="inlineStr">
        <is>
          <t>Health Rider Update 1</t>
        </is>
      </c>
      <c r="C2" s="12" t="inlineStr">
        <is>
          <t>License</t>
        </is>
      </c>
      <c r="D2" s="12" t="inlineStr">
        <is>
          <t>MOF</t>
        </is>
      </c>
      <c r="E2" s="12" t="inlineStr">
        <is>
          <t>Agency</t>
        </is>
      </c>
      <c r="F2" s="12" t="inlineStr">
        <is>
          <t>Approved</t>
        </is>
      </c>
      <c r="G2" s="124" t="n">
        <v>46111</v>
      </c>
      <c r="H2" s="124" t="n">
        <v>46200</v>
      </c>
      <c r="I2" s="12">
        <f>TODAY()-G2</f>
        <v/>
      </c>
      <c r="J2" s="12" t="n">
        <v>72</v>
      </c>
      <c r="K2" s="12" t="inlineStr">
        <is>
          <t>Medium</t>
        </is>
      </c>
      <c r="L2" s="12" t="inlineStr">
        <is>
          <t>None</t>
        </is>
      </c>
      <c r="M2" s="12" t="inlineStr">
        <is>
          <t>Prepare response / follow up</t>
        </is>
      </c>
    </row>
    <row r="3">
      <c r="A3" s="12" t="inlineStr">
        <is>
          <t>APR-002</t>
        </is>
      </c>
      <c r="B3" s="12" t="inlineStr">
        <is>
          <t>Agency Training Program 2</t>
        </is>
      </c>
      <c r="C3" s="12" t="inlineStr">
        <is>
          <t>Distribution</t>
        </is>
      </c>
      <c r="D3" s="12" t="inlineStr">
        <is>
          <t>MOF</t>
        </is>
      </c>
      <c r="E3" s="12" t="inlineStr">
        <is>
          <t>Bancassurance</t>
        </is>
      </c>
      <c r="F3" s="12" t="inlineStr">
        <is>
          <t>Regulator Q&amp;A</t>
        </is>
      </c>
      <c r="G3" s="124" t="n">
        <v>46130</v>
      </c>
      <c r="H3" s="124" t="n">
        <v>46193</v>
      </c>
      <c r="I3" s="12">
        <f>TODAY()-G3</f>
        <v/>
      </c>
      <c r="J3" s="12" t="n">
        <v>53</v>
      </c>
      <c r="K3" s="12" t="inlineStr">
        <is>
          <t>Low</t>
        </is>
      </c>
      <c r="L3" s="12" t="inlineStr">
        <is>
          <t>Internal sign-off</t>
        </is>
      </c>
      <c r="M3" s="12" t="inlineStr">
        <is>
          <t>Prepare response / follow up</t>
        </is>
      </c>
    </row>
    <row r="4">
      <c r="A4" s="12" t="inlineStr">
        <is>
          <t>APR-003</t>
        </is>
      </c>
      <c r="B4" s="12" t="inlineStr">
        <is>
          <t>License Amendment 3</t>
        </is>
      </c>
      <c r="C4" s="12" t="inlineStr">
        <is>
          <t>Product</t>
        </is>
      </c>
      <c r="D4" s="12" t="inlineStr">
        <is>
          <t>MOF</t>
        </is>
      </c>
      <c r="E4" s="12" t="inlineStr">
        <is>
          <t>Bancassurance</t>
        </is>
      </c>
      <c r="F4" s="12" t="inlineStr">
        <is>
          <t>Regulator Q&amp;A</t>
        </is>
      </c>
      <c r="G4" s="124" t="n">
        <v>46176</v>
      </c>
      <c r="H4" s="124" t="n">
        <v>46246</v>
      </c>
      <c r="I4" s="12">
        <f>TODAY()-G4</f>
        <v/>
      </c>
      <c r="J4" s="12" t="n">
        <v>53</v>
      </c>
      <c r="K4" s="12" t="inlineStr">
        <is>
          <t>Medium</t>
        </is>
      </c>
      <c r="L4" s="12" t="inlineStr">
        <is>
          <t>Awaiting legal memo</t>
        </is>
      </c>
      <c r="M4" s="12" t="inlineStr">
        <is>
          <t>Prepare response / follow up</t>
        </is>
      </c>
    </row>
    <row r="5">
      <c r="A5" s="12" t="inlineStr">
        <is>
          <t>APR-004</t>
        </is>
      </c>
      <c r="B5" s="12" t="inlineStr">
        <is>
          <t>Health Rider Update 4</t>
        </is>
      </c>
      <c r="C5" s="12" t="inlineStr">
        <is>
          <t>License</t>
        </is>
      </c>
      <c r="D5" s="12" t="inlineStr">
        <is>
          <t>ISA</t>
        </is>
      </c>
      <c r="E5" s="12" t="inlineStr">
        <is>
          <t>Agency</t>
        </is>
      </c>
      <c r="F5" s="12" t="inlineStr">
        <is>
          <t>Submitted to Regulator</t>
        </is>
      </c>
      <c r="G5" s="124" t="n">
        <v>46173</v>
      </c>
      <c r="H5" s="124" t="n">
        <v>46226</v>
      </c>
      <c r="I5" s="12">
        <f>TODAY()-G5</f>
        <v/>
      </c>
      <c r="J5" s="12" t="n">
        <v>93</v>
      </c>
      <c r="K5" s="12" t="inlineStr">
        <is>
          <t>Medium</t>
        </is>
      </c>
      <c r="L5" s="12" t="inlineStr">
        <is>
          <t>Missing attachment</t>
        </is>
      </c>
      <c r="M5" s="12" t="inlineStr">
        <is>
          <t>Prepare response / follow up</t>
        </is>
      </c>
    </row>
    <row r="6">
      <c r="A6" s="12" t="inlineStr">
        <is>
          <t>APR-005</t>
        </is>
      </c>
      <c r="B6" s="12" t="inlineStr">
        <is>
          <t>New UL Product 5</t>
        </is>
      </c>
      <c r="C6" s="12" t="inlineStr">
        <is>
          <t>License</t>
        </is>
      </c>
      <c r="D6" s="12" t="inlineStr">
        <is>
          <t>MOF</t>
        </is>
      </c>
      <c r="E6" s="12" t="inlineStr">
        <is>
          <t>CEO Office</t>
        </is>
      </c>
      <c r="F6" s="12" t="inlineStr">
        <is>
          <t>Compliance Review</t>
        </is>
      </c>
      <c r="G6" s="124" t="n">
        <v>46083</v>
      </c>
      <c r="H6" s="124" t="n">
        <v>46156</v>
      </c>
      <c r="I6" s="12">
        <f>TODAY()-G6</f>
        <v/>
      </c>
      <c r="J6" s="12" t="n">
        <v>48</v>
      </c>
      <c r="K6" s="12" t="inlineStr">
        <is>
          <t>Medium</t>
        </is>
      </c>
      <c r="L6" s="12" t="inlineStr">
        <is>
          <t>Awaiting legal memo</t>
        </is>
      </c>
      <c r="M6" s="12" t="inlineStr">
        <is>
          <t>Prepare response / follow up</t>
        </is>
      </c>
    </row>
    <row r="7">
      <c r="A7" s="12" t="inlineStr">
        <is>
          <t>APR-006</t>
        </is>
      </c>
      <c r="B7" s="12" t="inlineStr">
        <is>
          <t>License Amendment 6</t>
        </is>
      </c>
      <c r="C7" s="12" t="inlineStr">
        <is>
          <t>Product</t>
        </is>
      </c>
      <c r="D7" s="12" t="inlineStr">
        <is>
          <t>MOF</t>
        </is>
      </c>
      <c r="E7" s="12" t="inlineStr">
        <is>
          <t>Finance</t>
        </is>
      </c>
      <c r="F7" s="12" t="inlineStr">
        <is>
          <t>Approved</t>
        </is>
      </c>
      <c r="G7" s="124" t="n">
        <v>46096</v>
      </c>
      <c r="H7" s="124" t="n">
        <v>46124</v>
      </c>
      <c r="I7" s="12">
        <f>TODAY()-G7</f>
        <v/>
      </c>
      <c r="J7" s="12" t="n">
        <v>57</v>
      </c>
      <c r="K7" s="12" t="inlineStr">
        <is>
          <t>High</t>
        </is>
      </c>
      <c r="L7" s="12" t="inlineStr">
        <is>
          <t>Internal sign-off</t>
        </is>
      </c>
      <c r="M7" s="12" t="inlineStr">
        <is>
          <t>Prepare response / follow up</t>
        </is>
      </c>
    </row>
    <row r="8">
      <c r="A8" s="12" t="inlineStr">
        <is>
          <t>APR-007</t>
        </is>
      </c>
      <c r="B8" s="12" t="inlineStr">
        <is>
          <t>License Amendment 7</t>
        </is>
      </c>
      <c r="C8" s="12" t="inlineStr">
        <is>
          <t>Product</t>
        </is>
      </c>
      <c r="D8" s="12" t="inlineStr">
        <is>
          <t>MOF</t>
        </is>
      </c>
      <c r="E8" s="12" t="inlineStr">
        <is>
          <t>Bancassurance</t>
        </is>
      </c>
      <c r="F8" s="12" t="inlineStr">
        <is>
          <t>Legal Review</t>
        </is>
      </c>
      <c r="G8" s="124" t="n">
        <v>46160</v>
      </c>
      <c r="H8" s="124" t="n">
        <v>46210</v>
      </c>
      <c r="I8" s="12">
        <f>TODAY()-G8</f>
        <v/>
      </c>
      <c r="J8" s="12" t="n">
        <v>89</v>
      </c>
      <c r="K8" s="12" t="inlineStr">
        <is>
          <t>Medium</t>
        </is>
      </c>
      <c r="L8" s="12" t="inlineStr">
        <is>
          <t>Missing attachment</t>
        </is>
      </c>
      <c r="M8" s="12" t="inlineStr">
        <is>
          <t>Prepare response / follow up</t>
        </is>
      </c>
    </row>
    <row r="9">
      <c r="A9" s="12" t="inlineStr">
        <is>
          <t>APR-008</t>
        </is>
      </c>
      <c r="B9" s="12" t="inlineStr">
        <is>
          <t>Health Rider Update 8</t>
        </is>
      </c>
      <c r="C9" s="12" t="inlineStr">
        <is>
          <t>Agency</t>
        </is>
      </c>
      <c r="D9" s="12" t="inlineStr">
        <is>
          <t>MOF</t>
        </is>
      </c>
      <c r="E9" s="12" t="inlineStr">
        <is>
          <t>CEO Office</t>
        </is>
      </c>
      <c r="F9" s="12" t="inlineStr">
        <is>
          <t>Approved</t>
        </is>
      </c>
      <c r="G9" s="124" t="n">
        <v>46158</v>
      </c>
      <c r="H9" s="124" t="n">
        <v>46192</v>
      </c>
      <c r="I9" s="12">
        <f>TODAY()-G9</f>
        <v/>
      </c>
      <c r="J9" s="12" t="n">
        <v>46</v>
      </c>
      <c r="K9" s="12" t="inlineStr">
        <is>
          <t>Medium</t>
        </is>
      </c>
      <c r="L9" s="12" t="inlineStr">
        <is>
          <t>Internal sign-off</t>
        </is>
      </c>
      <c r="M9" s="12" t="inlineStr">
        <is>
          <t>Prepare response / follow up</t>
        </is>
      </c>
    </row>
    <row r="10">
      <c r="A10" s="12" t="inlineStr">
        <is>
          <t>APR-009</t>
        </is>
      </c>
      <c r="B10" s="12" t="inlineStr">
        <is>
          <t>License Amendment 9</t>
        </is>
      </c>
      <c r="C10" s="12" t="inlineStr">
        <is>
          <t>Capital</t>
        </is>
      </c>
      <c r="D10" s="12" t="inlineStr">
        <is>
          <t>MOF</t>
        </is>
      </c>
      <c r="E10" s="12" t="inlineStr">
        <is>
          <t>CEO Office</t>
        </is>
      </c>
      <c r="F10" s="12" t="inlineStr">
        <is>
          <t>Submitted to Regulator</t>
        </is>
      </c>
      <c r="G10" s="124" t="n">
        <v>46093</v>
      </c>
      <c r="H10" s="124" t="n">
        <v>46161</v>
      </c>
      <c r="I10" s="12">
        <f>TODAY()-G10</f>
        <v/>
      </c>
      <c r="J10" s="12" t="n">
        <v>89</v>
      </c>
      <c r="K10" s="12" t="inlineStr">
        <is>
          <t>Low</t>
        </is>
      </c>
      <c r="L10" s="12" t="inlineStr">
        <is>
          <t>Awaiting legal memo</t>
        </is>
      </c>
      <c r="M10" s="12" t="inlineStr">
        <is>
          <t>Prepare response / follow up</t>
        </is>
      </c>
    </row>
    <row r="11">
      <c r="A11" s="12" t="inlineStr">
        <is>
          <t>APR-010</t>
        </is>
      </c>
      <c r="B11" s="12" t="inlineStr">
        <is>
          <t>Bancassurance Campaign 10</t>
        </is>
      </c>
      <c r="C11" s="12" t="inlineStr">
        <is>
          <t>Product</t>
        </is>
      </c>
      <c r="D11" s="12" t="inlineStr">
        <is>
          <t>MOF</t>
        </is>
      </c>
      <c r="E11" s="12" t="inlineStr">
        <is>
          <t>Agency</t>
        </is>
      </c>
      <c r="F11" s="12" t="inlineStr">
        <is>
          <t>Approved</t>
        </is>
      </c>
      <c r="G11" s="124" t="n">
        <v>46166</v>
      </c>
      <c r="H11" s="124" t="n">
        <v>46224</v>
      </c>
      <c r="I11" s="12">
        <f>TODAY()-G11</f>
        <v/>
      </c>
      <c r="J11" s="12" t="n">
        <v>79</v>
      </c>
      <c r="K11" s="12" t="inlineStr">
        <is>
          <t>Medium</t>
        </is>
      </c>
      <c r="L11" s="12" t="inlineStr">
        <is>
          <t>Missing attachment</t>
        </is>
      </c>
      <c r="M11" s="12" t="inlineStr">
        <is>
          <t>Prepare response / follow up</t>
        </is>
      </c>
    </row>
    <row r="12">
      <c r="A12" s="12" t="inlineStr">
        <is>
          <t>APR-011</t>
        </is>
      </c>
      <c r="B12" s="12" t="inlineStr">
        <is>
          <t>New UL Product 11</t>
        </is>
      </c>
      <c r="C12" s="12" t="inlineStr">
        <is>
          <t>License</t>
        </is>
      </c>
      <c r="D12" s="12" t="inlineStr">
        <is>
          <t>ISA</t>
        </is>
      </c>
      <c r="E12" s="12" t="inlineStr">
        <is>
          <t>Product</t>
        </is>
      </c>
      <c r="F12" s="12" t="inlineStr">
        <is>
          <t>Regulator Q&amp;A</t>
        </is>
      </c>
      <c r="G12" s="124" t="n">
        <v>46171</v>
      </c>
      <c r="H12" s="124" t="n">
        <v>46255</v>
      </c>
      <c r="I12" s="12">
        <f>TODAY()-G12</f>
        <v/>
      </c>
      <c r="J12" s="12" t="n">
        <v>72</v>
      </c>
      <c r="K12" s="12" t="inlineStr">
        <is>
          <t>Medium</t>
        </is>
      </c>
      <c r="L12" s="12" t="inlineStr">
        <is>
          <t>Regulator Q&amp;A</t>
        </is>
      </c>
      <c r="M12" s="12" t="inlineStr">
        <is>
          <t>Prepare response / follow up</t>
        </is>
      </c>
    </row>
    <row r="13">
      <c r="A13" s="12" t="inlineStr">
        <is>
          <t>APR-012</t>
        </is>
      </c>
      <c r="B13" s="12" t="inlineStr">
        <is>
          <t>License Amendment 12</t>
        </is>
      </c>
      <c r="C13" s="12" t="inlineStr">
        <is>
          <t>Transaction</t>
        </is>
      </c>
      <c r="D13" s="12" t="inlineStr">
        <is>
          <t>ISA</t>
        </is>
      </c>
      <c r="E13" s="12" t="inlineStr">
        <is>
          <t>CEO Office</t>
        </is>
      </c>
      <c r="F13" s="12" t="inlineStr">
        <is>
          <t>Submitted to Regulator</t>
        </is>
      </c>
      <c r="G13" s="124" t="n">
        <v>46089</v>
      </c>
      <c r="H13" s="124" t="n">
        <v>46128</v>
      </c>
      <c r="I13" s="12">
        <f>TODAY()-G13</f>
        <v/>
      </c>
      <c r="J13" s="12" t="n">
        <v>79</v>
      </c>
      <c r="K13" s="12" t="inlineStr">
        <is>
          <t>Medium</t>
        </is>
      </c>
      <c r="L13" s="12" t="inlineStr">
        <is>
          <t>Regulator Q&amp;A</t>
        </is>
      </c>
      <c r="M13" s="12" t="inlineStr">
        <is>
          <t>Prepare response / follow up</t>
        </is>
      </c>
    </row>
    <row r="14">
      <c r="A14" s="12" t="inlineStr">
        <is>
          <t>APR-013</t>
        </is>
      </c>
      <c r="B14" s="12" t="inlineStr">
        <is>
          <t>Health Rider Update 13</t>
        </is>
      </c>
      <c r="C14" s="12" t="inlineStr">
        <is>
          <t>Product</t>
        </is>
      </c>
      <c r="D14" s="12" t="inlineStr">
        <is>
          <t>ISA</t>
        </is>
      </c>
      <c r="E14" s="12" t="inlineStr">
        <is>
          <t>Bancassurance</t>
        </is>
      </c>
      <c r="F14" s="12" t="inlineStr">
        <is>
          <t>Compliance Review</t>
        </is>
      </c>
      <c r="G14" s="124" t="n">
        <v>46124</v>
      </c>
      <c r="H14" s="124" t="n">
        <v>46178</v>
      </c>
      <c r="I14" s="12">
        <f>TODAY()-G14</f>
        <v/>
      </c>
      <c r="J14" s="12" t="n">
        <v>60</v>
      </c>
      <c r="K14" s="12" t="inlineStr">
        <is>
          <t>Medium</t>
        </is>
      </c>
      <c r="L14" s="12" t="inlineStr">
        <is>
          <t>Internal sign-off</t>
        </is>
      </c>
      <c r="M14" s="12" t="inlineStr">
        <is>
          <t>Prepare response / follow up</t>
        </is>
      </c>
    </row>
    <row r="15">
      <c r="A15" s="12" t="inlineStr">
        <is>
          <t>APR-014</t>
        </is>
      </c>
      <c r="B15" s="12" t="inlineStr">
        <is>
          <t>Agency Training Program 14</t>
        </is>
      </c>
      <c r="C15" s="12" t="inlineStr">
        <is>
          <t>Agency</t>
        </is>
      </c>
      <c r="D15" s="12" t="inlineStr">
        <is>
          <t>MOF</t>
        </is>
      </c>
      <c r="E15" s="12" t="inlineStr">
        <is>
          <t>Bancassurance</t>
        </is>
      </c>
      <c r="F15" s="12" t="inlineStr">
        <is>
          <t>Compliance Review</t>
        </is>
      </c>
      <c r="G15" s="124" t="n">
        <v>46101</v>
      </c>
      <c r="H15" s="124" t="n">
        <v>46169</v>
      </c>
      <c r="I15" s="12">
        <f>TODAY()-G15</f>
        <v/>
      </c>
      <c r="J15" s="12" t="n">
        <v>58</v>
      </c>
      <c r="K15" s="12" t="inlineStr">
        <is>
          <t>Medium</t>
        </is>
      </c>
      <c r="L15" s="12" t="inlineStr">
        <is>
          <t>Missing attachment</t>
        </is>
      </c>
      <c r="M15" s="12" t="inlineStr">
        <is>
          <t>Prepare response / follow up</t>
        </is>
      </c>
    </row>
    <row r="16">
      <c r="A16" s="12" t="inlineStr">
        <is>
          <t>APR-015</t>
        </is>
      </c>
      <c r="B16" s="12" t="inlineStr">
        <is>
          <t>License Amendment 15</t>
        </is>
      </c>
      <c r="C16" s="12" t="inlineStr">
        <is>
          <t>Agency</t>
        </is>
      </c>
      <c r="D16" s="12" t="inlineStr">
        <is>
          <t>MOF</t>
        </is>
      </c>
      <c r="E16" s="12" t="inlineStr">
        <is>
          <t>CEO Office</t>
        </is>
      </c>
      <c r="F16" s="12" t="inlineStr">
        <is>
          <t>Approved</t>
        </is>
      </c>
      <c r="G16" s="124" t="n">
        <v>46136</v>
      </c>
      <c r="H16" s="124" t="n">
        <v>46191</v>
      </c>
      <c r="I16" s="12">
        <f>TODAY()-G16</f>
        <v/>
      </c>
      <c r="J16" s="12" t="n">
        <v>57</v>
      </c>
      <c r="K16" s="12" t="inlineStr">
        <is>
          <t>High</t>
        </is>
      </c>
      <c r="L16" s="12" t="inlineStr">
        <is>
          <t>Awaiting legal memo</t>
        </is>
      </c>
      <c r="M16" s="12" t="inlineStr">
        <is>
          <t>Prepare response / follow up</t>
        </is>
      </c>
    </row>
    <row r="17">
      <c r="A17" s="12" t="inlineStr">
        <is>
          <t>APR-016</t>
        </is>
      </c>
      <c r="B17" s="12" t="inlineStr">
        <is>
          <t>Health Rider Update 16</t>
        </is>
      </c>
      <c r="C17" s="12" t="inlineStr">
        <is>
          <t>Distribution</t>
        </is>
      </c>
      <c r="D17" s="12" t="inlineStr">
        <is>
          <t>ISA</t>
        </is>
      </c>
      <c r="E17" s="12" t="inlineStr">
        <is>
          <t>Bancassurance</t>
        </is>
      </c>
      <c r="F17" s="12" t="inlineStr">
        <is>
          <t>Submitted to Regulator</t>
        </is>
      </c>
      <c r="G17" s="124" t="n">
        <v>46087</v>
      </c>
      <c r="H17" s="124" t="n">
        <v>46159</v>
      </c>
      <c r="I17" s="12">
        <f>TODAY()-G17</f>
        <v/>
      </c>
      <c r="J17" s="12" t="n">
        <v>73</v>
      </c>
      <c r="K17" s="12" t="inlineStr">
        <is>
          <t>High</t>
        </is>
      </c>
      <c r="L17" s="12" t="inlineStr">
        <is>
          <t>None</t>
        </is>
      </c>
      <c r="M17" s="12" t="inlineStr">
        <is>
          <t>Prepare response / follow up</t>
        </is>
      </c>
    </row>
    <row r="18">
      <c r="A18" s="12" t="inlineStr">
        <is>
          <t>APR-017</t>
        </is>
      </c>
      <c r="B18" s="12" t="inlineStr">
        <is>
          <t>Health Rider Update 17</t>
        </is>
      </c>
      <c r="C18" s="12" t="inlineStr">
        <is>
          <t>Agency</t>
        </is>
      </c>
      <c r="D18" s="12" t="inlineStr">
        <is>
          <t>ISA</t>
        </is>
      </c>
      <c r="E18" s="12" t="inlineStr">
        <is>
          <t>Bancassurance</t>
        </is>
      </c>
      <c r="F18" s="12" t="inlineStr">
        <is>
          <t>Submitted to Regulator</t>
        </is>
      </c>
      <c r="G18" s="124" t="n">
        <v>46142</v>
      </c>
      <c r="H18" s="124" t="n">
        <v>46190</v>
      </c>
      <c r="I18" s="12">
        <f>TODAY()-G18</f>
        <v/>
      </c>
      <c r="J18" s="12" t="n">
        <v>80</v>
      </c>
      <c r="K18" s="12" t="inlineStr">
        <is>
          <t>Low</t>
        </is>
      </c>
      <c r="L18" s="12" t="inlineStr">
        <is>
          <t>Missing attachment</t>
        </is>
      </c>
      <c r="M18" s="12" t="inlineStr">
        <is>
          <t>Prepare response / follow up</t>
        </is>
      </c>
    </row>
    <row r="19">
      <c r="A19" s="12" t="inlineStr">
        <is>
          <t>APR-018</t>
        </is>
      </c>
      <c r="B19" s="12" t="inlineStr">
        <is>
          <t>License Amendment 18</t>
        </is>
      </c>
      <c r="C19" s="12" t="inlineStr">
        <is>
          <t>License</t>
        </is>
      </c>
      <c r="D19" s="12" t="inlineStr">
        <is>
          <t>ISA</t>
        </is>
      </c>
      <c r="E19" s="12" t="inlineStr">
        <is>
          <t>Agency</t>
        </is>
      </c>
      <c r="F19" s="12" t="inlineStr">
        <is>
          <t>Compliance Review</t>
        </is>
      </c>
      <c r="G19" s="124" t="n">
        <v>46125</v>
      </c>
      <c r="H19" s="124" t="n">
        <v>46215</v>
      </c>
      <c r="I19" s="12">
        <f>TODAY()-G19</f>
        <v/>
      </c>
      <c r="J19" s="12" t="n">
        <v>61</v>
      </c>
      <c r="K19" s="12" t="inlineStr">
        <is>
          <t>High</t>
        </is>
      </c>
      <c r="L19" s="12" t="inlineStr">
        <is>
          <t>None</t>
        </is>
      </c>
      <c r="M19" s="12" t="inlineStr">
        <is>
          <t>Prepare response / follow up</t>
        </is>
      </c>
    </row>
    <row r="20">
      <c r="A20" s="12" t="inlineStr">
        <is>
          <t>APR-019</t>
        </is>
      </c>
      <c r="B20" s="12" t="inlineStr">
        <is>
          <t>License Amendment 19</t>
        </is>
      </c>
      <c r="C20" s="12" t="inlineStr">
        <is>
          <t>Transaction</t>
        </is>
      </c>
      <c r="D20" s="12" t="inlineStr">
        <is>
          <t>MOF</t>
        </is>
      </c>
      <c r="E20" s="12" t="inlineStr">
        <is>
          <t>Finance</t>
        </is>
      </c>
      <c r="F20" s="12" t="inlineStr">
        <is>
          <t>Compliance Review</t>
        </is>
      </c>
      <c r="G20" s="124" t="n">
        <v>46087</v>
      </c>
      <c r="H20" s="124" t="n">
        <v>46131</v>
      </c>
      <c r="I20" s="12">
        <f>TODAY()-G20</f>
        <v/>
      </c>
      <c r="J20" s="12" t="n">
        <v>58</v>
      </c>
      <c r="K20" s="12" t="inlineStr">
        <is>
          <t>Low</t>
        </is>
      </c>
      <c r="L20" s="12" t="inlineStr">
        <is>
          <t>Regulator Q&amp;A</t>
        </is>
      </c>
      <c r="M20" s="12" t="inlineStr">
        <is>
          <t>Prepare response / follow up</t>
        </is>
      </c>
    </row>
    <row r="21">
      <c r="A21" s="12" t="inlineStr">
        <is>
          <t>APR-020</t>
        </is>
      </c>
      <c r="B21" s="12" t="inlineStr">
        <is>
          <t>New UL Product 20</t>
        </is>
      </c>
      <c r="C21" s="12" t="inlineStr">
        <is>
          <t>Capital</t>
        </is>
      </c>
      <c r="D21" s="12" t="inlineStr">
        <is>
          <t>ISA</t>
        </is>
      </c>
      <c r="E21" s="12" t="inlineStr">
        <is>
          <t>Finance</t>
        </is>
      </c>
      <c r="F21" s="12" t="inlineStr">
        <is>
          <t>Regulator Q&amp;A</t>
        </is>
      </c>
      <c r="G21" s="124" t="n">
        <v>46144</v>
      </c>
      <c r="H21" s="124" t="n">
        <v>46231</v>
      </c>
      <c r="I21" s="12">
        <f>TODAY()-G21</f>
        <v/>
      </c>
      <c r="J21" s="12" t="n">
        <v>68</v>
      </c>
      <c r="K21" s="12" t="inlineStr">
        <is>
          <t>High</t>
        </is>
      </c>
      <c r="L21" s="12" t="inlineStr">
        <is>
          <t>Missing attachment</t>
        </is>
      </c>
      <c r="M21" s="12" t="inlineStr">
        <is>
          <t>Prepare response / follow up</t>
        </is>
      </c>
    </row>
    <row r="22">
      <c r="A22" s="12" t="inlineStr">
        <is>
          <t>APR-021</t>
        </is>
      </c>
      <c r="B22" s="12" t="inlineStr">
        <is>
          <t>New UL Product 21</t>
        </is>
      </c>
      <c r="C22" s="12" t="inlineStr">
        <is>
          <t>Product</t>
        </is>
      </c>
      <c r="D22" s="12" t="inlineStr">
        <is>
          <t>ISA</t>
        </is>
      </c>
      <c r="E22" s="12" t="inlineStr">
        <is>
          <t>Finance</t>
        </is>
      </c>
      <c r="F22" s="12" t="inlineStr">
        <is>
          <t>Legal Review</t>
        </is>
      </c>
      <c r="G22" s="124" t="n">
        <v>46178</v>
      </c>
      <c r="H22" s="124" t="n">
        <v>46266</v>
      </c>
      <c r="I22" s="12">
        <f>TODAY()-G22</f>
        <v/>
      </c>
      <c r="J22" s="12" t="n">
        <v>85</v>
      </c>
      <c r="K22" s="12" t="inlineStr">
        <is>
          <t>Medium</t>
        </is>
      </c>
      <c r="L22" s="12" t="inlineStr">
        <is>
          <t>None</t>
        </is>
      </c>
      <c r="M22" s="12" t="inlineStr">
        <is>
          <t>Prepare response / follow up</t>
        </is>
      </c>
    </row>
    <row r="23">
      <c r="A23" s="12" t="inlineStr">
        <is>
          <t>APR-022</t>
        </is>
      </c>
      <c r="B23" s="12" t="inlineStr">
        <is>
          <t>Agency Training Program 22</t>
        </is>
      </c>
      <c r="C23" s="12" t="inlineStr">
        <is>
          <t>License</t>
        </is>
      </c>
      <c r="D23" s="12" t="inlineStr">
        <is>
          <t>ISA</t>
        </is>
      </c>
      <c r="E23" s="12" t="inlineStr">
        <is>
          <t>Agency</t>
        </is>
      </c>
      <c r="F23" s="12" t="inlineStr">
        <is>
          <t>Regulator Q&amp;A</t>
        </is>
      </c>
      <c r="G23" s="124" t="n">
        <v>46068</v>
      </c>
      <c r="H23" s="124" t="n">
        <v>46089</v>
      </c>
      <c r="I23" s="12">
        <f>TODAY()-G23</f>
        <v/>
      </c>
      <c r="J23" s="12" t="n">
        <v>56</v>
      </c>
      <c r="K23" s="12" t="inlineStr">
        <is>
          <t>High</t>
        </is>
      </c>
      <c r="L23" s="12" t="inlineStr">
        <is>
          <t>Missing attachment</t>
        </is>
      </c>
      <c r="M23" s="12" t="inlineStr">
        <is>
          <t>Prepare response / follow up</t>
        </is>
      </c>
    </row>
    <row r="24">
      <c r="A24" s="12" t="inlineStr">
        <is>
          <t>APR-023</t>
        </is>
      </c>
      <c r="B24" s="12" t="inlineStr">
        <is>
          <t>New UL Product 23</t>
        </is>
      </c>
      <c r="C24" s="12" t="inlineStr">
        <is>
          <t>License</t>
        </is>
      </c>
      <c r="D24" s="12" t="inlineStr">
        <is>
          <t>ISA</t>
        </is>
      </c>
      <c r="E24" s="12" t="inlineStr">
        <is>
          <t>Product</t>
        </is>
      </c>
      <c r="F24" s="12" t="inlineStr">
        <is>
          <t>Legal Review</t>
        </is>
      </c>
      <c r="G24" s="124" t="n">
        <v>46069</v>
      </c>
      <c r="H24" s="124" t="n">
        <v>46150</v>
      </c>
      <c r="I24" s="12">
        <f>TODAY()-G24</f>
        <v/>
      </c>
      <c r="J24" s="12" t="n">
        <v>81</v>
      </c>
      <c r="K24" s="12" t="inlineStr">
        <is>
          <t>Low</t>
        </is>
      </c>
      <c r="L24" s="12" t="inlineStr">
        <is>
          <t>None</t>
        </is>
      </c>
      <c r="M24" s="12" t="inlineStr">
        <is>
          <t>Prepare response / follow up</t>
        </is>
      </c>
    </row>
    <row r="25">
      <c r="A25" s="12" t="inlineStr">
        <is>
          <t>APR-024</t>
        </is>
      </c>
      <c r="B25" s="12" t="inlineStr">
        <is>
          <t>Capital Injection 24</t>
        </is>
      </c>
      <c r="C25" s="12" t="inlineStr">
        <is>
          <t>Product</t>
        </is>
      </c>
      <c r="D25" s="12" t="inlineStr">
        <is>
          <t>MOF</t>
        </is>
      </c>
      <c r="E25" s="12" t="inlineStr">
        <is>
          <t>Product</t>
        </is>
      </c>
      <c r="F25" s="12" t="inlineStr">
        <is>
          <t>Approved</t>
        </is>
      </c>
      <c r="G25" s="124" t="n">
        <v>46160</v>
      </c>
      <c r="H25" s="124" t="n">
        <v>46199</v>
      </c>
      <c r="I25" s="12">
        <f>TODAY()-G25</f>
        <v/>
      </c>
      <c r="J25" s="12" t="n">
        <v>80</v>
      </c>
      <c r="K25" s="12" t="inlineStr">
        <is>
          <t>Medium</t>
        </is>
      </c>
      <c r="L25" s="12" t="inlineStr">
        <is>
          <t>Internal sign-off</t>
        </is>
      </c>
      <c r="M25" s="12" t="inlineStr">
        <is>
          <t>Prepare response / follow up</t>
        </is>
      </c>
    </row>
    <row r="26">
      <c r="A26" s="12" t="inlineStr">
        <is>
          <t>APR-025</t>
        </is>
      </c>
      <c r="B26" s="12" t="inlineStr">
        <is>
          <t>Agency Training Program 25</t>
        </is>
      </c>
      <c r="C26" s="12" t="inlineStr">
        <is>
          <t>License</t>
        </is>
      </c>
      <c r="D26" s="12" t="inlineStr">
        <is>
          <t>ISA</t>
        </is>
      </c>
      <c r="E26" s="12" t="inlineStr">
        <is>
          <t>Agency</t>
        </is>
      </c>
      <c r="F26" s="12" t="inlineStr">
        <is>
          <t>Approved</t>
        </is>
      </c>
      <c r="G26" s="124" t="n">
        <v>46103</v>
      </c>
      <c r="H26" s="124" t="n">
        <v>46151</v>
      </c>
      <c r="I26" s="12">
        <f>TODAY()-G26</f>
        <v/>
      </c>
      <c r="J26" s="12" t="n">
        <v>82</v>
      </c>
      <c r="K26" s="12" t="inlineStr">
        <is>
          <t>Medium</t>
        </is>
      </c>
      <c r="L26" s="12" t="inlineStr">
        <is>
          <t>Missing attachment</t>
        </is>
      </c>
      <c r="M26" s="12" t="inlineStr">
        <is>
          <t>Prepare response / follow up</t>
        </is>
      </c>
    </row>
  </sheetData>
  <dataValidations count="4">
    <dataValidation sqref="F2:F26" showDropDown="0" showInputMessage="0" showErrorMessage="0" allowBlank="0" type="list">
      <formula1>"On Track,Due Soon,Overdue,Submitted,Approved,In Review,Drafting,Waiting Internal Input"</formula1>
    </dataValidation>
    <dataValidation sqref="D2:D200" showDropDown="0" showInputMessage="0" showErrorMessage="0" allowBlank="0" type="list">
      <formula1>"MOF,ISA,IAV,SBV,MIC,VCA,Regional Office"</formula1>
    </dataValidation>
    <dataValidation sqref="E2:E200" showDropDown="0" showInputMessage="0" showErrorMessage="0" allowBlank="0" type="list">
      <formula1>"Legal,Compliance,Finance,Product,Agency,Bancassurance,Operations,CEO Office,Public Affairs,Risk"</formula1>
    </dataValidation>
    <dataValidation sqref="F2:F200" showDropDown="0" showInputMessage="0" showErrorMessage="0" allowBlank="0" type="list">
      <formula1>"On Track,Due Soon,Overdue,Submitted,Approved,In Review,Drafting,Waiting Internal Input,Open,Closed,In Progress,Blocked,Pending,Done,Not Started"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49"/>
  <sheetViews>
    <sheetView workbookViewId="0">
      <selection activeCell="A1" sqref="A1"/>
    </sheetView>
  </sheetViews>
  <sheetFormatPr baseColWidth="8" defaultRowHeight="15"/>
  <cols>
    <col width="13.72999954223633" customWidth="1" style="44" min="1" max="1"/>
    <col width="6.460000038146973" customWidth="1" style="44" min="2" max="2"/>
    <col width="10.5" customWidth="1" style="44" min="3" max="3"/>
    <col width="22.20999908447266" customWidth="1" style="44" min="4" max="4"/>
    <col width="17.36000061035156" customWidth="1" style="44" min="5" max="5"/>
    <col width="15.88000011444092" customWidth="1" style="44" min="6" max="6"/>
    <col width="8.609999656677246" customWidth="1" style="44" min="7" max="7"/>
    <col width="40.5099983215332" customWidth="1" style="44" min="8" max="8"/>
    <col width="16.69000053405762" customWidth="1" style="44" min="9" max="9"/>
    <col width="14.53999996185303" customWidth="1" style="44" min="10" max="10"/>
    <col width="8.75" customWidth="1" style="44" min="11" max="11"/>
  </cols>
  <sheetData>
    <row r="1">
      <c r="A1" s="6" t="inlineStr">
        <is>
          <t>Interaction ID</t>
        </is>
      </c>
      <c r="B1" s="6" t="inlineStr">
        <is>
          <t>Date</t>
        </is>
      </c>
      <c r="C1" s="6" t="inlineStr">
        <is>
          <t>Regulator</t>
        </is>
      </c>
      <c r="D1" s="6" t="inlineStr">
        <is>
          <t>Person / Unit</t>
        </is>
      </c>
      <c r="E1" s="6" t="inlineStr">
        <is>
          <t>Topic</t>
        </is>
      </c>
      <c r="F1" s="6" t="inlineStr">
        <is>
          <t>Interaction Type</t>
        </is>
      </c>
      <c r="G1" s="6" t="inlineStr">
        <is>
          <t>Tone</t>
        </is>
      </c>
      <c r="H1" s="6" t="inlineStr">
        <is>
          <t>Key Message</t>
        </is>
      </c>
      <c r="I1" s="6" t="inlineStr">
        <is>
          <t>Follow-up Owner</t>
        </is>
      </c>
      <c r="J1" s="6" t="inlineStr">
        <is>
          <t>Follow-up Due</t>
        </is>
      </c>
      <c r="K1" s="6" t="inlineStr">
        <is>
          <t>Status</t>
        </is>
      </c>
      <c r="L1" s="12" t="n"/>
      <c r="M1" s="12" t="n"/>
      <c r="N1" s="12" t="n"/>
      <c r="O1" s="12" t="n"/>
      <c r="P1" s="12" t="n"/>
      <c r="Q1" s="12" t="n"/>
      <c r="R1" s="12" t="n"/>
      <c r="S1" s="12" t="n"/>
      <c r="T1" s="12" t="n"/>
      <c r="U1" s="12" t="n"/>
      <c r="V1" s="12" t="n"/>
      <c r="W1" s="12" t="n"/>
      <c r="X1" s="12" t="n"/>
      <c r="Y1" s="12" t="n"/>
      <c r="Z1" s="12" t="n"/>
    </row>
    <row r="2">
      <c r="A2" s="12" t="inlineStr">
        <is>
          <t>INT-001</t>
        </is>
      </c>
      <c r="B2" s="124" t="n">
        <v>45601</v>
      </c>
      <c r="C2" s="12" t="inlineStr">
        <is>
          <t>MIC</t>
        </is>
      </c>
      <c r="D2" s="12" t="inlineStr">
        <is>
          <t>Policy Dept</t>
        </is>
      </c>
      <c r="E2" s="12" t="inlineStr">
        <is>
          <t>Capital requirement</t>
        </is>
      </c>
      <c r="F2" s="12" t="inlineStr">
        <is>
          <t>Call</t>
        </is>
      </c>
      <c r="G2" s="12" t="inlineStr">
        <is>
          <t>Neutral</t>
        </is>
      </c>
      <c r="H2" s="12" t="inlineStr">
        <is>
          <t>Provide transparent update and confirm next steps</t>
        </is>
      </c>
      <c r="I2" s="12" t="inlineStr">
        <is>
          <t>Agency</t>
        </is>
      </c>
      <c r="J2" s="124" t="n">
        <v>45606</v>
      </c>
      <c r="K2" s="12" t="inlineStr">
        <is>
          <t>Open</t>
        </is>
      </c>
    </row>
    <row r="3">
      <c r="A3" s="12" t="inlineStr">
        <is>
          <t>INT-002</t>
        </is>
      </c>
      <c r="B3" s="124" t="n">
        <v>45938</v>
      </c>
      <c r="C3" s="12" t="inlineStr">
        <is>
          <t>ISA</t>
        </is>
      </c>
      <c r="D3" s="12" t="inlineStr">
        <is>
          <t>Association Secretariat</t>
        </is>
      </c>
      <c r="E3" s="12" t="inlineStr">
        <is>
          <t>Capital requirement</t>
        </is>
      </c>
      <c r="F3" s="12" t="inlineStr">
        <is>
          <t>Call</t>
        </is>
      </c>
      <c r="G3" s="12" t="inlineStr">
        <is>
          <t>Positive</t>
        </is>
      </c>
      <c r="H3" s="12" t="inlineStr">
        <is>
          <t>Provide transparent update and confirm next steps</t>
        </is>
      </c>
      <c r="I3" s="12" t="inlineStr">
        <is>
          <t>Operations</t>
        </is>
      </c>
      <c r="J3" s="124" t="n">
        <v>45955</v>
      </c>
      <c r="K3" s="12" t="inlineStr">
        <is>
          <t>In Progress</t>
        </is>
      </c>
    </row>
    <row r="4">
      <c r="A4" s="12" t="inlineStr">
        <is>
          <t>INT-003</t>
        </is>
      </c>
      <c r="B4" s="124" t="n">
        <v>45575</v>
      </c>
      <c r="C4" s="12" t="inlineStr">
        <is>
          <t>SBV</t>
        </is>
      </c>
      <c r="D4" s="12" t="inlineStr">
        <is>
          <t>Insurance Supervision Team</t>
        </is>
      </c>
      <c r="E4" s="12" t="inlineStr">
        <is>
          <t>Product approval</t>
        </is>
      </c>
      <c r="F4" s="12" t="inlineStr">
        <is>
          <t>Call</t>
        </is>
      </c>
      <c r="G4" s="12" t="inlineStr">
        <is>
          <t>Cautious</t>
        </is>
      </c>
      <c r="H4" s="12" t="inlineStr">
        <is>
          <t>Provide transparent update and confirm next steps</t>
        </is>
      </c>
      <c r="I4" s="12" t="inlineStr">
        <is>
          <t>Agency</t>
        </is>
      </c>
      <c r="J4" s="124" t="n">
        <v>45592</v>
      </c>
      <c r="K4" s="12" t="inlineStr">
        <is>
          <t>Open</t>
        </is>
      </c>
    </row>
    <row r="5">
      <c r="A5" s="12" t="inlineStr">
        <is>
          <t>INT-004</t>
        </is>
      </c>
      <c r="B5" s="124" t="n">
        <v>45480</v>
      </c>
      <c r="C5" s="12" t="inlineStr">
        <is>
          <t>ISA</t>
        </is>
      </c>
      <c r="D5" s="12" t="inlineStr">
        <is>
          <t>Insurance Supervision Team</t>
        </is>
      </c>
      <c r="E5" s="12" t="inlineStr">
        <is>
          <t>Consumer complaints</t>
        </is>
      </c>
      <c r="F5" s="12" t="inlineStr">
        <is>
          <t>Submission counter</t>
        </is>
      </c>
      <c r="G5" s="12" t="inlineStr">
        <is>
          <t>Positive</t>
        </is>
      </c>
      <c r="H5" s="12" t="inlineStr">
        <is>
          <t>Provide transparent update and confirm next steps</t>
        </is>
      </c>
      <c r="I5" s="12" t="inlineStr">
        <is>
          <t>Product</t>
        </is>
      </c>
      <c r="J5" s="124" t="n">
        <v>45487</v>
      </c>
      <c r="K5" s="12" t="inlineStr">
        <is>
          <t>Closed</t>
        </is>
      </c>
    </row>
    <row r="6">
      <c r="A6" s="12" t="inlineStr">
        <is>
          <t>INT-005</t>
        </is>
      </c>
      <c r="B6" s="124" t="n">
        <v>46038</v>
      </c>
      <c r="C6" s="12" t="inlineStr">
        <is>
          <t>MOF</t>
        </is>
      </c>
      <c r="D6" s="12" t="inlineStr">
        <is>
          <t>Policy Dept</t>
        </is>
      </c>
      <c r="E6" s="12" t="inlineStr">
        <is>
          <t>Market conduct</t>
        </is>
      </c>
      <c r="F6" s="12" t="inlineStr">
        <is>
          <t>Email</t>
        </is>
      </c>
      <c r="G6" s="12" t="inlineStr">
        <is>
          <t>Cautious</t>
        </is>
      </c>
      <c r="H6" s="12" t="inlineStr">
        <is>
          <t>Provide transparent update and confirm next steps</t>
        </is>
      </c>
      <c r="I6" s="12" t="inlineStr">
        <is>
          <t>CEO Office</t>
        </is>
      </c>
      <c r="J6" s="124" t="n">
        <v>46044</v>
      </c>
      <c r="K6" s="12" t="inlineStr">
        <is>
          <t>Closed</t>
        </is>
      </c>
    </row>
    <row r="7">
      <c r="A7" s="12" t="inlineStr">
        <is>
          <t>INT-006</t>
        </is>
      </c>
      <c r="B7" s="124" t="n">
        <v>45478</v>
      </c>
      <c r="C7" s="12" t="inlineStr">
        <is>
          <t>IAV</t>
        </is>
      </c>
      <c r="D7" s="12" t="inlineStr">
        <is>
          <t>Legal Unit</t>
        </is>
      </c>
      <c r="E7" s="12" t="inlineStr">
        <is>
          <t>Data privacy</t>
        </is>
      </c>
      <c r="F7" s="12" t="inlineStr">
        <is>
          <t>Workshop</t>
        </is>
      </c>
      <c r="G7" s="12" t="inlineStr">
        <is>
          <t>Concerned</t>
        </is>
      </c>
      <c r="H7" s="12" t="inlineStr">
        <is>
          <t>Provide transparent update and confirm next steps</t>
        </is>
      </c>
      <c r="I7" s="12" t="inlineStr">
        <is>
          <t>CEO Office</t>
        </is>
      </c>
      <c r="J7" s="124" t="n">
        <v>45483</v>
      </c>
      <c r="K7" s="12" t="inlineStr">
        <is>
          <t>In Progress</t>
        </is>
      </c>
    </row>
    <row r="8">
      <c r="A8" s="12" t="inlineStr">
        <is>
          <t>INT-007</t>
        </is>
      </c>
      <c r="B8" s="124" t="n">
        <v>46143</v>
      </c>
      <c r="C8" s="12" t="inlineStr">
        <is>
          <t>SBV</t>
        </is>
      </c>
      <c r="D8" s="12" t="inlineStr">
        <is>
          <t>Insurance Supervision Team</t>
        </is>
      </c>
      <c r="E8" s="12" t="inlineStr">
        <is>
          <t>Data privacy</t>
        </is>
      </c>
      <c r="F8" s="12" t="inlineStr">
        <is>
          <t>Meeting</t>
        </is>
      </c>
      <c r="G8" s="12" t="inlineStr">
        <is>
          <t>Positive</t>
        </is>
      </c>
      <c r="H8" s="12" t="inlineStr">
        <is>
          <t>Provide transparent update and confirm next steps</t>
        </is>
      </c>
      <c r="I8" s="12" t="inlineStr">
        <is>
          <t>Product</t>
        </is>
      </c>
      <c r="J8" s="124" t="n">
        <v>46146</v>
      </c>
      <c r="K8" s="12" t="inlineStr">
        <is>
          <t>In Progress</t>
        </is>
      </c>
    </row>
    <row r="9">
      <c r="A9" s="12" t="inlineStr">
        <is>
          <t>INT-008</t>
        </is>
      </c>
      <c r="B9" s="124" t="n">
        <v>45908</v>
      </c>
      <c r="C9" s="12" t="inlineStr">
        <is>
          <t>MIC</t>
        </is>
      </c>
      <c r="D9" s="12" t="inlineStr">
        <is>
          <t>Policy Dept</t>
        </is>
      </c>
      <c r="E9" s="12" t="inlineStr">
        <is>
          <t>Market conduct</t>
        </is>
      </c>
      <c r="F9" s="12" t="inlineStr">
        <is>
          <t>Submission counter</t>
        </is>
      </c>
      <c r="G9" s="12" t="inlineStr">
        <is>
          <t>Concerned</t>
        </is>
      </c>
      <c r="H9" s="12" t="inlineStr">
        <is>
          <t>Provide transparent update and confirm next steps</t>
        </is>
      </c>
      <c r="I9" s="12" t="inlineStr">
        <is>
          <t>Agency</t>
        </is>
      </c>
      <c r="J9" s="124" t="n">
        <v>45916</v>
      </c>
      <c r="K9" s="12" t="inlineStr">
        <is>
          <t>In Progress</t>
        </is>
      </c>
    </row>
    <row r="10">
      <c r="A10" s="12" t="inlineStr">
        <is>
          <t>INT-009</t>
        </is>
      </c>
      <c r="B10" s="124" t="n">
        <v>45737</v>
      </c>
      <c r="C10" s="12" t="inlineStr">
        <is>
          <t>VCA</t>
        </is>
      </c>
      <c r="D10" s="12" t="inlineStr">
        <is>
          <t>Legal Unit</t>
        </is>
      </c>
      <c r="E10" s="12" t="inlineStr">
        <is>
          <t>Capital requirement</t>
        </is>
      </c>
      <c r="F10" s="12" t="inlineStr">
        <is>
          <t>Submission counter</t>
        </is>
      </c>
      <c r="G10" s="12" t="inlineStr">
        <is>
          <t>Cautious</t>
        </is>
      </c>
      <c r="H10" s="12" t="inlineStr">
        <is>
          <t>Provide transparent update and confirm next steps</t>
        </is>
      </c>
      <c r="I10" s="12" t="inlineStr">
        <is>
          <t>Operations</t>
        </is>
      </c>
      <c r="J10" s="124" t="n">
        <v>45750</v>
      </c>
      <c r="K10" s="12" t="inlineStr">
        <is>
          <t>Closed</t>
        </is>
      </c>
    </row>
    <row r="11">
      <c r="A11" s="12" t="inlineStr">
        <is>
          <t>INT-010</t>
        </is>
      </c>
      <c r="B11" s="124" t="n">
        <v>45497</v>
      </c>
      <c r="C11" s="12" t="inlineStr">
        <is>
          <t>MOF</t>
        </is>
      </c>
      <c r="D11" s="12" t="inlineStr">
        <is>
          <t>Administrative Office</t>
        </is>
      </c>
      <c r="E11" s="12" t="inlineStr">
        <is>
          <t>Bancassurance</t>
        </is>
      </c>
      <c r="F11" s="12" t="inlineStr">
        <is>
          <t>Submission counter</t>
        </is>
      </c>
      <c r="G11" s="12" t="inlineStr">
        <is>
          <t>Concerned</t>
        </is>
      </c>
      <c r="H11" s="12" t="inlineStr">
        <is>
          <t>Provide transparent update and confirm next steps</t>
        </is>
      </c>
      <c r="I11" s="12" t="inlineStr">
        <is>
          <t>Agency</t>
        </is>
      </c>
      <c r="J11" s="124" t="n">
        <v>45512</v>
      </c>
      <c r="K11" s="12" t="inlineStr">
        <is>
          <t>In Progress</t>
        </is>
      </c>
    </row>
    <row r="12">
      <c r="A12" s="12" t="inlineStr">
        <is>
          <t>INT-011</t>
        </is>
      </c>
      <c r="B12" s="124" t="n">
        <v>46146</v>
      </c>
      <c r="C12" s="12" t="inlineStr">
        <is>
          <t>SBV</t>
        </is>
      </c>
      <c r="D12" s="12" t="inlineStr">
        <is>
          <t>Policy Dept</t>
        </is>
      </c>
      <c r="E12" s="12" t="inlineStr">
        <is>
          <t>Bancassurance</t>
        </is>
      </c>
      <c r="F12" s="12" t="inlineStr">
        <is>
          <t>Email</t>
        </is>
      </c>
      <c r="G12" s="12" t="inlineStr">
        <is>
          <t>Cautious</t>
        </is>
      </c>
      <c r="H12" s="12" t="inlineStr">
        <is>
          <t>Provide transparent update and confirm next steps</t>
        </is>
      </c>
      <c r="I12" s="12" t="inlineStr">
        <is>
          <t>Compliance</t>
        </is>
      </c>
      <c r="J12" s="124" t="n">
        <v>46161</v>
      </c>
      <c r="K12" s="12" t="inlineStr">
        <is>
          <t>In Progress</t>
        </is>
      </c>
    </row>
    <row r="13">
      <c r="A13" s="12" t="inlineStr">
        <is>
          <t>INT-012</t>
        </is>
      </c>
      <c r="B13" s="124" t="n">
        <v>46182</v>
      </c>
      <c r="C13" s="12" t="inlineStr">
        <is>
          <t>VCA</t>
        </is>
      </c>
      <c r="D13" s="12" t="inlineStr">
        <is>
          <t>Association Secretariat</t>
        </is>
      </c>
      <c r="E13" s="12" t="inlineStr">
        <is>
          <t>ESG reporting</t>
        </is>
      </c>
      <c r="F13" s="12" t="inlineStr">
        <is>
          <t>Submission counter</t>
        </is>
      </c>
      <c r="G13" s="12" t="inlineStr">
        <is>
          <t>Positive</t>
        </is>
      </c>
      <c r="H13" s="12" t="inlineStr">
        <is>
          <t>Provide transparent update and confirm next steps</t>
        </is>
      </c>
      <c r="I13" s="12" t="inlineStr">
        <is>
          <t>Product</t>
        </is>
      </c>
      <c r="J13" s="124" t="n">
        <v>46201</v>
      </c>
      <c r="K13" s="12" t="inlineStr">
        <is>
          <t>Closed</t>
        </is>
      </c>
    </row>
    <row r="14">
      <c r="A14" s="12" t="inlineStr">
        <is>
          <t>INT-013</t>
        </is>
      </c>
      <c r="B14" s="124" t="n">
        <v>45546</v>
      </c>
      <c r="C14" s="12" t="inlineStr">
        <is>
          <t>SBV</t>
        </is>
      </c>
      <c r="D14" s="12" t="inlineStr">
        <is>
          <t>Legal Unit</t>
        </is>
      </c>
      <c r="E14" s="12" t="inlineStr">
        <is>
          <t>Product approval</t>
        </is>
      </c>
      <c r="F14" s="12" t="inlineStr">
        <is>
          <t>Call</t>
        </is>
      </c>
      <c r="G14" s="12" t="inlineStr">
        <is>
          <t>Cautious</t>
        </is>
      </c>
      <c r="H14" s="12" t="inlineStr">
        <is>
          <t>Provide transparent update and confirm next steps</t>
        </is>
      </c>
      <c r="I14" s="12" t="inlineStr">
        <is>
          <t>Finance</t>
        </is>
      </c>
      <c r="J14" s="124" t="n">
        <v>45558</v>
      </c>
      <c r="K14" s="12" t="inlineStr">
        <is>
          <t>Closed</t>
        </is>
      </c>
    </row>
    <row r="15">
      <c r="A15" s="12" t="inlineStr">
        <is>
          <t>INT-014</t>
        </is>
      </c>
      <c r="B15" s="124" t="n">
        <v>45468</v>
      </c>
      <c r="C15" s="12" t="inlineStr">
        <is>
          <t>SBV</t>
        </is>
      </c>
      <c r="D15" s="12" t="inlineStr">
        <is>
          <t>Policy Dept</t>
        </is>
      </c>
      <c r="E15" s="12" t="inlineStr">
        <is>
          <t>Product approval</t>
        </is>
      </c>
      <c r="F15" s="12" t="inlineStr">
        <is>
          <t>Workshop</t>
        </is>
      </c>
      <c r="G15" s="12" t="inlineStr">
        <is>
          <t>Neutral</t>
        </is>
      </c>
      <c r="H15" s="12" t="inlineStr">
        <is>
          <t>Provide transparent update and confirm next steps</t>
        </is>
      </c>
      <c r="I15" s="12" t="inlineStr">
        <is>
          <t>Finance</t>
        </is>
      </c>
      <c r="J15" s="124" t="n">
        <v>45480</v>
      </c>
      <c r="K15" s="12" t="inlineStr">
        <is>
          <t>In Progress</t>
        </is>
      </c>
    </row>
    <row r="16">
      <c r="A16" s="12" t="inlineStr">
        <is>
          <t>INT-015</t>
        </is>
      </c>
      <c r="B16" s="124" t="n">
        <v>46169</v>
      </c>
      <c r="C16" s="12" t="inlineStr">
        <is>
          <t>MIC</t>
        </is>
      </c>
      <c r="D16" s="12" t="inlineStr">
        <is>
          <t>Legal Unit</t>
        </is>
      </c>
      <c r="E16" s="12" t="inlineStr">
        <is>
          <t>Capital requirement</t>
        </is>
      </c>
      <c r="F16" s="12" t="inlineStr">
        <is>
          <t>Call</t>
        </is>
      </c>
      <c r="G16" s="12" t="inlineStr">
        <is>
          <t>Positive</t>
        </is>
      </c>
      <c r="H16" s="12" t="inlineStr">
        <is>
          <t>Provide transparent update and confirm next steps</t>
        </is>
      </c>
      <c r="I16" s="12" t="inlineStr">
        <is>
          <t>CEO Office</t>
        </is>
      </c>
      <c r="J16" s="124" t="n">
        <v>46175</v>
      </c>
      <c r="K16" s="12" t="inlineStr">
        <is>
          <t>In Progress</t>
        </is>
      </c>
    </row>
    <row r="17">
      <c r="A17" s="12" t="inlineStr">
        <is>
          <t>INT-016</t>
        </is>
      </c>
      <c r="B17" s="124" t="n">
        <v>46026</v>
      </c>
      <c r="C17" s="12" t="inlineStr">
        <is>
          <t>SBV</t>
        </is>
      </c>
      <c r="D17" s="12" t="inlineStr">
        <is>
          <t>Insurance Supervision Team</t>
        </is>
      </c>
      <c r="E17" s="12" t="inlineStr">
        <is>
          <t>Quarterly update</t>
        </is>
      </c>
      <c r="F17" s="12" t="inlineStr">
        <is>
          <t>Email</t>
        </is>
      </c>
      <c r="G17" s="12" t="inlineStr">
        <is>
          <t>Concerned</t>
        </is>
      </c>
      <c r="H17" s="12" t="inlineStr">
        <is>
          <t>Provide transparent update and confirm next steps</t>
        </is>
      </c>
      <c r="I17" s="12" t="inlineStr">
        <is>
          <t>CEO Office</t>
        </is>
      </c>
      <c r="J17" s="124" t="n">
        <v>46044</v>
      </c>
      <c r="K17" s="12" t="inlineStr">
        <is>
          <t>Open</t>
        </is>
      </c>
    </row>
    <row r="18">
      <c r="A18" s="12" t="inlineStr">
        <is>
          <t>INT-017</t>
        </is>
      </c>
      <c r="B18" s="124" t="n">
        <v>45716</v>
      </c>
      <c r="C18" s="12" t="inlineStr">
        <is>
          <t>MIC</t>
        </is>
      </c>
      <c r="D18" s="12" t="inlineStr">
        <is>
          <t>Administrative Office</t>
        </is>
      </c>
      <c r="E18" s="12" t="inlineStr">
        <is>
          <t>Agency training</t>
        </is>
      </c>
      <c r="F18" s="12" t="inlineStr">
        <is>
          <t>Call</t>
        </is>
      </c>
      <c r="G18" s="12" t="inlineStr">
        <is>
          <t>Neutral</t>
        </is>
      </c>
      <c r="H18" s="12" t="inlineStr">
        <is>
          <t>Provide transparent update and confirm next steps</t>
        </is>
      </c>
      <c r="I18" s="12" t="inlineStr">
        <is>
          <t>Compliance</t>
        </is>
      </c>
      <c r="J18" s="124" t="n">
        <v>45727</v>
      </c>
      <c r="K18" s="12" t="inlineStr">
        <is>
          <t>Closed</t>
        </is>
      </c>
    </row>
    <row r="19">
      <c r="A19" s="12" t="inlineStr">
        <is>
          <t>INT-018</t>
        </is>
      </c>
      <c r="B19" s="124" t="n">
        <v>45835</v>
      </c>
      <c r="C19" s="12" t="inlineStr">
        <is>
          <t>MIC</t>
        </is>
      </c>
      <c r="D19" s="12" t="inlineStr">
        <is>
          <t>Insurance Supervision Team</t>
        </is>
      </c>
      <c r="E19" s="12" t="inlineStr">
        <is>
          <t>Product approval</t>
        </is>
      </c>
      <c r="F19" s="12" t="inlineStr">
        <is>
          <t>Email</t>
        </is>
      </c>
      <c r="G19" s="12" t="inlineStr">
        <is>
          <t>Cautious</t>
        </is>
      </c>
      <c r="H19" s="12" t="inlineStr">
        <is>
          <t>Provide transparent update and confirm next steps</t>
        </is>
      </c>
      <c r="I19" s="12" t="inlineStr">
        <is>
          <t>CEO Office</t>
        </is>
      </c>
      <c r="J19" s="124" t="n">
        <v>45842</v>
      </c>
      <c r="K19" s="12" t="inlineStr">
        <is>
          <t>Closed</t>
        </is>
      </c>
    </row>
    <row r="20">
      <c r="A20" s="12" t="inlineStr">
        <is>
          <t>INT-019</t>
        </is>
      </c>
      <c r="B20" s="124" t="n">
        <v>45632</v>
      </c>
      <c r="C20" s="12" t="inlineStr">
        <is>
          <t>SBV</t>
        </is>
      </c>
      <c r="D20" s="12" t="inlineStr">
        <is>
          <t>Insurance Supervision Team</t>
        </is>
      </c>
      <c r="E20" s="12" t="inlineStr">
        <is>
          <t>Bancassurance</t>
        </is>
      </c>
      <c r="F20" s="12" t="inlineStr">
        <is>
          <t>Workshop</t>
        </is>
      </c>
      <c r="G20" s="12" t="inlineStr">
        <is>
          <t>Concerned</t>
        </is>
      </c>
      <c r="H20" s="12" t="inlineStr">
        <is>
          <t>Provide transparent update and confirm next steps</t>
        </is>
      </c>
      <c r="I20" s="12" t="inlineStr">
        <is>
          <t>CEO Office</t>
        </is>
      </c>
      <c r="J20" s="124" t="n">
        <v>45645</v>
      </c>
      <c r="K20" s="12" t="inlineStr">
        <is>
          <t>Open</t>
        </is>
      </c>
    </row>
    <row r="21">
      <c r="A21" s="12" t="inlineStr">
        <is>
          <t>INT-020</t>
        </is>
      </c>
      <c r="B21" s="124" t="n">
        <v>45469</v>
      </c>
      <c r="C21" s="12" t="inlineStr">
        <is>
          <t>ISA</t>
        </is>
      </c>
      <c r="D21" s="12" t="inlineStr">
        <is>
          <t>Association Secretariat</t>
        </is>
      </c>
      <c r="E21" s="12" t="inlineStr">
        <is>
          <t>Agency training</t>
        </is>
      </c>
      <c r="F21" s="12" t="inlineStr">
        <is>
          <t>Call</t>
        </is>
      </c>
      <c r="G21" s="12" t="inlineStr">
        <is>
          <t>Concerned</t>
        </is>
      </c>
      <c r="H21" s="12" t="inlineStr">
        <is>
          <t>Provide transparent update and confirm next steps</t>
        </is>
      </c>
      <c r="I21" s="12" t="inlineStr">
        <is>
          <t>Legal</t>
        </is>
      </c>
      <c r="J21" s="124" t="n">
        <v>45482</v>
      </c>
      <c r="K21" s="12" t="inlineStr">
        <is>
          <t>In Progress</t>
        </is>
      </c>
    </row>
    <row r="22">
      <c r="A22" s="12" t="inlineStr">
        <is>
          <t>INT-021</t>
        </is>
      </c>
      <c r="B22" s="124" t="n">
        <v>45699</v>
      </c>
      <c r="C22" s="12" t="inlineStr">
        <is>
          <t>VCA</t>
        </is>
      </c>
      <c r="D22" s="12" t="inlineStr">
        <is>
          <t>Legal Unit</t>
        </is>
      </c>
      <c r="E22" s="12" t="inlineStr">
        <is>
          <t>Agency training</t>
        </is>
      </c>
      <c r="F22" s="12" t="inlineStr">
        <is>
          <t>Call</t>
        </is>
      </c>
      <c r="G22" s="12" t="inlineStr">
        <is>
          <t>Concerned</t>
        </is>
      </c>
      <c r="H22" s="12" t="inlineStr">
        <is>
          <t>Provide transparent update and confirm next steps</t>
        </is>
      </c>
      <c r="I22" s="12" t="inlineStr">
        <is>
          <t>Legal</t>
        </is>
      </c>
      <c r="J22" s="124" t="n">
        <v>45706</v>
      </c>
      <c r="K22" s="12" t="inlineStr">
        <is>
          <t>In Progress</t>
        </is>
      </c>
    </row>
    <row r="23">
      <c r="A23" s="12" t="inlineStr">
        <is>
          <t>INT-022</t>
        </is>
      </c>
      <c r="B23" s="124" t="n">
        <v>45579</v>
      </c>
      <c r="C23" s="12" t="inlineStr">
        <is>
          <t>IAV</t>
        </is>
      </c>
      <c r="D23" s="12" t="inlineStr">
        <is>
          <t>Policy Dept</t>
        </is>
      </c>
      <c r="E23" s="12" t="inlineStr">
        <is>
          <t>ESG reporting</t>
        </is>
      </c>
      <c r="F23" s="12" t="inlineStr">
        <is>
          <t>Meeting</t>
        </is>
      </c>
      <c r="G23" s="12" t="inlineStr">
        <is>
          <t>Concerned</t>
        </is>
      </c>
      <c r="H23" s="12" t="inlineStr">
        <is>
          <t>Provide transparent update and confirm next steps</t>
        </is>
      </c>
      <c r="I23" s="12" t="inlineStr">
        <is>
          <t>Legal</t>
        </is>
      </c>
      <c r="J23" s="124" t="n">
        <v>45586</v>
      </c>
      <c r="K23" s="12" t="inlineStr">
        <is>
          <t>Closed</t>
        </is>
      </c>
    </row>
    <row r="24">
      <c r="A24" s="12" t="inlineStr">
        <is>
          <t>INT-023</t>
        </is>
      </c>
      <c r="B24" s="124" t="n">
        <v>45513</v>
      </c>
      <c r="C24" s="12" t="inlineStr">
        <is>
          <t>ISA</t>
        </is>
      </c>
      <c r="D24" s="12" t="inlineStr">
        <is>
          <t>Policy Dept</t>
        </is>
      </c>
      <c r="E24" s="12" t="inlineStr">
        <is>
          <t>ESG reporting</t>
        </is>
      </c>
      <c r="F24" s="12" t="inlineStr">
        <is>
          <t>Email</t>
        </is>
      </c>
      <c r="G24" s="12" t="inlineStr">
        <is>
          <t>Cautious</t>
        </is>
      </c>
      <c r="H24" s="12" t="inlineStr">
        <is>
          <t>Provide transparent update and confirm next steps</t>
        </is>
      </c>
      <c r="I24" s="12" t="inlineStr">
        <is>
          <t>Operations</t>
        </is>
      </c>
      <c r="J24" s="124" t="n">
        <v>45518</v>
      </c>
      <c r="K24" s="12" t="inlineStr">
        <is>
          <t>Closed</t>
        </is>
      </c>
    </row>
    <row r="25">
      <c r="A25" s="12" t="inlineStr">
        <is>
          <t>INT-024</t>
        </is>
      </c>
      <c r="B25" s="124" t="n">
        <v>45493</v>
      </c>
      <c r="C25" s="12" t="inlineStr">
        <is>
          <t>MIC</t>
        </is>
      </c>
      <c r="D25" s="12" t="inlineStr">
        <is>
          <t>Legal Unit</t>
        </is>
      </c>
      <c r="E25" s="12" t="inlineStr">
        <is>
          <t>Bancassurance</t>
        </is>
      </c>
      <c r="F25" s="12" t="inlineStr">
        <is>
          <t>Submission counter</t>
        </is>
      </c>
      <c r="G25" s="12" t="inlineStr">
        <is>
          <t>Positive</t>
        </is>
      </c>
      <c r="H25" s="12" t="inlineStr">
        <is>
          <t>Provide transparent update and confirm next steps</t>
        </is>
      </c>
      <c r="I25" s="12" t="inlineStr">
        <is>
          <t>Compliance</t>
        </is>
      </c>
      <c r="J25" s="124" t="n">
        <v>45503</v>
      </c>
      <c r="K25" s="12" t="inlineStr">
        <is>
          <t>In Progress</t>
        </is>
      </c>
    </row>
    <row r="26">
      <c r="A26" s="12" t="inlineStr">
        <is>
          <t>INT-025</t>
        </is>
      </c>
      <c r="B26" s="124" t="n">
        <v>45483</v>
      </c>
      <c r="C26" s="12" t="inlineStr">
        <is>
          <t>IAV</t>
        </is>
      </c>
      <c r="D26" s="12" t="inlineStr">
        <is>
          <t>Administrative Office</t>
        </is>
      </c>
      <c r="E26" s="12" t="inlineStr">
        <is>
          <t>Capital requirement</t>
        </is>
      </c>
      <c r="F26" s="12" t="inlineStr">
        <is>
          <t>Submission counter</t>
        </is>
      </c>
      <c r="G26" s="12" t="inlineStr">
        <is>
          <t>Positive</t>
        </is>
      </c>
      <c r="H26" s="12" t="inlineStr">
        <is>
          <t>Provide transparent update and confirm next steps</t>
        </is>
      </c>
      <c r="I26" s="12" t="inlineStr">
        <is>
          <t>Compliance</t>
        </is>
      </c>
      <c r="J26" s="124" t="n">
        <v>45500</v>
      </c>
      <c r="K26" s="12" t="inlineStr">
        <is>
          <t>Open</t>
        </is>
      </c>
    </row>
    <row r="27">
      <c r="A27" s="12" t="inlineStr">
        <is>
          <t>INT-026</t>
        </is>
      </c>
      <c r="B27" s="124" t="n">
        <v>45473</v>
      </c>
      <c r="C27" s="12" t="inlineStr">
        <is>
          <t>IAV</t>
        </is>
      </c>
      <c r="D27" s="12" t="inlineStr">
        <is>
          <t>Policy Dept</t>
        </is>
      </c>
      <c r="E27" s="12" t="inlineStr">
        <is>
          <t>Product approval</t>
        </is>
      </c>
      <c r="F27" s="12" t="inlineStr">
        <is>
          <t>Email</t>
        </is>
      </c>
      <c r="G27" s="12" t="inlineStr">
        <is>
          <t>Positive</t>
        </is>
      </c>
      <c r="H27" s="12" t="inlineStr">
        <is>
          <t>Provide transparent update and confirm next steps</t>
        </is>
      </c>
      <c r="I27" s="12" t="inlineStr">
        <is>
          <t>Agency</t>
        </is>
      </c>
      <c r="J27" s="124" t="n">
        <v>45487</v>
      </c>
      <c r="K27" s="12" t="inlineStr">
        <is>
          <t>Closed</t>
        </is>
      </c>
    </row>
    <row r="28">
      <c r="A28" s="12" t="inlineStr">
        <is>
          <t>INT-027</t>
        </is>
      </c>
      <c r="B28" s="124" t="n">
        <v>45742</v>
      </c>
      <c r="C28" s="12" t="inlineStr">
        <is>
          <t>ISA</t>
        </is>
      </c>
      <c r="D28" s="12" t="inlineStr">
        <is>
          <t>Administrative Office</t>
        </is>
      </c>
      <c r="E28" s="12" t="inlineStr">
        <is>
          <t>Quarterly update</t>
        </is>
      </c>
      <c r="F28" s="12" t="inlineStr">
        <is>
          <t>Submission counter</t>
        </is>
      </c>
      <c r="G28" s="12" t="inlineStr">
        <is>
          <t>Neutral</t>
        </is>
      </c>
      <c r="H28" s="12" t="inlineStr">
        <is>
          <t>Provide transparent update and confirm next steps</t>
        </is>
      </c>
      <c r="I28" s="12" t="inlineStr">
        <is>
          <t>Finance</t>
        </is>
      </c>
      <c r="J28" s="124" t="n">
        <v>45750</v>
      </c>
      <c r="K28" s="12" t="inlineStr">
        <is>
          <t>Open</t>
        </is>
      </c>
    </row>
    <row r="29">
      <c r="A29" s="12" t="inlineStr">
        <is>
          <t>INT-028</t>
        </is>
      </c>
      <c r="B29" s="124" t="n">
        <v>45559</v>
      </c>
      <c r="C29" s="12" t="inlineStr">
        <is>
          <t>SBV</t>
        </is>
      </c>
      <c r="D29" s="12" t="inlineStr">
        <is>
          <t>Association Secretariat</t>
        </is>
      </c>
      <c r="E29" s="12" t="inlineStr">
        <is>
          <t>Consumer complaints</t>
        </is>
      </c>
      <c r="F29" s="12" t="inlineStr">
        <is>
          <t>Submission counter</t>
        </is>
      </c>
      <c r="G29" s="12" t="inlineStr">
        <is>
          <t>Neutral</t>
        </is>
      </c>
      <c r="H29" s="12" t="inlineStr">
        <is>
          <t>Provide transparent update and confirm next steps</t>
        </is>
      </c>
      <c r="I29" s="12" t="inlineStr">
        <is>
          <t>Product</t>
        </is>
      </c>
      <c r="J29" s="124" t="n">
        <v>45576</v>
      </c>
      <c r="K29" s="12" t="inlineStr">
        <is>
          <t>In Progress</t>
        </is>
      </c>
    </row>
    <row r="30">
      <c r="A30" s="12" t="inlineStr">
        <is>
          <t>INT-029</t>
        </is>
      </c>
      <c r="B30" s="124" t="n">
        <v>45923</v>
      </c>
      <c r="C30" s="12" t="inlineStr">
        <is>
          <t>SBV</t>
        </is>
      </c>
      <c r="D30" s="12" t="inlineStr">
        <is>
          <t>Insurance Supervision Team</t>
        </is>
      </c>
      <c r="E30" s="12" t="inlineStr">
        <is>
          <t>Product approval</t>
        </is>
      </c>
      <c r="F30" s="12" t="inlineStr">
        <is>
          <t>Submission counter</t>
        </is>
      </c>
      <c r="G30" s="12" t="inlineStr">
        <is>
          <t>Cautious</t>
        </is>
      </c>
      <c r="H30" s="12" t="inlineStr">
        <is>
          <t>Provide transparent update and confirm next steps</t>
        </is>
      </c>
      <c r="I30" s="12" t="inlineStr">
        <is>
          <t>Finance</t>
        </is>
      </c>
      <c r="J30" s="124" t="n">
        <v>45928</v>
      </c>
      <c r="K30" s="12" t="inlineStr">
        <is>
          <t>Closed</t>
        </is>
      </c>
    </row>
    <row r="31">
      <c r="A31" s="12" t="inlineStr">
        <is>
          <t>INT-030</t>
        </is>
      </c>
      <c r="B31" s="124" t="n">
        <v>45830</v>
      </c>
      <c r="C31" s="12" t="inlineStr">
        <is>
          <t>MIC</t>
        </is>
      </c>
      <c r="D31" s="12" t="inlineStr">
        <is>
          <t>Insurance Supervision Team</t>
        </is>
      </c>
      <c r="E31" s="12" t="inlineStr">
        <is>
          <t>Agency training</t>
        </is>
      </c>
      <c r="F31" s="12" t="inlineStr">
        <is>
          <t>Email</t>
        </is>
      </c>
      <c r="G31" s="12" t="inlineStr">
        <is>
          <t>Concerned</t>
        </is>
      </c>
      <c r="H31" s="12" t="inlineStr">
        <is>
          <t>Provide transparent update and confirm next steps</t>
        </is>
      </c>
      <c r="I31" s="12" t="inlineStr">
        <is>
          <t>Agency</t>
        </is>
      </c>
      <c r="J31" s="124" t="n">
        <v>45839</v>
      </c>
      <c r="K31" s="12" t="inlineStr">
        <is>
          <t>Closed</t>
        </is>
      </c>
    </row>
    <row r="32">
      <c r="A32" s="12" t="inlineStr">
        <is>
          <t>INT-031</t>
        </is>
      </c>
      <c r="B32" s="124" t="n">
        <v>45689</v>
      </c>
      <c r="C32" s="12" t="inlineStr">
        <is>
          <t>MOF</t>
        </is>
      </c>
      <c r="D32" s="12" t="inlineStr">
        <is>
          <t>Administrative Office</t>
        </is>
      </c>
      <c r="E32" s="12" t="inlineStr">
        <is>
          <t>Agency training</t>
        </is>
      </c>
      <c r="F32" s="12" t="inlineStr">
        <is>
          <t>Workshop</t>
        </is>
      </c>
      <c r="G32" s="12" t="inlineStr">
        <is>
          <t>Cautious</t>
        </is>
      </c>
      <c r="H32" s="12" t="inlineStr">
        <is>
          <t>Provide transparent update and confirm next steps</t>
        </is>
      </c>
      <c r="I32" s="12" t="inlineStr">
        <is>
          <t>Agency</t>
        </is>
      </c>
      <c r="J32" s="124" t="n">
        <v>45701</v>
      </c>
      <c r="K32" s="12" t="inlineStr">
        <is>
          <t>Open</t>
        </is>
      </c>
    </row>
    <row r="33">
      <c r="A33" s="12" t="inlineStr">
        <is>
          <t>INT-032</t>
        </is>
      </c>
      <c r="B33" s="124" t="n">
        <v>45509</v>
      </c>
      <c r="C33" s="12" t="inlineStr">
        <is>
          <t>SBV</t>
        </is>
      </c>
      <c r="D33" s="12" t="inlineStr">
        <is>
          <t>Insurance Supervision Team</t>
        </is>
      </c>
      <c r="E33" s="12" t="inlineStr">
        <is>
          <t>Product approval</t>
        </is>
      </c>
      <c r="F33" s="12" t="inlineStr">
        <is>
          <t>Workshop</t>
        </is>
      </c>
      <c r="G33" s="12" t="inlineStr">
        <is>
          <t>Positive</t>
        </is>
      </c>
      <c r="H33" s="12" t="inlineStr">
        <is>
          <t>Provide transparent update and confirm next steps</t>
        </is>
      </c>
      <c r="I33" s="12" t="inlineStr">
        <is>
          <t>CEO Office</t>
        </is>
      </c>
      <c r="J33" s="124" t="n">
        <v>45521</v>
      </c>
      <c r="K33" s="12" t="inlineStr">
        <is>
          <t>Open</t>
        </is>
      </c>
    </row>
    <row r="34">
      <c r="A34" s="12" t="inlineStr">
        <is>
          <t>INT-033</t>
        </is>
      </c>
      <c r="B34" s="124" t="n">
        <v>45562</v>
      </c>
      <c r="C34" s="12" t="inlineStr">
        <is>
          <t>IAV</t>
        </is>
      </c>
      <c r="D34" s="12" t="inlineStr">
        <is>
          <t>Administrative Office</t>
        </is>
      </c>
      <c r="E34" s="12" t="inlineStr">
        <is>
          <t>Consumer complaints</t>
        </is>
      </c>
      <c r="F34" s="12" t="inlineStr">
        <is>
          <t>Workshop</t>
        </is>
      </c>
      <c r="G34" s="12" t="inlineStr">
        <is>
          <t>Cautious</t>
        </is>
      </c>
      <c r="H34" s="12" t="inlineStr">
        <is>
          <t>Provide transparent update and confirm next steps</t>
        </is>
      </c>
      <c r="I34" s="12" t="inlineStr">
        <is>
          <t>Finance</t>
        </is>
      </c>
      <c r="J34" s="124" t="n">
        <v>45568</v>
      </c>
      <c r="K34" s="12" t="inlineStr">
        <is>
          <t>In Progress</t>
        </is>
      </c>
    </row>
    <row r="35">
      <c r="A35" s="12" t="inlineStr">
        <is>
          <t>INT-034</t>
        </is>
      </c>
      <c r="B35" s="124" t="n">
        <v>45522</v>
      </c>
      <c r="C35" s="12" t="inlineStr">
        <is>
          <t>MOF</t>
        </is>
      </c>
      <c r="D35" s="12" t="inlineStr">
        <is>
          <t>Insurance Supervision Team</t>
        </is>
      </c>
      <c r="E35" s="12" t="inlineStr">
        <is>
          <t>ESG reporting</t>
        </is>
      </c>
      <c r="F35" s="12" t="inlineStr">
        <is>
          <t>Meeting</t>
        </is>
      </c>
      <c r="G35" s="12" t="inlineStr">
        <is>
          <t>Cautious</t>
        </is>
      </c>
      <c r="H35" s="12" t="inlineStr">
        <is>
          <t>Provide transparent update and confirm next steps</t>
        </is>
      </c>
      <c r="I35" s="12" t="inlineStr">
        <is>
          <t>Finance</t>
        </is>
      </c>
      <c r="J35" s="124" t="n">
        <v>45527</v>
      </c>
      <c r="K35" s="12" t="inlineStr">
        <is>
          <t>Closed</t>
        </is>
      </c>
    </row>
    <row r="36">
      <c r="A36" s="12" t="inlineStr">
        <is>
          <t>INT-035</t>
        </is>
      </c>
      <c r="B36" s="124" t="n">
        <v>45849</v>
      </c>
      <c r="C36" s="12" t="inlineStr">
        <is>
          <t>VCA</t>
        </is>
      </c>
      <c r="D36" s="12" t="inlineStr">
        <is>
          <t>Legal Unit</t>
        </is>
      </c>
      <c r="E36" s="12" t="inlineStr">
        <is>
          <t>Market conduct</t>
        </is>
      </c>
      <c r="F36" s="12" t="inlineStr">
        <is>
          <t>Call</t>
        </is>
      </c>
      <c r="G36" s="12" t="inlineStr">
        <is>
          <t>Neutral</t>
        </is>
      </c>
      <c r="H36" s="12" t="inlineStr">
        <is>
          <t>Provide transparent update and confirm next steps</t>
        </is>
      </c>
      <c r="I36" s="12" t="inlineStr">
        <is>
          <t>Bancassurance</t>
        </is>
      </c>
      <c r="J36" s="124" t="n">
        <v>45868</v>
      </c>
      <c r="K36" s="12" t="inlineStr">
        <is>
          <t>In Progress</t>
        </is>
      </c>
    </row>
    <row r="37">
      <c r="A37" s="12" t="inlineStr">
        <is>
          <t>INT-036</t>
        </is>
      </c>
      <c r="B37" s="124" t="n">
        <v>45904</v>
      </c>
      <c r="C37" s="12" t="inlineStr">
        <is>
          <t>ISA</t>
        </is>
      </c>
      <c r="D37" s="12" t="inlineStr">
        <is>
          <t>Insurance Supervision Team</t>
        </is>
      </c>
      <c r="E37" s="12" t="inlineStr">
        <is>
          <t>ESG reporting</t>
        </is>
      </c>
      <c r="F37" s="12" t="inlineStr">
        <is>
          <t>Email</t>
        </is>
      </c>
      <c r="G37" s="12" t="inlineStr">
        <is>
          <t>Cautious</t>
        </is>
      </c>
      <c r="H37" s="12" t="inlineStr">
        <is>
          <t>Provide transparent update and confirm next steps</t>
        </is>
      </c>
      <c r="I37" s="12" t="inlineStr">
        <is>
          <t>Compliance</t>
        </is>
      </c>
      <c r="J37" s="124" t="n">
        <v>45921</v>
      </c>
      <c r="K37" s="12" t="inlineStr">
        <is>
          <t>Open</t>
        </is>
      </c>
    </row>
    <row r="38">
      <c r="A38" s="12" t="inlineStr">
        <is>
          <t>INT-037</t>
        </is>
      </c>
      <c r="B38" s="124" t="n">
        <v>46039</v>
      </c>
      <c r="C38" s="12" t="inlineStr">
        <is>
          <t>ISA</t>
        </is>
      </c>
      <c r="D38" s="12" t="inlineStr">
        <is>
          <t>Legal Unit</t>
        </is>
      </c>
      <c r="E38" s="12" t="inlineStr">
        <is>
          <t>Quarterly update</t>
        </is>
      </c>
      <c r="F38" s="12" t="inlineStr">
        <is>
          <t>Email</t>
        </is>
      </c>
      <c r="G38" s="12" t="inlineStr">
        <is>
          <t>Positive</t>
        </is>
      </c>
      <c r="H38" s="12" t="inlineStr">
        <is>
          <t>Provide transparent update and confirm next steps</t>
        </is>
      </c>
      <c r="I38" s="12" t="inlineStr">
        <is>
          <t>Operations</t>
        </is>
      </c>
      <c r="J38" s="124" t="n">
        <v>46042</v>
      </c>
      <c r="K38" s="12" t="inlineStr">
        <is>
          <t>Closed</t>
        </is>
      </c>
    </row>
    <row r="39">
      <c r="A39" s="12" t="inlineStr">
        <is>
          <t>INT-038</t>
        </is>
      </c>
      <c r="B39" s="124" t="n">
        <v>45634</v>
      </c>
      <c r="C39" s="12" t="inlineStr">
        <is>
          <t>MOF</t>
        </is>
      </c>
      <c r="D39" s="12" t="inlineStr">
        <is>
          <t>Legal Unit</t>
        </is>
      </c>
      <c r="E39" s="12" t="inlineStr">
        <is>
          <t>Bancassurance</t>
        </is>
      </c>
      <c r="F39" s="12" t="inlineStr">
        <is>
          <t>Email</t>
        </is>
      </c>
      <c r="G39" s="12" t="inlineStr">
        <is>
          <t>Concerned</t>
        </is>
      </c>
      <c r="H39" s="12" t="inlineStr">
        <is>
          <t>Provide transparent update and confirm next steps</t>
        </is>
      </c>
      <c r="I39" s="12" t="inlineStr">
        <is>
          <t>Bancassurance</t>
        </is>
      </c>
      <c r="J39" s="124" t="n">
        <v>45640</v>
      </c>
      <c r="K39" s="12" t="inlineStr">
        <is>
          <t>In Progress</t>
        </is>
      </c>
    </row>
    <row r="40">
      <c r="A40" s="12" t="inlineStr">
        <is>
          <t>INT-039</t>
        </is>
      </c>
      <c r="B40" s="124" t="n">
        <v>45944</v>
      </c>
      <c r="C40" s="12" t="inlineStr">
        <is>
          <t>SBV</t>
        </is>
      </c>
      <c r="D40" s="12" t="inlineStr">
        <is>
          <t>Policy Dept</t>
        </is>
      </c>
      <c r="E40" s="12" t="inlineStr">
        <is>
          <t>Quarterly update</t>
        </is>
      </c>
      <c r="F40" s="12" t="inlineStr">
        <is>
          <t>Email</t>
        </is>
      </c>
      <c r="G40" s="12" t="inlineStr">
        <is>
          <t>Neutral</t>
        </is>
      </c>
      <c r="H40" s="12" t="inlineStr">
        <is>
          <t>Provide transparent update and confirm next steps</t>
        </is>
      </c>
      <c r="I40" s="12" t="inlineStr">
        <is>
          <t>Compliance</t>
        </is>
      </c>
      <c r="J40" s="124" t="n">
        <v>45961</v>
      </c>
      <c r="K40" s="12" t="inlineStr">
        <is>
          <t>In Progress</t>
        </is>
      </c>
    </row>
    <row r="41">
      <c r="A41" s="12" t="inlineStr">
        <is>
          <t>INT-040</t>
        </is>
      </c>
      <c r="B41" s="124" t="n">
        <v>45874</v>
      </c>
      <c r="C41" s="12" t="inlineStr">
        <is>
          <t>VCA</t>
        </is>
      </c>
      <c r="D41" s="12" t="inlineStr">
        <is>
          <t>Legal Unit</t>
        </is>
      </c>
      <c r="E41" s="12" t="inlineStr">
        <is>
          <t>Capital requirement</t>
        </is>
      </c>
      <c r="F41" s="12" t="inlineStr">
        <is>
          <t>Call</t>
        </is>
      </c>
      <c r="G41" s="12" t="inlineStr">
        <is>
          <t>Positive</t>
        </is>
      </c>
      <c r="H41" s="12" t="inlineStr">
        <is>
          <t>Provide transparent update and confirm next steps</t>
        </is>
      </c>
      <c r="I41" s="12" t="inlineStr">
        <is>
          <t>Legal</t>
        </is>
      </c>
      <c r="J41" s="124" t="n">
        <v>45886</v>
      </c>
      <c r="K41" s="12" t="inlineStr">
        <is>
          <t>Closed</t>
        </is>
      </c>
    </row>
    <row r="42">
      <c r="A42" s="12" t="inlineStr">
        <is>
          <t>INT-041</t>
        </is>
      </c>
      <c r="B42" s="124" t="n">
        <v>46065</v>
      </c>
      <c r="C42" s="12" t="inlineStr">
        <is>
          <t>MOF</t>
        </is>
      </c>
      <c r="D42" s="12" t="inlineStr">
        <is>
          <t>Administrative Office</t>
        </is>
      </c>
      <c r="E42" s="12" t="inlineStr">
        <is>
          <t>Quarterly update</t>
        </is>
      </c>
      <c r="F42" s="12" t="inlineStr">
        <is>
          <t>Call</t>
        </is>
      </c>
      <c r="G42" s="12" t="inlineStr">
        <is>
          <t>Concerned</t>
        </is>
      </c>
      <c r="H42" s="12" t="inlineStr">
        <is>
          <t>Provide transparent update and confirm next steps</t>
        </is>
      </c>
      <c r="I42" s="12" t="inlineStr">
        <is>
          <t>CEO Office</t>
        </is>
      </c>
      <c r="J42" s="124" t="n">
        <v>46079</v>
      </c>
      <c r="K42" s="12" t="inlineStr">
        <is>
          <t>In Progress</t>
        </is>
      </c>
    </row>
    <row r="43">
      <c r="A43" s="12" t="inlineStr">
        <is>
          <t>INT-042</t>
        </is>
      </c>
      <c r="B43" s="124" t="n">
        <v>45470</v>
      </c>
      <c r="C43" s="12" t="inlineStr">
        <is>
          <t>MIC</t>
        </is>
      </c>
      <c r="D43" s="12" t="inlineStr">
        <is>
          <t>Legal Unit</t>
        </is>
      </c>
      <c r="E43" s="12" t="inlineStr">
        <is>
          <t>Market conduct</t>
        </is>
      </c>
      <c r="F43" s="12" t="inlineStr">
        <is>
          <t>Submission counter</t>
        </is>
      </c>
      <c r="G43" s="12" t="inlineStr">
        <is>
          <t>Positive</t>
        </is>
      </c>
      <c r="H43" s="12" t="inlineStr">
        <is>
          <t>Provide transparent update and confirm next steps</t>
        </is>
      </c>
      <c r="I43" s="12" t="inlineStr">
        <is>
          <t>CEO Office</t>
        </is>
      </c>
      <c r="J43" s="124" t="n">
        <v>45486</v>
      </c>
      <c r="K43" s="12" t="inlineStr">
        <is>
          <t>Closed</t>
        </is>
      </c>
    </row>
    <row r="44">
      <c r="A44" s="12" t="inlineStr">
        <is>
          <t>INT-043</t>
        </is>
      </c>
      <c r="B44" s="124" t="n">
        <v>46150</v>
      </c>
      <c r="C44" s="12" t="inlineStr">
        <is>
          <t>VCA</t>
        </is>
      </c>
      <c r="D44" s="12" t="inlineStr">
        <is>
          <t>Insurance Supervision Team</t>
        </is>
      </c>
      <c r="E44" s="12" t="inlineStr">
        <is>
          <t>Consumer complaints</t>
        </is>
      </c>
      <c r="F44" s="12" t="inlineStr">
        <is>
          <t>Submission counter</t>
        </is>
      </c>
      <c r="G44" s="12" t="inlineStr">
        <is>
          <t>Concerned</t>
        </is>
      </c>
      <c r="H44" s="12" t="inlineStr">
        <is>
          <t>Provide transparent update and confirm next steps</t>
        </is>
      </c>
      <c r="I44" s="12" t="inlineStr">
        <is>
          <t>Product</t>
        </is>
      </c>
      <c r="J44" s="124" t="n">
        <v>46164</v>
      </c>
      <c r="K44" s="12" t="inlineStr">
        <is>
          <t>Open</t>
        </is>
      </c>
    </row>
    <row r="45">
      <c r="A45" s="12" t="inlineStr">
        <is>
          <t>INT-044</t>
        </is>
      </c>
      <c r="B45" s="124" t="n">
        <v>45481</v>
      </c>
      <c r="C45" s="12" t="inlineStr">
        <is>
          <t>IAV</t>
        </is>
      </c>
      <c r="D45" s="12" t="inlineStr">
        <is>
          <t>Association Secretariat</t>
        </is>
      </c>
      <c r="E45" s="12" t="inlineStr">
        <is>
          <t>Bancassurance</t>
        </is>
      </c>
      <c r="F45" s="12" t="inlineStr">
        <is>
          <t>Meeting</t>
        </is>
      </c>
      <c r="G45" s="12" t="inlineStr">
        <is>
          <t>Concerned</t>
        </is>
      </c>
      <c r="H45" s="12" t="inlineStr">
        <is>
          <t>Provide transparent update and confirm next steps</t>
        </is>
      </c>
      <c r="I45" s="12" t="inlineStr">
        <is>
          <t>Agency</t>
        </is>
      </c>
      <c r="J45" s="124" t="n">
        <v>45490</v>
      </c>
      <c r="K45" s="12" t="inlineStr">
        <is>
          <t>Open</t>
        </is>
      </c>
    </row>
    <row r="46">
      <c r="A46" s="12" t="inlineStr">
        <is>
          <t>INT-045</t>
        </is>
      </c>
      <c r="B46" s="124" t="n">
        <v>45718</v>
      </c>
      <c r="C46" s="12" t="inlineStr">
        <is>
          <t>MOF</t>
        </is>
      </c>
      <c r="D46" s="12" t="inlineStr">
        <is>
          <t>Administrative Office</t>
        </is>
      </c>
      <c r="E46" s="12" t="inlineStr">
        <is>
          <t>Product approval</t>
        </is>
      </c>
      <c r="F46" s="12" t="inlineStr">
        <is>
          <t>Meeting</t>
        </is>
      </c>
      <c r="G46" s="12" t="inlineStr">
        <is>
          <t>Cautious</t>
        </is>
      </c>
      <c r="H46" s="12" t="inlineStr">
        <is>
          <t>Provide transparent update and confirm next steps</t>
        </is>
      </c>
      <c r="I46" s="12" t="inlineStr">
        <is>
          <t>Product</t>
        </is>
      </c>
      <c r="J46" s="124" t="n">
        <v>45725</v>
      </c>
      <c r="K46" s="12" t="inlineStr">
        <is>
          <t>In Progress</t>
        </is>
      </c>
    </row>
    <row r="47">
      <c r="A47" s="12" t="inlineStr">
        <is>
          <t>INT-046</t>
        </is>
      </c>
      <c r="B47" s="124" t="n">
        <v>45973</v>
      </c>
      <c r="C47" s="12" t="inlineStr">
        <is>
          <t>MOF</t>
        </is>
      </c>
      <c r="D47" s="12" t="inlineStr">
        <is>
          <t>Association Secretariat</t>
        </is>
      </c>
      <c r="E47" s="12" t="inlineStr">
        <is>
          <t>Consumer complaints</t>
        </is>
      </c>
      <c r="F47" s="12" t="inlineStr">
        <is>
          <t>Workshop</t>
        </is>
      </c>
      <c r="G47" s="12" t="inlineStr">
        <is>
          <t>Neutral</t>
        </is>
      </c>
      <c r="H47" s="12" t="inlineStr">
        <is>
          <t>Provide transparent update and confirm next steps</t>
        </is>
      </c>
      <c r="I47" s="12" t="inlineStr">
        <is>
          <t>Product</t>
        </is>
      </c>
      <c r="J47" s="124" t="n">
        <v>45986</v>
      </c>
      <c r="K47" s="12" t="inlineStr">
        <is>
          <t>Open</t>
        </is>
      </c>
    </row>
    <row r="48">
      <c r="A48" s="12" t="inlineStr">
        <is>
          <t>INT-047</t>
        </is>
      </c>
      <c r="B48" s="124" t="n">
        <v>45573</v>
      </c>
      <c r="C48" s="12" t="inlineStr">
        <is>
          <t>MOF</t>
        </is>
      </c>
      <c r="D48" s="12" t="inlineStr">
        <is>
          <t>Insurance Supervision Team</t>
        </is>
      </c>
      <c r="E48" s="12" t="inlineStr">
        <is>
          <t>Market conduct</t>
        </is>
      </c>
      <c r="F48" s="12" t="inlineStr">
        <is>
          <t>Call</t>
        </is>
      </c>
      <c r="G48" s="12" t="inlineStr">
        <is>
          <t>Cautious</t>
        </is>
      </c>
      <c r="H48" s="12" t="inlineStr">
        <is>
          <t>Provide transparent update and confirm next steps</t>
        </is>
      </c>
      <c r="I48" s="12" t="inlineStr">
        <is>
          <t>Finance</t>
        </is>
      </c>
      <c r="J48" s="124" t="n">
        <v>45579</v>
      </c>
      <c r="K48" s="12" t="inlineStr">
        <is>
          <t>In Progress</t>
        </is>
      </c>
    </row>
    <row r="49">
      <c r="A49" s="12" t="inlineStr">
        <is>
          <t>INT-048</t>
        </is>
      </c>
      <c r="B49" s="124" t="n">
        <v>46157</v>
      </c>
      <c r="C49" s="12" t="inlineStr">
        <is>
          <t>ISA</t>
        </is>
      </c>
      <c r="D49" s="12" t="inlineStr">
        <is>
          <t>Policy Dept</t>
        </is>
      </c>
      <c r="E49" s="12" t="inlineStr">
        <is>
          <t>Bancassurance</t>
        </is>
      </c>
      <c r="F49" s="12" t="inlineStr">
        <is>
          <t>Call</t>
        </is>
      </c>
      <c r="G49" s="12" t="inlineStr">
        <is>
          <t>Cautious</t>
        </is>
      </c>
      <c r="H49" s="12" t="inlineStr">
        <is>
          <t>Provide transparent update and confirm next steps</t>
        </is>
      </c>
      <c r="I49" s="12" t="inlineStr">
        <is>
          <t>Legal</t>
        </is>
      </c>
      <c r="J49" s="124" t="n">
        <v>46165</v>
      </c>
      <c r="K49" s="12" t="inlineStr">
        <is>
          <t>Closed</t>
        </is>
      </c>
    </row>
  </sheetData>
  <dataValidations count="1">
    <dataValidation sqref="K2:K49" showDropDown="0" showInputMessage="0" showErrorMessage="0" allowBlank="0" type="list">
      <formula1>"On Track,Due Soon,Overdue,Submitted,Approved,In Review,Drafting,Waiting Internal Input"</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31"/>
  <sheetViews>
    <sheetView workbookViewId="0">
      <pane ySplit="1" topLeftCell="A2" activePane="bottomLeft" state="frozen"/>
      <selection pane="bottomLeft" activeCell="A1" sqref="A1"/>
    </sheetView>
  </sheetViews>
  <sheetFormatPr baseColWidth="8" defaultRowHeight="15"/>
  <cols>
    <col width="14" customWidth="1" style="44" min="1" max="1"/>
    <col width="35" customWidth="1" style="44" min="2" max="2"/>
    <col width="14" customWidth="1" style="44" min="3" max="3"/>
    <col width="14.13000011444092" customWidth="1" style="44" min="4" max="4"/>
    <col width="17.6299991607666" customWidth="1" style="44" min="5" max="5"/>
    <col width="14.67000007629395" customWidth="1" style="44" min="6" max="6"/>
    <col width="20.04999923706055" customWidth="1" style="44" min="7" max="7"/>
    <col width="22.06999969482422" customWidth="1" style="44" min="8" max="8"/>
    <col width="14" customWidth="1" style="44" min="9" max="9"/>
    <col width="14" customWidth="1" style="44" min="10" max="10"/>
    <col width="35" customWidth="1" style="44" min="11" max="11"/>
    <col width="14" customWidth="1" style="44" min="12" max="12"/>
    <col width="14" customWidth="1" style="44" min="13" max="13"/>
    <col width="14" customWidth="1" style="44" min="14" max="14"/>
    <col width="14" customWidth="1" style="44" min="15" max="15"/>
  </cols>
  <sheetData>
    <row r="1">
      <c r="A1" s="125" t="inlineStr">
        <is>
          <t>Policy ID</t>
        </is>
      </c>
      <c r="B1" s="125" t="inlineStr">
        <is>
          <t>Policy / Regulation</t>
        </is>
      </c>
      <c r="C1" s="125" t="inlineStr">
        <is>
          <t>Agency</t>
        </is>
      </c>
      <c r="D1" s="125" t="inlineStr">
        <is>
          <t>Policy Stage</t>
        </is>
      </c>
      <c r="E1" s="125" t="inlineStr">
        <is>
          <t>Expected Timeline</t>
        </is>
      </c>
      <c r="F1" s="125" t="inlineStr">
        <is>
          <t>Probability (%)</t>
        </is>
      </c>
      <c r="G1" s="125" t="inlineStr">
        <is>
          <t>Business Impact (1-5)</t>
        </is>
      </c>
      <c r="H1" s="125" t="inlineStr">
        <is>
          <t>Reputation Impact (1-5)</t>
        </is>
      </c>
      <c r="I1" s="125" t="inlineStr">
        <is>
          <t>Risk Score</t>
        </is>
      </c>
      <c r="J1" s="125" t="inlineStr">
        <is>
          <t>Opportunity</t>
        </is>
      </c>
      <c r="K1" s="125" t="inlineStr">
        <is>
          <t>Recommended Action</t>
        </is>
      </c>
      <c r="L1" s="125" t="inlineStr">
        <is>
          <t>Owner</t>
        </is>
      </c>
      <c r="M1" s="87" t="n"/>
      <c r="N1" s="87" t="n"/>
      <c r="O1" s="87" t="n"/>
      <c r="P1" s="87" t="n"/>
      <c r="Q1" s="87" t="n"/>
      <c r="R1" s="87" t="n"/>
      <c r="S1" s="87" t="n"/>
      <c r="T1" s="87" t="n"/>
      <c r="U1" s="87" t="n"/>
      <c r="V1" s="87" t="n"/>
      <c r="W1" s="87" t="n"/>
      <c r="X1" s="87" t="n"/>
      <c r="Y1" s="87" t="n"/>
      <c r="Z1" s="87" t="n"/>
    </row>
    <row r="2">
      <c r="A2" s="87" t="inlineStr">
        <is>
          <t>POL-001</t>
        </is>
      </c>
      <c r="B2" s="87" t="inlineStr">
        <is>
          <t>Insurance Law amendment</t>
        </is>
      </c>
      <c r="C2" s="87" t="inlineStr">
        <is>
          <t>MOF</t>
        </is>
      </c>
      <c r="D2" s="87" t="inlineStr">
        <is>
          <t>Draft discussion</t>
        </is>
      </c>
      <c r="E2" s="87" t="inlineStr">
        <is>
          <t>0-3 months</t>
        </is>
      </c>
      <c r="F2" s="87" t="n">
        <v>38</v>
      </c>
      <c r="G2" s="87" t="n">
        <v>3</v>
      </c>
      <c r="H2" s="87" t="n">
        <v>4</v>
      </c>
      <c r="I2" s="87">
        <f>ROUND(F2*G2*H2/100,2)</f>
        <v/>
      </c>
      <c r="J2" s="87" t="inlineStr">
        <is>
          <t>High</t>
        </is>
      </c>
      <c r="K2" s="87" t="inlineStr">
        <is>
          <t>Monitor, prepare internal memo and engage via association</t>
        </is>
      </c>
      <c r="L2" s="87" t="inlineStr">
        <is>
          <t>Legal</t>
        </is>
      </c>
      <c r="M2" s="87" t="n"/>
      <c r="N2" s="87" t="n"/>
      <c r="O2" s="87" t="n"/>
      <c r="P2" s="87" t="n"/>
      <c r="Q2" s="87" t="n"/>
      <c r="R2" s="87" t="n"/>
      <c r="S2" s="87" t="n"/>
      <c r="T2" s="87" t="n"/>
      <c r="U2" s="87" t="n"/>
      <c r="V2" s="87" t="n"/>
      <c r="W2" s="87" t="n"/>
      <c r="X2" s="87" t="n"/>
      <c r="Y2" s="87" t="n"/>
      <c r="Z2" s="87" t="n"/>
    </row>
    <row r="3">
      <c r="A3" s="87" t="inlineStr">
        <is>
          <t>POL-002</t>
        </is>
      </c>
      <c r="B3" s="87" t="inlineStr">
        <is>
          <t>Circular on product approval process</t>
        </is>
      </c>
      <c r="C3" s="87" t="inlineStr">
        <is>
          <t>ISA</t>
        </is>
      </c>
      <c r="D3" s="87" t="inlineStr">
        <is>
          <t>Consultation</t>
        </is>
      </c>
      <c r="E3" s="87" t="inlineStr">
        <is>
          <t>0-3 months</t>
        </is>
      </c>
      <c r="F3" s="87" t="n">
        <v>65</v>
      </c>
      <c r="G3" s="87" t="n">
        <v>5</v>
      </c>
      <c r="H3" s="87" t="n">
        <v>3</v>
      </c>
      <c r="I3" s="87">
        <f>ROUND(F3*G3*H3/100,2)</f>
        <v/>
      </c>
      <c r="J3" s="87" t="inlineStr">
        <is>
          <t>Medium</t>
        </is>
      </c>
      <c r="K3" s="87" t="inlineStr">
        <is>
          <t>Monitor, prepare internal memo and engage via association</t>
        </is>
      </c>
      <c r="L3" s="87" t="inlineStr">
        <is>
          <t>Compliance</t>
        </is>
      </c>
      <c r="M3" s="87" t="n"/>
      <c r="N3" s="87" t="n"/>
      <c r="O3" s="87" t="n"/>
      <c r="P3" s="87" t="n"/>
      <c r="Q3" s="87" t="n"/>
      <c r="R3" s="87" t="n"/>
      <c r="S3" s="87" t="n"/>
      <c r="T3" s="87" t="n"/>
      <c r="U3" s="87" t="n"/>
      <c r="V3" s="87" t="n"/>
      <c r="W3" s="87" t="n"/>
      <c r="X3" s="87" t="n"/>
      <c r="Y3" s="87" t="n"/>
      <c r="Z3" s="87" t="n"/>
    </row>
    <row r="4">
      <c r="A4" s="87" t="inlineStr">
        <is>
          <t>POL-003</t>
        </is>
      </c>
      <c r="B4" s="87" t="inlineStr">
        <is>
          <t>Bancassurance conduct guideline</t>
        </is>
      </c>
      <c r="C4" s="87" t="inlineStr">
        <is>
          <t>SBV / MOF</t>
        </is>
      </c>
      <c r="D4" s="87" t="inlineStr">
        <is>
          <t>Drafting</t>
        </is>
      </c>
      <c r="E4" s="87" t="inlineStr">
        <is>
          <t>6-12 months</t>
        </is>
      </c>
      <c r="F4" s="87" t="n">
        <v>74</v>
      </c>
      <c r="G4" s="87" t="n">
        <v>2</v>
      </c>
      <c r="H4" s="87" t="n">
        <v>5</v>
      </c>
      <c r="I4" s="87">
        <f>ROUND(F4*G4*H4/100,2)</f>
        <v/>
      </c>
      <c r="J4" s="87" t="inlineStr">
        <is>
          <t>Medium</t>
        </is>
      </c>
      <c r="K4" s="87" t="inlineStr">
        <is>
          <t>Monitor, prepare internal memo and engage via association</t>
        </is>
      </c>
      <c r="L4" s="87" t="inlineStr">
        <is>
          <t>Legal</t>
        </is>
      </c>
      <c r="M4" s="87" t="n"/>
      <c r="N4" s="87" t="n"/>
      <c r="O4" s="87" t="n"/>
      <c r="P4" s="87" t="n"/>
      <c r="Q4" s="87" t="n"/>
      <c r="R4" s="87" t="n"/>
      <c r="S4" s="87" t="n"/>
      <c r="T4" s="87" t="n"/>
      <c r="U4" s="87" t="n"/>
      <c r="V4" s="87" t="n"/>
      <c r="W4" s="87" t="n"/>
      <c r="X4" s="87" t="n"/>
      <c r="Y4" s="87" t="n"/>
      <c r="Z4" s="87" t="n"/>
    </row>
    <row r="5">
      <c r="A5" s="87" t="inlineStr">
        <is>
          <t>POL-004</t>
        </is>
      </c>
      <c r="B5" s="87" t="inlineStr">
        <is>
          <t>Personal data protection implementation</t>
        </is>
      </c>
      <c r="C5" s="87" t="inlineStr">
        <is>
          <t>MIC</t>
        </is>
      </c>
      <c r="D5" s="87" t="inlineStr">
        <is>
          <t>Implementation</t>
        </is>
      </c>
      <c r="E5" s="87" t="inlineStr">
        <is>
          <t>12+ months</t>
        </is>
      </c>
      <c r="F5" s="87" t="n">
        <v>38</v>
      </c>
      <c r="G5" s="87" t="n">
        <v>5</v>
      </c>
      <c r="H5" s="87" t="n">
        <v>4</v>
      </c>
      <c r="I5" s="87">
        <f>ROUND(F5*G5*H5/100,2)</f>
        <v/>
      </c>
      <c r="J5" s="87" t="inlineStr">
        <is>
          <t>High</t>
        </is>
      </c>
      <c r="K5" s="87" t="inlineStr">
        <is>
          <t>Monitor, prepare internal memo and engage via association</t>
        </is>
      </c>
      <c r="L5" s="87" t="inlineStr">
        <is>
          <t>Legal</t>
        </is>
      </c>
      <c r="M5" s="87" t="n"/>
      <c r="N5" s="87" t="n"/>
      <c r="O5" s="87" t="n"/>
      <c r="P5" s="87" t="n"/>
      <c r="Q5" s="87" t="n"/>
      <c r="R5" s="87" t="n"/>
      <c r="S5" s="87" t="n"/>
      <c r="T5" s="87" t="n"/>
      <c r="U5" s="87" t="n"/>
      <c r="V5" s="87" t="n"/>
      <c r="W5" s="87" t="n"/>
      <c r="X5" s="87" t="n"/>
      <c r="Y5" s="87" t="n"/>
      <c r="Z5" s="87" t="n"/>
    </row>
    <row r="6">
      <c r="A6" s="87" t="inlineStr">
        <is>
          <t>POL-005</t>
        </is>
      </c>
      <c r="B6" s="87" t="inlineStr">
        <is>
          <t>Consumer protection reporting requirement</t>
        </is>
      </c>
      <c r="C6" s="87" t="inlineStr">
        <is>
          <t>VCA</t>
        </is>
      </c>
      <c r="D6" s="87" t="inlineStr">
        <is>
          <t>Effective soon</t>
        </is>
      </c>
      <c r="E6" s="87" t="inlineStr">
        <is>
          <t>0-3 months</t>
        </is>
      </c>
      <c r="F6" s="87" t="n">
        <v>66</v>
      </c>
      <c r="G6" s="87" t="n">
        <v>5</v>
      </c>
      <c r="H6" s="87" t="n">
        <v>1</v>
      </c>
      <c r="I6" s="87">
        <f>ROUND(F6*G6*H6/100,2)</f>
        <v/>
      </c>
      <c r="J6" s="87" t="inlineStr">
        <is>
          <t>Medium</t>
        </is>
      </c>
      <c r="K6" s="87" t="inlineStr">
        <is>
          <t>Monitor, prepare internal memo and engage via association</t>
        </is>
      </c>
      <c r="L6" s="87" t="inlineStr">
        <is>
          <t>Compliance</t>
        </is>
      </c>
      <c r="M6" s="87" t="n"/>
      <c r="N6" s="87" t="n"/>
      <c r="O6" s="87" t="n"/>
      <c r="P6" s="87" t="n"/>
      <c r="Q6" s="87" t="n"/>
      <c r="R6" s="87" t="n"/>
      <c r="S6" s="87" t="n"/>
      <c r="T6" s="87" t="n"/>
      <c r="U6" s="87" t="n"/>
      <c r="V6" s="87" t="n"/>
      <c r="W6" s="87" t="n"/>
      <c r="X6" s="87" t="n"/>
      <c r="Y6" s="87" t="n"/>
      <c r="Z6" s="87" t="n"/>
    </row>
    <row r="7">
      <c r="A7" s="87" t="inlineStr">
        <is>
          <t>POL-006</t>
        </is>
      </c>
      <c r="B7" s="87" t="inlineStr">
        <is>
          <t>Mandatory ESG disclosure for insurers</t>
        </is>
      </c>
      <c r="C7" s="87" t="inlineStr">
        <is>
          <t>MOF</t>
        </is>
      </c>
      <c r="D7" s="87" t="inlineStr">
        <is>
          <t>Early consultation</t>
        </is>
      </c>
      <c r="E7" s="87" t="inlineStr">
        <is>
          <t>6-12 months</t>
        </is>
      </c>
      <c r="F7" s="87" t="n">
        <v>39</v>
      </c>
      <c r="G7" s="87" t="n">
        <v>3</v>
      </c>
      <c r="H7" s="87" t="n">
        <v>3</v>
      </c>
      <c r="I7" s="87">
        <f>ROUND(F7*G7*H7/100,2)</f>
        <v/>
      </c>
      <c r="J7" s="87" t="inlineStr">
        <is>
          <t>Medium</t>
        </is>
      </c>
      <c r="K7" s="87" t="inlineStr">
        <is>
          <t>Monitor, prepare internal memo and engage via association</t>
        </is>
      </c>
      <c r="L7" s="87" t="inlineStr">
        <is>
          <t>Public Affairs</t>
        </is>
      </c>
      <c r="M7" s="87" t="n"/>
      <c r="N7" s="87" t="n"/>
      <c r="O7" s="87" t="n"/>
      <c r="P7" s="87" t="n"/>
      <c r="Q7" s="87" t="n"/>
      <c r="R7" s="87" t="n"/>
      <c r="S7" s="87" t="n"/>
      <c r="T7" s="87" t="n"/>
      <c r="U7" s="87" t="n"/>
      <c r="V7" s="87" t="n"/>
      <c r="W7" s="87" t="n"/>
      <c r="X7" s="87" t="n"/>
      <c r="Y7" s="87" t="n"/>
      <c r="Z7" s="87" t="n"/>
    </row>
    <row r="8">
      <c r="A8" s="87" t="inlineStr">
        <is>
          <t>POL-007</t>
        </is>
      </c>
      <c r="B8" s="87" t="inlineStr">
        <is>
          <t>Capital adequacy and solvency update</t>
        </is>
      </c>
      <c r="C8" s="87" t="inlineStr">
        <is>
          <t>ISA</t>
        </is>
      </c>
      <c r="D8" s="87" t="inlineStr">
        <is>
          <t>Consultation</t>
        </is>
      </c>
      <c r="E8" s="87" t="inlineStr">
        <is>
          <t>0-3 months</t>
        </is>
      </c>
      <c r="F8" s="87" t="n">
        <v>64</v>
      </c>
      <c r="G8" s="87" t="n">
        <v>5</v>
      </c>
      <c r="H8" s="87" t="n">
        <v>1</v>
      </c>
      <c r="I8" s="87">
        <f>ROUND(F8*G8*H8/100,2)</f>
        <v/>
      </c>
      <c r="J8" s="87" t="inlineStr">
        <is>
          <t>High</t>
        </is>
      </c>
      <c r="K8" s="87" t="inlineStr">
        <is>
          <t>Monitor, prepare internal memo and engage via association</t>
        </is>
      </c>
      <c r="L8" s="87" t="inlineStr">
        <is>
          <t>Compliance</t>
        </is>
      </c>
      <c r="M8" s="87" t="n"/>
      <c r="N8" s="87" t="n"/>
      <c r="O8" s="87" t="n"/>
      <c r="P8" s="87" t="n"/>
      <c r="Q8" s="87" t="n"/>
      <c r="R8" s="87" t="n"/>
      <c r="S8" s="87" t="n"/>
      <c r="T8" s="87" t="n"/>
      <c r="U8" s="87" t="n"/>
      <c r="V8" s="87" t="n"/>
      <c r="W8" s="87" t="n"/>
      <c r="X8" s="87" t="n"/>
      <c r="Y8" s="87" t="n"/>
      <c r="Z8" s="87" t="n"/>
    </row>
    <row r="9">
      <c r="A9" s="87" t="inlineStr">
        <is>
          <t>POL-008</t>
        </is>
      </c>
      <c r="B9" s="87" t="inlineStr">
        <is>
          <t>Agency training standard revision</t>
        </is>
      </c>
      <c r="C9" s="87" t="inlineStr">
        <is>
          <t>ISA</t>
        </is>
      </c>
      <c r="D9" s="87" t="inlineStr">
        <is>
          <t>Drafting</t>
        </is>
      </c>
      <c r="E9" s="87" t="inlineStr">
        <is>
          <t>12+ months</t>
        </is>
      </c>
      <c r="F9" s="87" t="n">
        <v>62</v>
      </c>
      <c r="G9" s="87" t="n">
        <v>5</v>
      </c>
      <c r="H9" s="87" t="n">
        <v>2</v>
      </c>
      <c r="I9" s="87">
        <f>ROUND(F9*G9*H9/100,2)</f>
        <v/>
      </c>
      <c r="J9" s="87" t="inlineStr">
        <is>
          <t>Medium</t>
        </is>
      </c>
      <c r="K9" s="87" t="inlineStr">
        <is>
          <t>Monitor, prepare internal memo and engage via association</t>
        </is>
      </c>
      <c r="L9" s="87" t="inlineStr">
        <is>
          <t>Risk</t>
        </is>
      </c>
      <c r="M9" s="87" t="n"/>
      <c r="N9" s="87" t="n"/>
      <c r="O9" s="87" t="n"/>
      <c r="P9" s="87" t="n"/>
      <c r="Q9" s="87" t="n"/>
      <c r="R9" s="87" t="n"/>
      <c r="S9" s="87" t="n"/>
      <c r="T9" s="87" t="n"/>
      <c r="U9" s="87" t="n"/>
      <c r="V9" s="87" t="n"/>
      <c r="W9" s="87" t="n"/>
      <c r="X9" s="87" t="n"/>
      <c r="Y9" s="87" t="n"/>
      <c r="Z9" s="87" t="n"/>
    </row>
    <row r="10">
      <c r="A10" s="87" t="inlineStr">
        <is>
          <t>POL-009</t>
        </is>
      </c>
      <c r="B10" s="87" t="inlineStr">
        <is>
          <t>Digital insurance distribution rules</t>
        </is>
      </c>
      <c r="C10" s="87" t="inlineStr">
        <is>
          <t>MIC / MOF</t>
        </is>
      </c>
      <c r="D10" s="87" t="inlineStr">
        <is>
          <t>Policy design</t>
        </is>
      </c>
      <c r="E10" s="87" t="inlineStr">
        <is>
          <t>6-12 months</t>
        </is>
      </c>
      <c r="F10" s="87" t="n">
        <v>60</v>
      </c>
      <c r="G10" s="87" t="n">
        <v>5</v>
      </c>
      <c r="H10" s="87" t="n">
        <v>1</v>
      </c>
      <c r="I10" s="87">
        <f>ROUND(F10*G10*H10/100,2)</f>
        <v/>
      </c>
      <c r="J10" s="87" t="inlineStr">
        <is>
          <t>Medium</t>
        </is>
      </c>
      <c r="K10" s="87" t="inlineStr">
        <is>
          <t>Monitor, prepare internal memo and engage via association</t>
        </is>
      </c>
      <c r="L10" s="87" t="inlineStr">
        <is>
          <t>Public Affairs</t>
        </is>
      </c>
      <c r="M10" s="87" t="n"/>
      <c r="N10" s="87" t="n"/>
      <c r="O10" s="87" t="n"/>
      <c r="P10" s="87" t="n"/>
      <c r="Q10" s="87" t="n"/>
      <c r="R10" s="87" t="n"/>
      <c r="S10" s="87" t="n"/>
      <c r="T10" s="87" t="n"/>
      <c r="U10" s="87" t="n"/>
      <c r="V10" s="87" t="n"/>
      <c r="W10" s="87" t="n"/>
      <c r="X10" s="87" t="n"/>
      <c r="Y10" s="87" t="n"/>
      <c r="Z10" s="87" t="n"/>
    </row>
    <row r="11">
      <c r="A11" s="87" t="inlineStr">
        <is>
          <t>POL-010</t>
        </is>
      </c>
      <c r="B11" s="87" t="inlineStr">
        <is>
          <t>Complaint handling transparency requirement</t>
        </is>
      </c>
      <c r="C11" s="87" t="inlineStr">
        <is>
          <t>VCA / ISA</t>
        </is>
      </c>
      <c r="D11" s="87" t="inlineStr">
        <is>
          <t>Drafting</t>
        </is>
      </c>
      <c r="E11" s="87" t="inlineStr">
        <is>
          <t>3-6 months</t>
        </is>
      </c>
      <c r="F11" s="87" t="n">
        <v>77</v>
      </c>
      <c r="G11" s="87" t="n">
        <v>4</v>
      </c>
      <c r="H11" s="87" t="n">
        <v>3</v>
      </c>
      <c r="I11" s="87">
        <f>ROUND(F11*G11*H11/100,2)</f>
        <v/>
      </c>
      <c r="J11" s="87" t="inlineStr">
        <is>
          <t>High</t>
        </is>
      </c>
      <c r="K11" s="87" t="inlineStr">
        <is>
          <t>Monitor, prepare internal memo and engage via association</t>
        </is>
      </c>
      <c r="L11" s="87" t="inlineStr">
        <is>
          <t>Risk</t>
        </is>
      </c>
      <c r="M11" s="87" t="n"/>
      <c r="N11" s="87" t="n"/>
      <c r="O11" s="87" t="n"/>
      <c r="P11" s="87" t="n"/>
      <c r="Q11" s="87" t="n"/>
      <c r="R11" s="87" t="n"/>
      <c r="S11" s="87" t="n"/>
      <c r="T11" s="87" t="n"/>
      <c r="U11" s="87" t="n"/>
      <c r="V11" s="87" t="n"/>
      <c r="W11" s="87" t="n"/>
      <c r="X11" s="87" t="n"/>
      <c r="Y11" s="87" t="n"/>
      <c r="Z11" s="87" t="n"/>
    </row>
    <row r="12">
      <c r="A12" s="87" t="n"/>
      <c r="B12" s="87" t="n"/>
      <c r="C12" s="87" t="n"/>
      <c r="D12" s="87" t="n"/>
      <c r="E12" s="87" t="n"/>
      <c r="F12" s="87" t="n"/>
      <c r="G12" s="87" t="n"/>
      <c r="H12" s="87" t="n"/>
      <c r="I12" s="87" t="n"/>
      <c r="J12" s="87" t="n"/>
      <c r="K12" s="87" t="n"/>
      <c r="L12" s="87" t="n"/>
      <c r="M12" s="87" t="n"/>
      <c r="N12" s="87" t="n"/>
      <c r="O12" s="87" t="n"/>
      <c r="P12" s="87" t="n"/>
      <c r="Q12" s="87" t="n"/>
      <c r="R12" s="87" t="n"/>
      <c r="S12" s="87" t="n"/>
      <c r="T12" s="87" t="n"/>
      <c r="U12" s="87" t="n"/>
      <c r="V12" s="87" t="n"/>
      <c r="W12" s="87" t="n"/>
      <c r="X12" s="87" t="n"/>
      <c r="Y12" s="87" t="n"/>
      <c r="Z12" s="87" t="n"/>
    </row>
    <row r="13">
      <c r="A13" s="87" t="inlineStr">
        <is>
          <t>Consolidation Note</t>
        </is>
      </c>
      <c r="B13" s="87" t="inlineStr">
        <is>
          <t>Risk_Radar and Regulatory_News_Feed consolidated here. Use Policy_Monitoring as the single source for policy signals, probability, impact and recommended actions.</t>
        </is>
      </c>
      <c r="C13" s="87" t="n"/>
      <c r="D13" s="87" t="n"/>
      <c r="E13" s="87" t="n"/>
      <c r="F13" s="87" t="n"/>
      <c r="G13" s="87" t="n"/>
      <c r="H13" s="87" t="n"/>
      <c r="I13" s="87" t="n"/>
      <c r="J13" s="87" t="n"/>
      <c r="K13" s="87" t="n"/>
      <c r="L13" s="87" t="n"/>
      <c r="M13" s="87" t="n"/>
      <c r="N13" s="87" t="n"/>
      <c r="O13" s="87" t="n"/>
      <c r="P13" s="87" t="n"/>
      <c r="Q13" s="87" t="n"/>
      <c r="R13" s="87" t="n"/>
      <c r="S13" s="87" t="n"/>
      <c r="T13" s="87" t="n"/>
      <c r="U13" s="87" t="n"/>
      <c r="V13" s="87" t="n"/>
      <c r="W13" s="87" t="n"/>
      <c r="X13" s="87" t="n"/>
      <c r="Y13" s="87" t="n"/>
      <c r="Z13" s="87" t="n"/>
    </row>
    <row r="14">
      <c r="A14" s="87" t="n"/>
      <c r="B14" s="87" t="n"/>
      <c r="C14" s="87" t="n"/>
      <c r="D14" s="87" t="n"/>
      <c r="E14" s="87" t="n"/>
      <c r="F14" s="87" t="n"/>
      <c r="G14" s="87" t="n"/>
      <c r="H14" s="87" t="n"/>
      <c r="I14" s="87" t="n"/>
      <c r="J14" s="87" t="n"/>
      <c r="K14" s="87" t="n"/>
      <c r="L14" s="87" t="n"/>
      <c r="M14" s="87" t="n"/>
      <c r="N14" s="87" t="n"/>
      <c r="O14" s="87" t="n"/>
      <c r="P14" s="87" t="n"/>
      <c r="Q14" s="87" t="n"/>
      <c r="R14" s="87" t="n"/>
      <c r="S14" s="87" t="n"/>
      <c r="T14" s="87" t="n"/>
      <c r="U14" s="87" t="n"/>
      <c r="V14" s="87" t="n"/>
      <c r="W14" s="87" t="n"/>
      <c r="X14" s="87" t="n"/>
      <c r="Y14" s="87" t="n"/>
      <c r="Z14" s="87" t="n"/>
    </row>
    <row r="15">
      <c r="A15" s="87" t="inlineStr">
        <is>
          <t>Consolidated Risk Radar Items</t>
        </is>
      </c>
      <c r="B15" s="87" t="n"/>
      <c r="C15" s="87" t="n"/>
      <c r="D15" s="87" t="n"/>
      <c r="E15" s="87" t="n"/>
      <c r="F15" s="87" t="n"/>
      <c r="G15" s="87" t="n"/>
      <c r="H15" s="87" t="n"/>
      <c r="I15" s="87" t="n"/>
      <c r="J15" s="87" t="n"/>
      <c r="K15" s="87" t="n"/>
      <c r="L15" s="87" t="n"/>
      <c r="M15" s="87" t="n"/>
      <c r="N15" s="87" t="n"/>
      <c r="O15" s="87" t="n"/>
      <c r="P15" s="87" t="n"/>
      <c r="Q15" s="87" t="n"/>
      <c r="R15" s="87" t="n"/>
      <c r="S15" s="87" t="n"/>
      <c r="T15" s="87" t="n"/>
      <c r="U15" s="87" t="n"/>
      <c r="V15" s="87" t="n"/>
      <c r="W15" s="87" t="n"/>
      <c r="X15" s="87" t="n"/>
      <c r="Y15" s="87" t="n"/>
      <c r="Z15" s="87" t="n"/>
    </row>
    <row r="16">
      <c r="A16" s="87" t="inlineStr">
        <is>
          <t>Risk ID</t>
        </is>
      </c>
      <c r="B16" s="87" t="inlineStr">
        <is>
          <t>Regulatory Topic</t>
        </is>
      </c>
      <c r="C16" s="87" t="inlineStr">
        <is>
          <t>Agency</t>
        </is>
      </c>
      <c r="D16" s="87" t="inlineStr">
        <is>
          <t>Probability (1-5)</t>
        </is>
      </c>
      <c r="E16" s="87" t="inlineStr">
        <is>
          <t>Impact (1-5)</t>
        </is>
      </c>
      <c r="F16" s="87" t="inlineStr">
        <is>
          <t>Preparedness (1-5)</t>
        </is>
      </c>
      <c r="G16" s="87" t="inlineStr">
        <is>
          <t>Risk Score</t>
        </is>
      </c>
      <c r="H16" s="87" t="inlineStr">
        <is>
          <t>Risk Level</t>
        </is>
      </c>
      <c r="I16" s="87" t="inlineStr">
        <is>
          <t>Early Warning Signal</t>
        </is>
      </c>
      <c r="J16" s="87" t="inlineStr">
        <is>
          <t>Recommended Action</t>
        </is>
      </c>
      <c r="K16" s="87" t="inlineStr">
        <is>
          <t>Owner</t>
        </is>
      </c>
      <c r="L16" s="87" t="n"/>
      <c r="M16" s="87" t="n"/>
      <c r="N16" s="87" t="n"/>
      <c r="O16" s="87" t="n"/>
      <c r="P16" s="87" t="n"/>
      <c r="Q16" s="87" t="n"/>
      <c r="R16" s="87" t="n"/>
      <c r="S16" s="87" t="n"/>
      <c r="T16" s="87" t="n"/>
      <c r="U16" s="87" t="n"/>
      <c r="V16" s="87" t="n"/>
      <c r="W16" s="87" t="n"/>
      <c r="X16" s="87" t="n"/>
      <c r="Y16" s="87" t="n"/>
      <c r="Z16" s="87" t="n"/>
    </row>
    <row r="17">
      <c r="A17" s="87" t="inlineStr">
        <is>
          <t>RR-001</t>
        </is>
      </c>
      <c r="B17" s="87" t="inlineStr">
        <is>
          <t>Capital adequacy and solvency update</t>
        </is>
      </c>
      <c r="C17" s="87" t="inlineStr">
        <is>
          <t>ISA</t>
        </is>
      </c>
      <c r="D17" s="87" t="n">
        <v>4</v>
      </c>
      <c r="E17" s="87" t="n">
        <v>5</v>
      </c>
      <c r="F17" s="87" t="n">
        <v>3</v>
      </c>
      <c r="G17" s="87">
        <f>D4*E4/F4</f>
        <v/>
      </c>
      <c r="H17" s="87" t="inlineStr">
        <is>
          <t>High</t>
        </is>
      </c>
      <c r="I17" s="87" t="inlineStr">
        <is>
          <t>Draft circular discussion and industry consultation</t>
        </is>
      </c>
      <c r="J17" s="87" t="inlineStr">
        <is>
          <t>Prepare capital impact note and engage via IAV</t>
        </is>
      </c>
      <c r="K17" s="87" t="inlineStr">
        <is>
          <t>Finance + PA</t>
        </is>
      </c>
      <c r="L17" s="87" t="n"/>
      <c r="M17" s="87" t="n"/>
      <c r="N17" s="87" t="n"/>
      <c r="O17" s="87" t="n"/>
      <c r="P17" s="87" t="n"/>
      <c r="Q17" s="87" t="n"/>
      <c r="R17" s="87" t="n"/>
      <c r="S17" s="87" t="n"/>
      <c r="T17" s="87" t="n"/>
      <c r="U17" s="87" t="n"/>
      <c r="V17" s="87" t="n"/>
      <c r="W17" s="87" t="n"/>
      <c r="X17" s="87" t="n"/>
      <c r="Y17" s="87" t="n"/>
      <c r="Z17" s="87" t="n"/>
    </row>
    <row r="18">
      <c r="A18" s="87" t="inlineStr">
        <is>
          <t>RR-002</t>
        </is>
      </c>
      <c r="B18" s="87" t="inlineStr">
        <is>
          <t>Product approval process tightening</t>
        </is>
      </c>
      <c r="C18" s="87" t="inlineStr">
        <is>
          <t>ISA</t>
        </is>
      </c>
      <c r="D18" s="87" t="n">
        <v>5</v>
      </c>
      <c r="E18" s="87" t="n">
        <v>5</v>
      </c>
      <c r="F18" s="87" t="n">
        <v>3</v>
      </c>
      <c r="G18" s="87">
        <f>D5*E5/F5</f>
        <v/>
      </c>
      <c r="H18" s="87" t="inlineStr">
        <is>
          <t>High</t>
        </is>
      </c>
      <c r="I18" s="87" t="inlineStr">
        <is>
          <t>More detailed Q&amp;A requests from regulator</t>
        </is>
      </c>
      <c r="J18" s="87" t="inlineStr">
        <is>
          <t>Create product dossier checklist and Q&amp;A evidence bank</t>
        </is>
      </c>
      <c r="K18" s="87" t="inlineStr">
        <is>
          <t>Product + PA</t>
        </is>
      </c>
      <c r="L18" s="87" t="n"/>
      <c r="M18" s="87" t="n"/>
      <c r="N18" s="87" t="n"/>
      <c r="O18" s="87" t="n"/>
      <c r="P18" s="87" t="n"/>
      <c r="Q18" s="87" t="n"/>
      <c r="R18" s="87" t="n"/>
      <c r="S18" s="87" t="n"/>
      <c r="T18" s="87" t="n"/>
      <c r="U18" s="87" t="n"/>
      <c r="V18" s="87" t="n"/>
      <c r="W18" s="87" t="n"/>
      <c r="X18" s="87" t="n"/>
      <c r="Y18" s="87" t="n"/>
      <c r="Z18" s="87" t="n"/>
    </row>
    <row r="19">
      <c r="A19" s="87" t="inlineStr">
        <is>
          <t>RR-003</t>
        </is>
      </c>
      <c r="B19" s="87" t="inlineStr">
        <is>
          <t>Bancassurance conduct guideline</t>
        </is>
      </c>
      <c r="C19" s="87" t="inlineStr">
        <is>
          <t>SBV / MOF</t>
        </is>
      </c>
      <c r="D19" s="87" t="n">
        <v>4</v>
      </c>
      <c r="E19" s="87" t="n">
        <v>5</v>
      </c>
      <c r="F19" s="87" t="n">
        <v>3</v>
      </c>
      <c r="G19" s="87">
        <f>D6*E6/F6</f>
        <v/>
      </c>
      <c r="H19" s="87" t="inlineStr">
        <is>
          <t>High</t>
        </is>
      </c>
      <c r="I19" s="87" t="inlineStr">
        <is>
          <t>Banking sector conduct review and consumer complaints</t>
        </is>
      </c>
      <c r="J19" s="87" t="inlineStr">
        <is>
          <t>Develop customer-protection narrative and sales governance evidence</t>
        </is>
      </c>
      <c r="K19" s="87" t="inlineStr">
        <is>
          <t>Bancassurance + Compliance</t>
        </is>
      </c>
      <c r="L19" s="87" t="n"/>
      <c r="M19" s="87" t="n"/>
      <c r="N19" s="87" t="n"/>
      <c r="O19" s="87" t="n"/>
      <c r="P19" s="87" t="n"/>
      <c r="Q19" s="87" t="n"/>
      <c r="R19" s="87" t="n"/>
      <c r="S19" s="87" t="n"/>
      <c r="T19" s="87" t="n"/>
      <c r="U19" s="87" t="n"/>
      <c r="V19" s="87" t="n"/>
      <c r="W19" s="87" t="n"/>
      <c r="X19" s="87" t="n"/>
      <c r="Y19" s="87" t="n"/>
      <c r="Z19" s="87" t="n"/>
    </row>
    <row r="20">
      <c r="A20" s="87" t="inlineStr">
        <is>
          <t>RR-004</t>
        </is>
      </c>
      <c r="B20" s="87" t="inlineStr">
        <is>
          <t>Data localization and privacy enforcement</t>
        </is>
      </c>
      <c r="C20" s="87" t="inlineStr">
        <is>
          <t>MIC</t>
        </is>
      </c>
      <c r="D20" s="87" t="n">
        <v>4</v>
      </c>
      <c r="E20" s="87" t="n">
        <v>4</v>
      </c>
      <c r="F20" s="87" t="n">
        <v>2</v>
      </c>
      <c r="G20" s="87">
        <f>D7*E7/F7</f>
        <v/>
      </c>
      <c r="H20" s="87" t="inlineStr">
        <is>
          <t>High</t>
        </is>
      </c>
      <c r="I20" s="87" t="inlineStr">
        <is>
          <t>New data consultation and privacy inspections</t>
        </is>
      </c>
      <c r="J20" s="87" t="inlineStr">
        <is>
          <t>Prepare data-flow map and compliance briefing</t>
        </is>
      </c>
      <c r="K20" s="87" t="inlineStr">
        <is>
          <t>Digital + Legal</t>
        </is>
      </c>
      <c r="L20" s="87" t="n"/>
      <c r="M20" s="87" t="n"/>
      <c r="N20" s="87" t="n"/>
      <c r="O20" s="87" t="n"/>
      <c r="P20" s="87" t="n"/>
      <c r="Q20" s="87" t="n"/>
      <c r="R20" s="87" t="n"/>
      <c r="S20" s="87" t="n"/>
      <c r="T20" s="87" t="n"/>
      <c r="U20" s="87" t="n"/>
      <c r="V20" s="87" t="n"/>
      <c r="W20" s="87" t="n"/>
      <c r="X20" s="87" t="n"/>
      <c r="Y20" s="87" t="n"/>
      <c r="Z20" s="87" t="n"/>
    </row>
    <row r="21">
      <c r="A21" s="87" t="inlineStr">
        <is>
          <t>RR-005</t>
        </is>
      </c>
      <c r="B21" s="87" t="inlineStr">
        <is>
          <t>Consumer complaint transparency requirement</t>
        </is>
      </c>
      <c r="C21" s="87" t="inlineStr">
        <is>
          <t>VCA / ISA</t>
        </is>
      </c>
      <c r="D21" s="87" t="n">
        <v>3</v>
      </c>
      <c r="E21" s="87" t="n">
        <v>4</v>
      </c>
      <c r="F21" s="87" t="n">
        <v>3</v>
      </c>
      <c r="G21" s="87">
        <f>D8*E8/F8</f>
        <v/>
      </c>
      <c r="H21" s="87" t="inlineStr">
        <is>
          <t>Medium</t>
        </is>
      </c>
      <c r="I21" s="87" t="inlineStr">
        <is>
          <t>Increased complaint reporting and media attention</t>
        </is>
      </c>
      <c r="J21" s="87" t="inlineStr">
        <is>
          <t>Prepare complaint KPI pack and remediation narrative</t>
        </is>
      </c>
      <c r="K21" s="87" t="inlineStr">
        <is>
          <t>Compliance</t>
        </is>
      </c>
      <c r="L21" s="87" t="n"/>
      <c r="M21" s="87" t="n"/>
      <c r="N21" s="87" t="n"/>
      <c r="O21" s="87" t="n"/>
      <c r="P21" s="87" t="n"/>
      <c r="Q21" s="87" t="n"/>
      <c r="R21" s="87" t="n"/>
      <c r="S21" s="87" t="n"/>
      <c r="T21" s="87" t="n"/>
      <c r="U21" s="87" t="n"/>
      <c r="V21" s="87" t="n"/>
      <c r="W21" s="87" t="n"/>
      <c r="X21" s="87" t="n"/>
      <c r="Y21" s="87" t="n"/>
      <c r="Z21" s="87" t="n"/>
    </row>
    <row r="22">
      <c r="A22" s="87" t="inlineStr">
        <is>
          <t>RR-006</t>
        </is>
      </c>
      <c r="B22" s="87" t="inlineStr">
        <is>
          <t>Mandatory ESG disclosure</t>
        </is>
      </c>
      <c r="C22" s="87" t="inlineStr">
        <is>
          <t>MOF</t>
        </is>
      </c>
      <c r="D22" s="87" t="n">
        <v>3</v>
      </c>
      <c r="E22" s="87" t="n">
        <v>2</v>
      </c>
      <c r="F22" s="87" t="n">
        <v>3</v>
      </c>
      <c r="G22" s="87">
        <f>D9*E9/F9</f>
        <v/>
      </c>
      <c r="H22" s="87" t="inlineStr">
        <is>
          <t>Low</t>
        </is>
      </c>
      <c r="I22" s="87" t="inlineStr">
        <is>
          <t>Green finance roadmap and peer disclosure practices</t>
        </is>
      </c>
      <c r="J22" s="87" t="inlineStr">
        <is>
          <t>Create baseline ESG disclosure template</t>
        </is>
      </c>
      <c r="K22" s="87" t="inlineStr">
        <is>
          <t>Finance + PA</t>
        </is>
      </c>
      <c r="L22" s="87" t="n"/>
      <c r="M22" s="87" t="n"/>
      <c r="N22" s="87" t="n"/>
      <c r="O22" s="87" t="n"/>
      <c r="P22" s="87" t="n"/>
      <c r="Q22" s="87" t="n"/>
      <c r="R22" s="87" t="n"/>
      <c r="S22" s="87" t="n"/>
      <c r="T22" s="87" t="n"/>
      <c r="U22" s="87" t="n"/>
      <c r="V22" s="87" t="n"/>
      <c r="W22" s="87" t="n"/>
      <c r="X22" s="87" t="n"/>
      <c r="Y22" s="87" t="n"/>
      <c r="Z22" s="87" t="n"/>
    </row>
    <row r="23">
      <c r="A23" s="87" t="n"/>
      <c r="B23" s="87" t="n"/>
      <c r="C23" s="87" t="n"/>
      <c r="D23" s="87" t="n"/>
      <c r="E23" s="87" t="n"/>
      <c r="F23" s="87" t="n"/>
      <c r="G23" s="87" t="n"/>
      <c r="H23" s="87" t="n"/>
      <c r="I23" s="87" t="n"/>
      <c r="J23" s="87" t="n"/>
      <c r="K23" s="87" t="n"/>
      <c r="L23" s="87" t="n"/>
      <c r="M23" s="87" t="n"/>
      <c r="N23" s="87" t="n"/>
      <c r="O23" s="87" t="n"/>
      <c r="P23" s="87" t="n"/>
      <c r="Q23" s="87" t="n"/>
      <c r="R23" s="87" t="n"/>
      <c r="S23" s="87" t="n"/>
      <c r="T23" s="87" t="n"/>
      <c r="U23" s="87" t="n"/>
      <c r="V23" s="87" t="n"/>
      <c r="W23" s="87" t="n"/>
      <c r="X23" s="87" t="n"/>
      <c r="Y23" s="87" t="n"/>
      <c r="Z23" s="87" t="n"/>
    </row>
    <row r="24">
      <c r="A24" s="87" t="inlineStr">
        <is>
          <t>Consolidated Regulatory News / Signal Items</t>
        </is>
      </c>
      <c r="B24" s="87" t="n"/>
      <c r="C24" s="87" t="n"/>
      <c r="D24" s="87" t="n"/>
      <c r="E24" s="87" t="n"/>
      <c r="F24" s="87" t="n"/>
      <c r="G24" s="87" t="n"/>
      <c r="H24" s="87" t="n"/>
      <c r="I24" s="87" t="n"/>
      <c r="J24" s="87" t="n"/>
      <c r="K24" s="87" t="n"/>
      <c r="L24" s="87" t="n"/>
      <c r="M24" s="87" t="n"/>
      <c r="N24" s="87" t="n"/>
      <c r="O24" s="87" t="n"/>
      <c r="P24" s="87" t="n"/>
      <c r="Q24" s="87" t="n"/>
      <c r="R24" s="87" t="n"/>
      <c r="S24" s="87" t="n"/>
      <c r="T24" s="87" t="n"/>
      <c r="U24" s="87" t="n"/>
      <c r="V24" s="87" t="n"/>
      <c r="W24" s="87" t="n"/>
      <c r="X24" s="87" t="n"/>
      <c r="Y24" s="87" t="n"/>
      <c r="Z24" s="87" t="n"/>
    </row>
    <row r="25">
      <c r="A25" s="87" t="inlineStr">
        <is>
          <t>Signal ID</t>
        </is>
      </c>
      <c r="B25" s="87" t="inlineStr">
        <is>
          <t>Date</t>
        </is>
      </c>
      <c r="C25" s="87" t="inlineStr">
        <is>
          <t>Source / Agency</t>
        </is>
      </c>
      <c r="D25" s="87" t="inlineStr">
        <is>
          <t>Headline / Signal</t>
        </is>
      </c>
      <c r="E25" s="87" t="inlineStr">
        <is>
          <t>Category</t>
        </is>
      </c>
      <c r="F25" s="87" t="inlineStr">
        <is>
          <t>Auto Tag</t>
        </is>
      </c>
      <c r="G25" s="87" t="inlineStr">
        <is>
          <t>Relevance to Manulife</t>
        </is>
      </c>
      <c r="H25" s="87" t="inlineStr">
        <is>
          <t>Probability (1-5)</t>
        </is>
      </c>
      <c r="I25" s="87" t="inlineStr">
        <is>
          <t>Impact (1-5)</t>
        </is>
      </c>
      <c r="J25" s="87" t="inlineStr">
        <is>
          <t>Signal Score</t>
        </is>
      </c>
      <c r="K25" s="87" t="inlineStr">
        <is>
          <t>Suggested Action</t>
        </is>
      </c>
      <c r="L25" s="87" t="inlineStr">
        <is>
          <t>Owner</t>
        </is>
      </c>
      <c r="M25" s="87" t="inlineStr">
        <is>
          <t>Status</t>
        </is>
      </c>
      <c r="N25" s="87" t="n"/>
      <c r="O25" s="87" t="n"/>
      <c r="P25" s="87" t="n"/>
      <c r="Q25" s="87" t="n"/>
      <c r="R25" s="87" t="n"/>
      <c r="S25" s="87" t="n"/>
      <c r="T25" s="87" t="n"/>
      <c r="U25" s="87" t="n"/>
      <c r="V25" s="87" t="n"/>
      <c r="W25" s="87" t="n"/>
      <c r="X25" s="87" t="n"/>
      <c r="Y25" s="87" t="n"/>
      <c r="Z25" s="87" t="n"/>
    </row>
    <row r="26">
      <c r="A26" s="87" t="inlineStr">
        <is>
          <t>NEWS-001</t>
        </is>
      </c>
      <c r="B26" s="126" t="n">
        <v>46177</v>
      </c>
      <c r="C26" s="87" t="inlineStr">
        <is>
          <t>MOF</t>
        </is>
      </c>
      <c r="D26" s="87" t="inlineStr">
        <is>
          <t>Draft discussion on capital adequacy strengthening</t>
        </is>
      </c>
      <c r="E26" s="87" t="inlineStr">
        <is>
          <t>Capital</t>
        </is>
      </c>
      <c r="F26" s="87" t="inlineStr">
        <is>
          <t>Capital</t>
        </is>
      </c>
      <c r="G26" s="87" t="inlineStr">
        <is>
          <t>Potential increase in capital planning and reporting pressure</t>
        </is>
      </c>
      <c r="H26" s="87" t="n">
        <v>4</v>
      </c>
      <c r="I26" s="87" t="n">
        <v>5</v>
      </c>
      <c r="J26" s="87">
        <f>H5*I5</f>
        <v/>
      </c>
      <c r="K26" s="87" t="inlineStr">
        <is>
          <t>Prepare capital impact note and Finance briefing</t>
        </is>
      </c>
      <c r="L26" s="87" t="inlineStr">
        <is>
          <t>Finance / PA</t>
        </is>
      </c>
      <c r="M26" s="87" t="inlineStr">
        <is>
          <t>Monitoring</t>
        </is>
      </c>
      <c r="N26" s="87" t="n"/>
      <c r="O26" s="87" t="n"/>
      <c r="P26" s="87" t="n"/>
      <c r="Q26" s="87" t="n"/>
      <c r="R26" s="87" t="n"/>
      <c r="S26" s="87" t="n"/>
      <c r="T26" s="87" t="n"/>
      <c r="U26" s="87" t="n"/>
      <c r="V26" s="87" t="n"/>
      <c r="W26" s="87" t="n"/>
      <c r="X26" s="87" t="n"/>
      <c r="Y26" s="87" t="n"/>
      <c r="Z26" s="87" t="n"/>
    </row>
    <row r="27">
      <c r="A27" s="87" t="inlineStr">
        <is>
          <t>NEWS-002</t>
        </is>
      </c>
      <c r="B27" s="126" t="n">
        <v>46178</v>
      </c>
      <c r="C27" s="87" t="inlineStr">
        <is>
          <t>ISA</t>
        </is>
      </c>
      <c r="D27" s="87" t="inlineStr">
        <is>
          <t>Market conduct inspection activity increases across insurers</t>
        </is>
      </c>
      <c r="E27" s="87" t="inlineStr">
        <is>
          <t>Consumer Protection</t>
        </is>
      </c>
      <c r="F27" s="87" t="inlineStr">
        <is>
          <t>Market Conduct</t>
        </is>
      </c>
      <c r="G27" s="87" t="inlineStr">
        <is>
          <t>Higher scrutiny on complaints, sales conduct and product disclosure</t>
        </is>
      </c>
      <c r="H27" s="87" t="n">
        <v>5</v>
      </c>
      <c r="I27" s="87" t="n">
        <v>4</v>
      </c>
      <c r="J27" s="87">
        <f>H6*I6</f>
        <v/>
      </c>
      <c r="K27" s="87" t="inlineStr">
        <is>
          <t>Review complaint report and sales training evidence</t>
        </is>
      </c>
      <c r="L27" s="87" t="inlineStr">
        <is>
          <t>Compliance / PA</t>
        </is>
      </c>
      <c r="M27" s="87" t="inlineStr">
        <is>
          <t>Action Required</t>
        </is>
      </c>
      <c r="N27" s="87" t="n"/>
      <c r="O27" s="87" t="n"/>
      <c r="P27" s="87" t="n"/>
      <c r="Q27" s="87" t="n"/>
      <c r="R27" s="87" t="n"/>
      <c r="S27" s="87" t="n"/>
      <c r="T27" s="87" t="n"/>
      <c r="U27" s="87" t="n"/>
      <c r="V27" s="87" t="n"/>
      <c r="W27" s="87" t="n"/>
      <c r="X27" s="87" t="n"/>
      <c r="Y27" s="87" t="n"/>
      <c r="Z27" s="87" t="n"/>
    </row>
    <row r="28">
      <c r="A28" s="87" t="inlineStr">
        <is>
          <t>NEWS-003</t>
        </is>
      </c>
      <c r="B28" s="126" t="n">
        <v>46179</v>
      </c>
      <c r="C28" s="87" t="inlineStr">
        <is>
          <t>IAV</t>
        </is>
      </c>
      <c r="D28" s="87" t="inlineStr">
        <is>
          <t>Working group formed on standardized product disclosure</t>
        </is>
      </c>
      <c r="E28" s="87" t="inlineStr">
        <is>
          <t>Product Approval</t>
        </is>
      </c>
      <c r="F28" s="87" t="inlineStr">
        <is>
          <t>Product</t>
        </is>
      </c>
      <c r="G28" s="87" t="inlineStr">
        <is>
          <t>Opportunity to shape industry position on disclosure standards</t>
        </is>
      </c>
      <c r="H28" s="87" t="n">
        <v>3</v>
      </c>
      <c r="I28" s="87" t="n">
        <v>4</v>
      </c>
      <c r="J28" s="87">
        <f>H7*I7</f>
        <v/>
      </c>
      <c r="K28" s="87" t="inlineStr">
        <is>
          <t>Join working group and draft Manulife input</t>
        </is>
      </c>
      <c r="L28" s="87" t="inlineStr">
        <is>
          <t>Product / PA</t>
        </is>
      </c>
      <c r="M28" s="87" t="inlineStr">
        <is>
          <t>Open</t>
        </is>
      </c>
      <c r="N28" s="87" t="n"/>
      <c r="O28" s="87" t="n"/>
      <c r="P28" s="87" t="n"/>
      <c r="Q28" s="87" t="n"/>
      <c r="R28" s="87" t="n"/>
      <c r="S28" s="87" t="n"/>
      <c r="T28" s="87" t="n"/>
      <c r="U28" s="87" t="n"/>
      <c r="V28" s="87" t="n"/>
      <c r="W28" s="87" t="n"/>
      <c r="X28" s="87" t="n"/>
      <c r="Y28" s="87" t="n"/>
      <c r="Z28" s="87" t="n"/>
    </row>
    <row r="29">
      <c r="A29" s="87" t="inlineStr">
        <is>
          <t>NEWS-004</t>
        </is>
      </c>
      <c r="B29" s="126" t="n">
        <v>46180</v>
      </c>
      <c r="C29" s="87" t="inlineStr">
        <is>
          <t>MIC</t>
        </is>
      </c>
      <c r="D29" s="87" t="inlineStr">
        <is>
          <t>Consultation on data localization implementation guidance</t>
        </is>
      </c>
      <c r="E29" s="87" t="inlineStr">
        <is>
          <t>Data Privacy</t>
        </is>
      </c>
      <c r="F29" s="87" t="inlineStr">
        <is>
          <t>Data</t>
        </is>
      </c>
      <c r="G29" s="87" t="inlineStr">
        <is>
          <t>Potential impact on digital insurance and regional data processing</t>
        </is>
      </c>
      <c r="H29" s="87" t="n">
        <v>4</v>
      </c>
      <c r="I29" s="87" t="n">
        <v>4</v>
      </c>
      <c r="J29" s="87">
        <f>H8*I8</f>
        <v/>
      </c>
      <c r="K29" s="87" t="inlineStr">
        <is>
          <t>Prepare data-flow map and legal position</t>
        </is>
      </c>
      <c r="L29" s="87" t="inlineStr">
        <is>
          <t>IT / Legal</t>
        </is>
      </c>
      <c r="M29" s="87" t="inlineStr">
        <is>
          <t>Monitoring</t>
        </is>
      </c>
      <c r="N29" s="87" t="n"/>
      <c r="O29" s="87" t="n"/>
      <c r="P29" s="87" t="n"/>
      <c r="Q29" s="87" t="n"/>
      <c r="R29" s="87" t="n"/>
      <c r="S29" s="87" t="n"/>
      <c r="T29" s="87" t="n"/>
      <c r="U29" s="87" t="n"/>
      <c r="V29" s="87" t="n"/>
      <c r="W29" s="87" t="n"/>
      <c r="X29" s="87" t="n"/>
      <c r="Y29" s="87" t="n"/>
      <c r="Z29" s="87" t="n"/>
    </row>
    <row r="30">
      <c r="A30" s="87" t="inlineStr">
        <is>
          <t>NEWS-005</t>
        </is>
      </c>
      <c r="B30" s="126" t="n">
        <v>46181</v>
      </c>
      <c r="C30" s="87" t="inlineStr">
        <is>
          <t>SBV</t>
        </is>
      </c>
      <c r="D30" s="87" t="inlineStr">
        <is>
          <t>Review of bancassurance sales practice risk</t>
        </is>
      </c>
      <c r="E30" s="87" t="inlineStr">
        <is>
          <t>Distribution</t>
        </is>
      </c>
      <c r="F30" s="87" t="inlineStr">
        <is>
          <t>Bancassurance</t>
        </is>
      </c>
      <c r="G30" s="87" t="inlineStr">
        <is>
          <t>Potential change to bank channel monitoring requirements</t>
        </is>
      </c>
      <c r="H30" s="87" t="n">
        <v>4</v>
      </c>
      <c r="I30" s="87" t="n">
        <v>5</v>
      </c>
      <c r="J30" s="87">
        <f>H9*I9</f>
        <v/>
      </c>
      <c r="K30" s="87" t="inlineStr">
        <is>
          <t>Coordinate with bank partners and Compliance</t>
        </is>
      </c>
      <c r="L30" s="87" t="inlineStr">
        <is>
          <t>Distribution</t>
        </is>
      </c>
      <c r="M30" s="87" t="inlineStr">
        <is>
          <t>Action Required</t>
        </is>
      </c>
      <c r="N30" s="87" t="n"/>
      <c r="O30" s="87" t="n"/>
      <c r="P30" s="87" t="n"/>
      <c r="Q30" s="87" t="n"/>
      <c r="R30" s="87" t="n"/>
      <c r="S30" s="87" t="n"/>
      <c r="T30" s="87" t="n"/>
      <c r="U30" s="87" t="n"/>
      <c r="V30" s="87" t="n"/>
      <c r="W30" s="87" t="n"/>
      <c r="X30" s="87" t="n"/>
      <c r="Y30" s="87" t="n"/>
      <c r="Z30" s="87" t="n"/>
    </row>
    <row r="31">
      <c r="A31" s="87" t="inlineStr">
        <is>
          <t>NEWS-006</t>
        </is>
      </c>
      <c r="B31" s="126" t="n">
        <v>46183</v>
      </c>
      <c r="C31" s="87" t="inlineStr">
        <is>
          <t>Regional Office</t>
        </is>
      </c>
      <c r="D31" s="87" t="inlineStr">
        <is>
          <t>APAC request for ESG disclosure readiness update</t>
        </is>
      </c>
      <c r="E31" s="87" t="inlineStr">
        <is>
          <t>ESG</t>
        </is>
      </c>
      <c r="F31" s="87" t="inlineStr">
        <is>
          <t>ESG</t>
        </is>
      </c>
      <c r="G31" s="87" t="inlineStr">
        <is>
          <t>Need consistent local-to-regional ESG reporting pack</t>
        </is>
      </c>
      <c r="H31" s="87" t="n">
        <v>3</v>
      </c>
      <c r="I31" s="87" t="n">
        <v>3</v>
      </c>
      <c r="J31" s="87">
        <f>H10*I10</f>
        <v/>
      </c>
      <c r="K31" s="87" t="inlineStr">
        <is>
          <t>Prepare ESG readiness note</t>
        </is>
      </c>
      <c r="L31" s="87" t="inlineStr">
        <is>
          <t>Strategy / PA</t>
        </is>
      </c>
      <c r="M31" s="87" t="inlineStr">
        <is>
          <t>Open</t>
        </is>
      </c>
      <c r="N31" s="87" t="n"/>
      <c r="O31" s="87" t="n"/>
      <c r="P31" s="87" t="n"/>
      <c r="Q31" s="87" t="n"/>
      <c r="R31" s="87" t="n"/>
      <c r="S31" s="87" t="n"/>
      <c r="T31" s="87" t="n"/>
      <c r="U31" s="87" t="n"/>
      <c r="V31" s="87" t="n"/>
      <c r="W31" s="87" t="n"/>
      <c r="X31" s="87" t="n"/>
      <c r="Y31" s="87" t="n"/>
      <c r="Z31" s="87" t="n"/>
    </row>
  </sheetData>
  <conditionalFormatting sqref="I2:I11">
    <cfRule type="colorScale" priority="1">
      <colorScale>
        <cfvo type="min"/>
        <cfvo type="percentile" val="50"/>
        <cfvo type="max"/>
        <color rgb="00D9EAD3"/>
        <color rgb="00FFF2CC"/>
        <color rgb="00F4CCCC"/>
      </colorScale>
    </cfRule>
  </conditionalFormatting>
  <dataValidations count="1">
    <dataValidation sqref="L2:L11" showDropDown="0" showInputMessage="0" showErrorMessage="0" allowBlank="0" type="list">
      <formula1>"Legal,Compliance,Public Affairs,Risk,Product"</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cols>
    <col width="13.31999969482422" customWidth="1" style="44" min="1" max="1"/>
    <col width="16.42000007629395" customWidth="1" style="44" min="2" max="2"/>
    <col width="10.09000015258789" customWidth="1" style="44" min="3" max="3"/>
    <col width="10.22999954223633" customWidth="1" style="44" min="4" max="4"/>
    <col width="14.27000045776367" customWidth="1" style="44" min="5" max="5"/>
    <col width="10.22999954223633" customWidth="1" style="44" min="6" max="6"/>
    <col width="9.149999618530273" customWidth="1" style="44" min="7" max="7"/>
    <col width="9.960000038146973" customWidth="1" style="44" min="8" max="8"/>
    <col width="7.400000095367432" customWidth="1" style="44" min="9" max="9"/>
  </cols>
  <sheetData>
    <row r="1">
      <c r="A1" s="6" t="inlineStr">
        <is>
          <t>Document ID</t>
        </is>
      </c>
      <c r="B1" s="6" t="inlineStr">
        <is>
          <t>Document Name</t>
        </is>
      </c>
      <c r="C1" s="6" t="inlineStr">
        <is>
          <t>Direction</t>
        </is>
      </c>
      <c r="D1" s="6" t="inlineStr">
        <is>
          <t>Owner</t>
        </is>
      </c>
      <c r="E1" s="6" t="inlineStr">
        <is>
          <t>Received Date</t>
        </is>
      </c>
      <c r="F1" s="6" t="inlineStr">
        <is>
          <t>Due Date</t>
        </is>
      </c>
      <c r="G1" s="6" t="inlineStr">
        <is>
          <t>Status</t>
        </is>
      </c>
      <c r="H1" s="6" t="inlineStr">
        <is>
          <t>SLA Days</t>
        </is>
      </c>
      <c r="I1" s="6" t="inlineStr">
        <is>
          <t>Notes</t>
        </is>
      </c>
      <c r="J1" s="12" t="n"/>
      <c r="K1" s="12" t="n"/>
      <c r="L1" s="12" t="n"/>
      <c r="M1" s="12" t="n"/>
      <c r="N1" s="12" t="n"/>
      <c r="O1" s="12" t="n"/>
      <c r="P1" s="12" t="n"/>
      <c r="Q1" s="12" t="n"/>
      <c r="R1" s="12" t="n"/>
      <c r="S1" s="12" t="n"/>
      <c r="T1" s="12" t="n"/>
      <c r="U1" s="12" t="n"/>
      <c r="V1" s="12" t="n"/>
      <c r="W1" s="12" t="n"/>
      <c r="X1" s="12" t="n"/>
      <c r="Y1" s="12" t="n"/>
      <c r="Z1" s="12" t="n"/>
    </row>
    <row r="2">
      <c r="A2" s="12" t="inlineStr">
        <is>
          <t>TR-001</t>
        </is>
      </c>
      <c r="B2" s="12" t="inlineStr">
        <is>
          <t>Circular summary 1</t>
        </is>
      </c>
      <c r="C2" s="12" t="inlineStr">
        <is>
          <t>VN -&gt; EN</t>
        </is>
      </c>
      <c r="D2" s="12" t="inlineStr">
        <is>
          <t>Legal</t>
        </is>
      </c>
      <c r="E2" s="124" t="n">
        <v>46182</v>
      </c>
      <c r="F2" s="124" t="n">
        <v>46183</v>
      </c>
      <c r="G2" s="12" t="inlineStr">
        <is>
          <t>Not Started</t>
        </is>
      </c>
      <c r="H2" s="12">
        <f>F2-E2</f>
        <v/>
      </c>
      <c r="I2" s="12" t="inlineStr">
        <is>
          <t>Sample</t>
        </is>
      </c>
    </row>
    <row r="3">
      <c r="A3" s="12" t="inlineStr">
        <is>
          <t>TR-002</t>
        </is>
      </c>
      <c r="B3" s="12" t="inlineStr">
        <is>
          <t>Official letter 2</t>
        </is>
      </c>
      <c r="C3" s="12" t="inlineStr">
        <is>
          <t>VN -&gt; EN</t>
        </is>
      </c>
      <c r="D3" s="12" t="inlineStr">
        <is>
          <t>Compliance</t>
        </is>
      </c>
      <c r="E3" s="124" t="n">
        <v>46173</v>
      </c>
      <c r="F3" s="124" t="n">
        <v>46180</v>
      </c>
      <c r="G3" s="12" t="inlineStr">
        <is>
          <t>Done</t>
        </is>
      </c>
      <c r="H3" s="12">
        <f>F3-E3</f>
        <v/>
      </c>
      <c r="I3" s="12" t="inlineStr">
        <is>
          <t>Sample</t>
        </is>
      </c>
    </row>
    <row r="4">
      <c r="A4" s="12" t="inlineStr">
        <is>
          <t>TR-003</t>
        </is>
      </c>
      <c r="B4" s="12" t="inlineStr">
        <is>
          <t>Meeting note 3</t>
        </is>
      </c>
      <c r="C4" s="12" t="inlineStr">
        <is>
          <t>EN -&gt; VN</t>
        </is>
      </c>
      <c r="D4" s="12" t="inlineStr">
        <is>
          <t>Compliance</t>
        </is>
      </c>
      <c r="E4" s="124" t="n">
        <v>46181</v>
      </c>
      <c r="F4" s="124" t="n">
        <v>46185</v>
      </c>
      <c r="G4" s="12" t="inlineStr">
        <is>
          <t>Not Started</t>
        </is>
      </c>
      <c r="H4" s="12">
        <f>F4-E4</f>
        <v/>
      </c>
      <c r="I4" s="12" t="inlineStr">
        <is>
          <t>Sample</t>
        </is>
      </c>
    </row>
    <row r="5">
      <c r="A5" s="12" t="inlineStr">
        <is>
          <t>TR-004</t>
        </is>
      </c>
      <c r="B5" s="12" t="inlineStr">
        <is>
          <t>Meeting note 4</t>
        </is>
      </c>
      <c r="C5" s="12" t="inlineStr">
        <is>
          <t>EN -&gt; VN</t>
        </is>
      </c>
      <c r="D5" s="12" t="inlineStr">
        <is>
          <t>Public Affairs</t>
        </is>
      </c>
      <c r="E5" s="124" t="n">
        <v>46175</v>
      </c>
      <c r="F5" s="124" t="n">
        <v>46180</v>
      </c>
      <c r="G5" s="12" t="inlineStr">
        <is>
          <t>In Progress</t>
        </is>
      </c>
      <c r="H5" s="12">
        <f>F5-E5</f>
        <v/>
      </c>
      <c r="I5" s="12" t="inlineStr">
        <is>
          <t>Sample</t>
        </is>
      </c>
    </row>
    <row r="6">
      <c r="A6" s="12" t="inlineStr">
        <is>
          <t>TR-005</t>
        </is>
      </c>
      <c r="B6" s="12" t="inlineStr">
        <is>
          <t>Regional report 5</t>
        </is>
      </c>
      <c r="C6" s="12" t="inlineStr">
        <is>
          <t>VN -&gt; EN</t>
        </is>
      </c>
      <c r="D6" s="12" t="inlineStr">
        <is>
          <t>Public Affairs</t>
        </is>
      </c>
      <c r="E6" s="124" t="n">
        <v>46180</v>
      </c>
      <c r="F6" s="124" t="n">
        <v>46186</v>
      </c>
      <c r="G6" s="12" t="inlineStr">
        <is>
          <t>Done</t>
        </is>
      </c>
      <c r="H6" s="12">
        <f>F6-E6</f>
        <v/>
      </c>
      <c r="I6" s="12" t="inlineStr">
        <is>
          <t>Sample</t>
        </is>
      </c>
    </row>
    <row r="7">
      <c r="A7" s="12" t="inlineStr">
        <is>
          <t>TR-006</t>
        </is>
      </c>
      <c r="B7" s="12" t="inlineStr">
        <is>
          <t>Circular summary 6</t>
        </is>
      </c>
      <c r="C7" s="12" t="inlineStr">
        <is>
          <t>EN -&gt; VN</t>
        </is>
      </c>
      <c r="D7" s="12" t="inlineStr">
        <is>
          <t>Compliance</t>
        </is>
      </c>
      <c r="E7" s="124" t="n">
        <v>46167</v>
      </c>
      <c r="F7" s="124" t="n">
        <v>46170</v>
      </c>
      <c r="G7" s="12" t="inlineStr">
        <is>
          <t>In Progress</t>
        </is>
      </c>
      <c r="H7" s="12">
        <f>F7-E7</f>
        <v/>
      </c>
      <c r="I7" s="12" t="inlineStr">
        <is>
          <t>Sample</t>
        </is>
      </c>
    </row>
    <row r="8">
      <c r="A8" s="12" t="inlineStr">
        <is>
          <t>TR-007</t>
        </is>
      </c>
      <c r="B8" s="12" t="inlineStr">
        <is>
          <t>Product dossier 7</t>
        </is>
      </c>
      <c r="C8" s="12" t="inlineStr">
        <is>
          <t>VN -&gt; EN</t>
        </is>
      </c>
      <c r="D8" s="12" t="inlineStr">
        <is>
          <t>Compliance</t>
        </is>
      </c>
      <c r="E8" s="124" t="n">
        <v>46171</v>
      </c>
      <c r="F8" s="124" t="n">
        <v>46178</v>
      </c>
      <c r="G8" s="12" t="inlineStr">
        <is>
          <t>Done</t>
        </is>
      </c>
      <c r="H8" s="12">
        <f>F8-E8</f>
        <v/>
      </c>
      <c r="I8" s="12" t="inlineStr">
        <is>
          <t>Sample</t>
        </is>
      </c>
    </row>
    <row r="9">
      <c r="A9" s="12" t="inlineStr">
        <is>
          <t>TR-008</t>
        </is>
      </c>
      <c r="B9" s="12" t="inlineStr">
        <is>
          <t>Meeting note 8</t>
        </is>
      </c>
      <c r="C9" s="12" t="inlineStr">
        <is>
          <t>EN -&gt; VN</t>
        </is>
      </c>
      <c r="D9" s="12" t="inlineStr">
        <is>
          <t>Legal</t>
        </is>
      </c>
      <c r="E9" s="124" t="n">
        <v>46184</v>
      </c>
      <c r="F9" s="124" t="n">
        <v>46186</v>
      </c>
      <c r="G9" s="12" t="inlineStr">
        <is>
          <t>Done</t>
        </is>
      </c>
      <c r="H9" s="12">
        <f>F9-E9</f>
        <v/>
      </c>
      <c r="I9" s="12" t="inlineStr">
        <is>
          <t>Sample</t>
        </is>
      </c>
    </row>
    <row r="10">
      <c r="A10" s="12" t="inlineStr">
        <is>
          <t>TR-009</t>
        </is>
      </c>
      <c r="B10" s="12" t="inlineStr">
        <is>
          <t>Official letter 9</t>
        </is>
      </c>
      <c r="C10" s="12" t="inlineStr">
        <is>
          <t>EN -&gt; VN</t>
        </is>
      </c>
      <c r="D10" s="12" t="inlineStr">
        <is>
          <t>Public Affairs</t>
        </is>
      </c>
      <c r="E10" s="124" t="n">
        <v>46184</v>
      </c>
      <c r="F10" s="124" t="n">
        <v>46186</v>
      </c>
      <c r="G10" s="12" t="inlineStr">
        <is>
          <t>In Progress</t>
        </is>
      </c>
      <c r="H10" s="12">
        <f>F10-E10</f>
        <v/>
      </c>
      <c r="I10" s="12" t="inlineStr">
        <is>
          <t>Sample</t>
        </is>
      </c>
    </row>
    <row r="11">
      <c r="A11" s="12" t="inlineStr">
        <is>
          <t>TR-010</t>
        </is>
      </c>
      <c r="B11" s="12" t="inlineStr">
        <is>
          <t>Circular summary 10</t>
        </is>
      </c>
      <c r="C11" s="12" t="inlineStr">
        <is>
          <t>VN -&gt; EN</t>
        </is>
      </c>
      <c r="D11" s="12" t="inlineStr">
        <is>
          <t>Legal</t>
        </is>
      </c>
      <c r="E11" s="124" t="n">
        <v>46164</v>
      </c>
      <c r="F11" s="124" t="n">
        <v>46165</v>
      </c>
      <c r="G11" s="12" t="inlineStr">
        <is>
          <t>Overdue</t>
        </is>
      </c>
      <c r="H11" s="12">
        <f>F11-E11</f>
        <v/>
      </c>
      <c r="I11" s="12" t="inlineStr">
        <is>
          <t>Sample</t>
        </is>
      </c>
    </row>
    <row r="12">
      <c r="A12" s="12" t="inlineStr">
        <is>
          <t>TR-011</t>
        </is>
      </c>
      <c r="B12" s="12" t="inlineStr">
        <is>
          <t>Official letter 11</t>
        </is>
      </c>
      <c r="C12" s="12" t="inlineStr">
        <is>
          <t>EN -&gt; VN</t>
        </is>
      </c>
      <c r="D12" s="12" t="inlineStr">
        <is>
          <t>Legal</t>
        </is>
      </c>
      <c r="E12" s="124" t="n">
        <v>46170</v>
      </c>
      <c r="F12" s="124" t="n">
        <v>46173</v>
      </c>
      <c r="G12" s="12" t="inlineStr">
        <is>
          <t>Done</t>
        </is>
      </c>
      <c r="H12" s="12">
        <f>F12-E12</f>
        <v/>
      </c>
      <c r="I12" s="12" t="inlineStr">
        <is>
          <t>Sample</t>
        </is>
      </c>
    </row>
    <row r="13">
      <c r="A13" s="12" t="inlineStr">
        <is>
          <t>TR-012</t>
        </is>
      </c>
      <c r="B13" s="12" t="inlineStr">
        <is>
          <t>Circular summary 12</t>
        </is>
      </c>
      <c r="C13" s="12" t="inlineStr">
        <is>
          <t>VN -&gt; EN</t>
        </is>
      </c>
      <c r="D13" s="12" t="inlineStr">
        <is>
          <t>Public Affairs</t>
        </is>
      </c>
      <c r="E13" s="124" t="n">
        <v>46166</v>
      </c>
      <c r="F13" s="124" t="n">
        <v>46171</v>
      </c>
      <c r="G13" s="12" t="inlineStr">
        <is>
          <t>In Progress</t>
        </is>
      </c>
      <c r="H13" s="12">
        <f>F13-E13</f>
        <v/>
      </c>
      <c r="I13" s="12" t="inlineStr">
        <is>
          <t>Sample</t>
        </is>
      </c>
    </row>
    <row r="14">
      <c r="A14" s="12" t="inlineStr">
        <is>
          <t>TR-013</t>
        </is>
      </c>
      <c r="B14" s="12" t="inlineStr">
        <is>
          <t>Circular summary 13</t>
        </is>
      </c>
      <c r="C14" s="12" t="inlineStr">
        <is>
          <t>EN -&gt; VN</t>
        </is>
      </c>
      <c r="D14" s="12" t="inlineStr">
        <is>
          <t>Legal</t>
        </is>
      </c>
      <c r="E14" s="124" t="n">
        <v>46165</v>
      </c>
      <c r="F14" s="124" t="n">
        <v>46166</v>
      </c>
      <c r="G14" s="12" t="inlineStr">
        <is>
          <t>Overdue</t>
        </is>
      </c>
      <c r="H14" s="12">
        <f>F14-E14</f>
        <v/>
      </c>
      <c r="I14" s="12" t="inlineStr">
        <is>
          <t>Sample</t>
        </is>
      </c>
    </row>
    <row r="15">
      <c r="A15" s="12" t="inlineStr">
        <is>
          <t>TR-014</t>
        </is>
      </c>
      <c r="B15" s="12" t="inlineStr">
        <is>
          <t>Regional report 14</t>
        </is>
      </c>
      <c r="C15" s="12" t="inlineStr">
        <is>
          <t>EN -&gt; VN</t>
        </is>
      </c>
      <c r="D15" s="12" t="inlineStr">
        <is>
          <t>Legal</t>
        </is>
      </c>
      <c r="E15" s="124" t="n">
        <v>46169</v>
      </c>
      <c r="F15" s="124" t="n">
        <v>46174</v>
      </c>
      <c r="G15" s="12" t="inlineStr">
        <is>
          <t>In Progress</t>
        </is>
      </c>
      <c r="H15" s="12">
        <f>F15-E15</f>
        <v/>
      </c>
      <c r="I15" s="12" t="inlineStr">
        <is>
          <t>Sample</t>
        </is>
      </c>
    </row>
    <row r="16">
      <c r="A16" s="12" t="inlineStr">
        <is>
          <t>TR-015</t>
        </is>
      </c>
      <c r="B16" s="12" t="inlineStr">
        <is>
          <t>Meeting note 15</t>
        </is>
      </c>
      <c r="C16" s="12" t="inlineStr">
        <is>
          <t>EN -&gt; VN</t>
        </is>
      </c>
      <c r="D16" s="12" t="inlineStr">
        <is>
          <t>Public Affairs</t>
        </is>
      </c>
      <c r="E16" s="124" t="n">
        <v>46168</v>
      </c>
      <c r="F16" s="124" t="n">
        <v>46169</v>
      </c>
      <c r="G16" s="12" t="inlineStr">
        <is>
          <t>Done</t>
        </is>
      </c>
      <c r="H16" s="12">
        <f>F16-E16</f>
        <v/>
      </c>
      <c r="I16" s="12" t="inlineStr">
        <is>
          <t>Sample</t>
        </is>
      </c>
    </row>
    <row r="17">
      <c r="A17" s="12" t="inlineStr">
        <is>
          <t>TR-016</t>
        </is>
      </c>
      <c r="B17" s="12" t="inlineStr">
        <is>
          <t>Product dossier 16</t>
        </is>
      </c>
      <c r="C17" s="12" t="inlineStr">
        <is>
          <t>EN -&gt; VN</t>
        </is>
      </c>
      <c r="D17" s="12" t="inlineStr">
        <is>
          <t>Public Affairs</t>
        </is>
      </c>
      <c r="E17" s="124" t="n">
        <v>46166</v>
      </c>
      <c r="F17" s="124" t="n">
        <v>46170</v>
      </c>
      <c r="G17" s="12" t="inlineStr">
        <is>
          <t>In Progress</t>
        </is>
      </c>
      <c r="H17" s="12">
        <f>F17-E17</f>
        <v/>
      </c>
      <c r="I17" s="12" t="inlineStr">
        <is>
          <t>Sample</t>
        </is>
      </c>
    </row>
    <row r="18">
      <c r="A18" s="12" t="inlineStr">
        <is>
          <t>TR-017</t>
        </is>
      </c>
      <c r="B18" s="12" t="inlineStr">
        <is>
          <t>Circular summary 17</t>
        </is>
      </c>
      <c r="C18" s="12" t="inlineStr">
        <is>
          <t>VN -&gt; EN</t>
        </is>
      </c>
      <c r="D18" s="12" t="inlineStr">
        <is>
          <t>Public Affairs</t>
        </is>
      </c>
      <c r="E18" s="124" t="n">
        <v>46172</v>
      </c>
      <c r="F18" s="124" t="n">
        <v>46177</v>
      </c>
      <c r="G18" s="12" t="inlineStr">
        <is>
          <t>Done</t>
        </is>
      </c>
      <c r="H18" s="12">
        <f>F18-E18</f>
        <v/>
      </c>
      <c r="I18" s="12" t="inlineStr">
        <is>
          <t>Sample</t>
        </is>
      </c>
    </row>
    <row r="19">
      <c r="A19" s="12" t="inlineStr">
        <is>
          <t>TR-018</t>
        </is>
      </c>
      <c r="B19" s="12" t="inlineStr">
        <is>
          <t>Official letter 18</t>
        </is>
      </c>
      <c r="C19" s="12" t="inlineStr">
        <is>
          <t>EN -&gt; VN</t>
        </is>
      </c>
      <c r="D19" s="12" t="inlineStr">
        <is>
          <t>Legal</t>
        </is>
      </c>
      <c r="E19" s="124" t="n">
        <v>46178</v>
      </c>
      <c r="F19" s="124" t="n">
        <v>46185</v>
      </c>
      <c r="G19" s="12" t="inlineStr">
        <is>
          <t>Done</t>
        </is>
      </c>
      <c r="H19" s="12">
        <f>F19-E19</f>
        <v/>
      </c>
      <c r="I19" s="12" t="inlineStr">
        <is>
          <t>Sample</t>
        </is>
      </c>
    </row>
    <row r="20">
      <c r="A20" s="12" t="inlineStr">
        <is>
          <t>TR-019</t>
        </is>
      </c>
      <c r="B20" s="12" t="inlineStr">
        <is>
          <t>Regional report 19</t>
        </is>
      </c>
      <c r="C20" s="12" t="inlineStr">
        <is>
          <t>EN -&gt; VN</t>
        </is>
      </c>
      <c r="D20" s="12" t="inlineStr">
        <is>
          <t>Public Affairs</t>
        </is>
      </c>
      <c r="E20" s="124" t="n">
        <v>46181</v>
      </c>
      <c r="F20" s="124" t="n">
        <v>46182</v>
      </c>
      <c r="G20" s="12" t="inlineStr">
        <is>
          <t>In Progress</t>
        </is>
      </c>
      <c r="H20" s="12">
        <f>F20-E20</f>
        <v/>
      </c>
      <c r="I20" s="12" t="inlineStr">
        <is>
          <t>Sample</t>
        </is>
      </c>
    </row>
    <row r="21">
      <c r="A21" s="12" t="inlineStr">
        <is>
          <t>TR-020</t>
        </is>
      </c>
      <c r="B21" s="12" t="inlineStr">
        <is>
          <t>Official letter 20</t>
        </is>
      </c>
      <c r="C21" s="12" t="inlineStr">
        <is>
          <t>EN -&gt; VN</t>
        </is>
      </c>
      <c r="D21" s="12" t="inlineStr">
        <is>
          <t>Public Affairs</t>
        </is>
      </c>
      <c r="E21" s="124" t="n">
        <v>46172</v>
      </c>
      <c r="F21" s="124" t="n">
        <v>46177</v>
      </c>
      <c r="G21" s="12" t="inlineStr">
        <is>
          <t>Overdue</t>
        </is>
      </c>
      <c r="H21" s="12">
        <f>F21-E21</f>
        <v/>
      </c>
      <c r="I21" s="12" t="inlineStr">
        <is>
          <t>Sample</t>
        </is>
      </c>
    </row>
  </sheetData>
  <dataValidations count="2">
    <dataValidation sqref="G2:G21" showDropDown="0" showInputMessage="0" showErrorMessage="0" allowBlank="0" type="list">
      <formula1>"On Track,Due Soon,Overdue,Submitted,Approved,In Review,Drafting,Waiting Internal Input"</formula1>
    </dataValidation>
    <dataValidation sqref="G2:G200" showDropDown="0" showInputMessage="0" showErrorMessage="0" allowBlank="0" type="list">
      <formula1>"On Track,Due Soon,Overdue,Submitted,Approved,In Review,Drafting,Waiting Internal Input,Open,Closed,In Progress,Blocked,Pending,Done,Not Started"</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Z45"/>
  <sheetViews>
    <sheetView workbookViewId="0">
      <selection activeCell="A1" sqref="A1"/>
    </sheetView>
  </sheetViews>
  <sheetFormatPr baseColWidth="8" defaultRowHeight="15"/>
  <sheetData>
    <row r="1">
      <c r="A1" s="4" t="inlineStr">
        <is>
          <t>Status</t>
        </is>
      </c>
      <c r="B1" s="120" t="inlineStr">
        <is>
          <t>Priority</t>
        </is>
      </c>
      <c r="C1" s="120" t="inlineStr">
        <is>
          <t>Risk Level</t>
        </is>
      </c>
      <c r="D1" s="120" t="inlineStr">
        <is>
          <t>Document Type</t>
        </is>
      </c>
      <c r="E1" s="120" t="inlineStr">
        <is>
          <t>Direction</t>
        </is>
      </c>
      <c r="F1" s="120" t="inlineStr">
        <is>
          <t>Escalation Level</t>
        </is>
      </c>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inlineStr">
        <is>
          <t>On Track</t>
        </is>
      </c>
      <c r="B2" s="12" t="inlineStr">
        <is>
          <t>Critical</t>
        </is>
      </c>
      <c r="C2" s="12" t="inlineStr">
        <is>
          <t>Critical</t>
        </is>
      </c>
      <c r="D2" s="12" t="inlineStr">
        <is>
          <t>Report</t>
        </is>
      </c>
      <c r="E2" s="12" t="inlineStr">
        <is>
          <t>Incoming</t>
        </is>
      </c>
      <c r="F2" s="12" t="inlineStr">
        <is>
          <t>Level 0</t>
        </is>
      </c>
    </row>
    <row r="3">
      <c r="A3" s="12" t="inlineStr">
        <is>
          <t>Due Soon</t>
        </is>
      </c>
      <c r="B3" s="12" t="inlineStr">
        <is>
          <t>High</t>
        </is>
      </c>
      <c r="C3" s="12" t="inlineStr">
        <is>
          <t>High</t>
        </is>
      </c>
      <c r="D3" s="12" t="inlineStr">
        <is>
          <t>Official Letter</t>
        </is>
      </c>
      <c r="E3" s="12" t="inlineStr">
        <is>
          <t>Outgoing</t>
        </is>
      </c>
      <c r="F3" s="12" t="inlineStr">
        <is>
          <t>Level 1</t>
        </is>
      </c>
    </row>
    <row r="4">
      <c r="A4" s="12" t="inlineStr">
        <is>
          <t>Overdue</t>
        </is>
      </c>
      <c r="B4" s="12" t="inlineStr">
        <is>
          <t>Medium</t>
        </is>
      </c>
      <c r="C4" s="12" t="inlineStr">
        <is>
          <t>Medium</t>
        </is>
      </c>
      <c r="D4" s="12" t="inlineStr">
        <is>
          <t>Product Dossier</t>
        </is>
      </c>
      <c r="E4" s="12" t="inlineStr">
        <is>
          <t>Internal</t>
        </is>
      </c>
      <c r="F4" s="12" t="inlineStr">
        <is>
          <t>Level 2</t>
        </is>
      </c>
    </row>
    <row r="5">
      <c r="A5" s="12" t="inlineStr">
        <is>
          <t>Submitted</t>
        </is>
      </c>
      <c r="B5" s="12" t="inlineStr">
        <is>
          <t>Low</t>
        </is>
      </c>
      <c r="C5" s="12" t="inlineStr">
        <is>
          <t>Low</t>
        </is>
      </c>
      <c r="D5" s="12" t="inlineStr">
        <is>
          <t>Approval Request</t>
        </is>
      </c>
      <c r="E5" s="12" t="inlineStr">
        <is>
          <t>RO Reporting</t>
        </is>
      </c>
      <c r="F5" s="12" t="inlineStr">
        <is>
          <t>Level 3</t>
        </is>
      </c>
    </row>
    <row r="6">
      <c r="A6" s="12" t="inlineStr">
        <is>
          <t>Approved</t>
        </is>
      </c>
      <c r="B6" s="12" t="n"/>
      <c r="C6" s="12" t="n"/>
      <c r="D6" s="12" t="inlineStr">
        <is>
          <t>Meeting Brief</t>
        </is>
      </c>
      <c r="E6" s="12" t="n"/>
      <c r="F6" s="12" t="n"/>
    </row>
    <row r="7">
      <c r="A7" s="12" t="inlineStr">
        <is>
          <t>In Review</t>
        </is>
      </c>
      <c r="B7" s="12" t="n"/>
      <c r="C7" s="12" t="n"/>
      <c r="D7" s="12" t="inlineStr">
        <is>
          <t>Translation</t>
        </is>
      </c>
      <c r="E7" s="12" t="n"/>
      <c r="F7" s="12" t="n"/>
    </row>
    <row r="8">
      <c r="A8" s="12" t="inlineStr">
        <is>
          <t>Drafting</t>
        </is>
      </c>
      <c r="B8" s="12" t="n"/>
      <c r="C8" s="12" t="n"/>
      <c r="D8" s="12" t="inlineStr">
        <is>
          <t>Regulator Response</t>
        </is>
      </c>
      <c r="E8" s="12" t="n"/>
      <c r="F8" s="12" t="n"/>
    </row>
    <row r="9">
      <c r="A9" s="12" t="inlineStr">
        <is>
          <t>Waiting Internal Input</t>
        </is>
      </c>
      <c r="B9" s="12" t="n"/>
      <c r="C9" s="12" t="n"/>
      <c r="D9" s="12" t="inlineStr">
        <is>
          <t>Regional Office Report</t>
        </is>
      </c>
      <c r="E9" s="12" t="n"/>
      <c r="F9" s="12" t="n"/>
    </row>
    <row r="10">
      <c r="A10" s="12" t="inlineStr">
        <is>
          <t>Open</t>
        </is>
      </c>
      <c r="B10" s="12" t="n"/>
      <c r="C10" s="12" t="n"/>
      <c r="D10" s="12" t="inlineStr">
        <is>
          <t>Other</t>
        </is>
      </c>
      <c r="E10" s="12" t="n"/>
      <c r="F10" s="12" t="n"/>
    </row>
    <row r="11">
      <c r="A11" s="12" t="inlineStr">
        <is>
          <t>Closed</t>
        </is>
      </c>
      <c r="B11" s="12" t="n"/>
      <c r="C11" s="12" t="n"/>
      <c r="D11" s="12" t="n"/>
      <c r="E11" s="12" t="n"/>
      <c r="F11" s="12" t="n"/>
    </row>
    <row r="12">
      <c r="A12" s="12" t="inlineStr">
        <is>
          <t>In Progress</t>
        </is>
      </c>
      <c r="B12" s="12" t="n"/>
      <c r="C12" s="12" t="n"/>
      <c r="D12" s="12" t="n"/>
      <c r="E12" s="12" t="n"/>
      <c r="F12" s="12" t="n"/>
    </row>
    <row r="13">
      <c r="A13" s="12" t="n"/>
      <c r="B13" s="12" t="n"/>
      <c r="C13" s="12" t="n"/>
      <c r="D13" s="12" t="n"/>
      <c r="E13" s="12" t="n"/>
      <c r="F13" s="12" t="n"/>
    </row>
    <row r="14">
      <c r="A14" s="4" t="inlineStr">
        <is>
          <t>Priority</t>
        </is>
      </c>
      <c r="B14" s="12" t="n"/>
      <c r="C14" s="12" t="n"/>
      <c r="D14" s="12" t="n"/>
      <c r="E14" s="12" t="n"/>
      <c r="F14" s="12" t="n"/>
    </row>
    <row r="15">
      <c r="A15" s="12" t="inlineStr">
        <is>
          <t>Critical</t>
        </is>
      </c>
      <c r="B15" s="12" t="n"/>
      <c r="C15" s="12" t="n"/>
      <c r="D15" s="12" t="n"/>
      <c r="E15" s="12" t="n"/>
      <c r="F15" s="12" t="n"/>
    </row>
    <row r="16">
      <c r="A16" s="12" t="inlineStr">
        <is>
          <t>High</t>
        </is>
      </c>
      <c r="B16" s="12" t="n"/>
      <c r="C16" s="12" t="n"/>
      <c r="D16" s="12" t="n"/>
      <c r="E16" s="12" t="n"/>
      <c r="F16" s="12" t="n"/>
    </row>
    <row r="17">
      <c r="A17" s="12" t="inlineStr">
        <is>
          <t>Medium</t>
        </is>
      </c>
      <c r="B17" s="12" t="n"/>
      <c r="C17" s="12" t="n"/>
      <c r="D17" s="12" t="n"/>
      <c r="E17" s="12" t="n"/>
      <c r="F17" s="12" t="n"/>
    </row>
    <row r="18">
      <c r="A18" s="12" t="inlineStr">
        <is>
          <t>Low</t>
        </is>
      </c>
      <c r="B18" s="12" t="n"/>
      <c r="C18" s="12" t="n"/>
      <c r="D18" s="12" t="n"/>
      <c r="E18" s="12" t="n"/>
      <c r="F18" s="12" t="n"/>
    </row>
    <row r="19">
      <c r="A19" s="12" t="n"/>
      <c r="B19" s="12" t="n"/>
      <c r="C19" s="12" t="n"/>
      <c r="D19" s="12" t="n"/>
      <c r="E19" s="12" t="n"/>
      <c r="F19" s="12" t="n"/>
    </row>
    <row r="20">
      <c r="A20" s="4" t="inlineStr">
        <is>
          <t>Regulators</t>
        </is>
      </c>
      <c r="B20" s="12" t="n"/>
      <c r="C20" s="12" t="n"/>
      <c r="D20" s="12" t="n"/>
      <c r="E20" s="12" t="n"/>
      <c r="F20" s="12" t="n"/>
    </row>
    <row r="21">
      <c r="A21" s="12" t="inlineStr">
        <is>
          <t>MOF</t>
        </is>
      </c>
      <c r="B21" s="12" t="n"/>
      <c r="C21" s="12" t="n"/>
      <c r="D21" s="12" t="n"/>
      <c r="E21" s="12" t="n"/>
      <c r="F21" s="12" t="n"/>
    </row>
    <row r="22">
      <c r="A22" s="12" t="inlineStr">
        <is>
          <t>ISA</t>
        </is>
      </c>
      <c r="B22" s="12" t="n"/>
      <c r="C22" s="12" t="n"/>
      <c r="D22" s="12" t="n"/>
      <c r="E22" s="12" t="n"/>
      <c r="F22" s="12" t="n"/>
    </row>
    <row r="23">
      <c r="A23" s="12" t="inlineStr">
        <is>
          <t>IAV</t>
        </is>
      </c>
      <c r="B23" s="12" t="n"/>
      <c r="C23" s="12" t="n"/>
      <c r="D23" s="12" t="n"/>
      <c r="E23" s="12" t="n"/>
      <c r="F23" s="12" t="n"/>
    </row>
    <row r="24">
      <c r="A24" s="12" t="inlineStr">
        <is>
          <t>SBV</t>
        </is>
      </c>
      <c r="B24" s="12" t="n"/>
      <c r="C24" s="12" t="n"/>
      <c r="D24" s="12" t="n"/>
      <c r="E24" s="12" t="n"/>
      <c r="F24" s="12" t="n"/>
    </row>
    <row r="25">
      <c r="A25" s="12" t="inlineStr">
        <is>
          <t>MIC</t>
        </is>
      </c>
      <c r="B25" s="12" t="n"/>
      <c r="C25" s="12" t="n"/>
      <c r="D25" s="12" t="n"/>
      <c r="E25" s="12" t="n"/>
      <c r="F25" s="12" t="n"/>
    </row>
    <row r="26">
      <c r="A26" s="12" t="inlineStr">
        <is>
          <t>VCA</t>
        </is>
      </c>
      <c r="B26" s="12" t="n"/>
      <c r="C26" s="12" t="n"/>
      <c r="D26" s="12" t="n"/>
      <c r="E26" s="12" t="n"/>
      <c r="F26" s="12" t="n"/>
    </row>
    <row r="27">
      <c r="A27" s="12" t="inlineStr">
        <is>
          <t>Regional Office</t>
        </is>
      </c>
      <c r="B27" s="12" t="n"/>
      <c r="C27" s="12" t="n"/>
      <c r="D27" s="12" t="n"/>
      <c r="E27" s="12" t="n"/>
      <c r="F27" s="12" t="n"/>
    </row>
    <row r="28">
      <c r="A28" s="12" t="n"/>
      <c r="B28" s="12" t="n"/>
      <c r="C28" s="12" t="n"/>
      <c r="D28" s="12" t="n"/>
      <c r="E28" s="12" t="n"/>
      <c r="F28" s="12" t="n"/>
    </row>
    <row r="29">
      <c r="A29" s="4" t="inlineStr">
        <is>
          <t>Departments</t>
        </is>
      </c>
      <c r="B29" s="12" t="n"/>
      <c r="C29" s="12" t="n"/>
      <c r="D29" s="12" t="n"/>
      <c r="E29" s="12" t="n"/>
      <c r="F29" s="12" t="n"/>
    </row>
    <row r="30">
      <c r="A30" s="12" t="inlineStr">
        <is>
          <t>Legal</t>
        </is>
      </c>
      <c r="B30" s="12" t="n"/>
      <c r="C30" s="12" t="n"/>
      <c r="D30" s="12" t="n"/>
      <c r="E30" s="12" t="n"/>
      <c r="F30" s="12" t="n"/>
    </row>
    <row r="31">
      <c r="A31" s="12" t="inlineStr">
        <is>
          <t>Compliance</t>
        </is>
      </c>
      <c r="B31" s="12" t="n"/>
      <c r="C31" s="12" t="n"/>
      <c r="D31" s="12" t="n"/>
      <c r="E31" s="12" t="n"/>
      <c r="F31" s="12" t="n"/>
    </row>
    <row r="32">
      <c r="A32" s="12" t="inlineStr">
        <is>
          <t>Finance</t>
        </is>
      </c>
      <c r="B32" s="12" t="n"/>
      <c r="C32" s="12" t="n"/>
      <c r="D32" s="12" t="n"/>
      <c r="E32" s="12" t="n"/>
      <c r="F32" s="12" t="n"/>
    </row>
    <row r="33">
      <c r="A33" s="12" t="inlineStr">
        <is>
          <t>Product</t>
        </is>
      </c>
      <c r="B33" s="12" t="n"/>
      <c r="C33" s="12" t="n"/>
      <c r="D33" s="12" t="n"/>
      <c r="E33" s="12" t="n"/>
      <c r="F33" s="12" t="n"/>
    </row>
    <row r="34">
      <c r="A34" s="12" t="inlineStr">
        <is>
          <t>Agency</t>
        </is>
      </c>
      <c r="B34" s="12" t="n"/>
      <c r="C34" s="12" t="n"/>
      <c r="D34" s="12" t="n"/>
      <c r="E34" s="12" t="n"/>
      <c r="F34" s="12" t="n"/>
    </row>
    <row r="35">
      <c r="A35" s="12" t="inlineStr">
        <is>
          <t>Bancassurance</t>
        </is>
      </c>
      <c r="B35" s="12" t="n"/>
      <c r="C35" s="12" t="n"/>
      <c r="D35" s="12" t="n"/>
      <c r="E35" s="12" t="n"/>
      <c r="F35" s="12" t="n"/>
    </row>
    <row r="36">
      <c r="A36" s="12" t="inlineStr">
        <is>
          <t>Operations</t>
        </is>
      </c>
      <c r="B36" s="12" t="n"/>
      <c r="C36" s="12" t="n"/>
      <c r="D36" s="12" t="n"/>
      <c r="E36" s="12" t="n"/>
      <c r="F36" s="12" t="n"/>
    </row>
    <row r="37">
      <c r="A37" s="12" t="inlineStr">
        <is>
          <t>CEO Office</t>
        </is>
      </c>
      <c r="B37" s="12" t="n"/>
      <c r="C37" s="12" t="n"/>
      <c r="D37" s="12" t="n"/>
      <c r="E37" s="12" t="n"/>
      <c r="F37" s="12" t="n"/>
    </row>
    <row r="38">
      <c r="A38" s="12" t="inlineStr">
        <is>
          <t>Public Affairs</t>
        </is>
      </c>
      <c r="B38" s="12" t="n"/>
      <c r="C38" s="12" t="n"/>
      <c r="D38" s="12" t="n"/>
      <c r="E38" s="12" t="n"/>
      <c r="F38" s="12" t="n"/>
    </row>
    <row r="39">
      <c r="A39" s="12" t="inlineStr">
        <is>
          <t>Risk</t>
        </is>
      </c>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20" customWidth="1" style="44" min="1" max="1"/>
    <col width="24" customWidth="1" style="44" min="2" max="2"/>
    <col width="32" customWidth="1" style="44" min="3" max="3"/>
    <col width="20.86000061035156" customWidth="1" style="44" min="4" max="4"/>
    <col width="14.13000011444092" customWidth="1" style="44" min="5" max="5"/>
    <col width="9.149999618530273" customWidth="1" style="44" min="6" max="6"/>
    <col width="7.269999980926514" customWidth="1" style="44" min="7" max="7"/>
    <col width="11.17000007629395" customWidth="1" style="44" min="8" max="8"/>
    <col width="6.730000019073486" customWidth="1" style="44" min="9" max="9"/>
    <col width="34" customWidth="1" style="44" min="10" max="10"/>
    <col width="8.210000038146973" customWidth="1" style="44" min="11" max="11"/>
    <col width="36" customWidth="1" style="44" min="12" max="12"/>
  </cols>
  <sheetData>
    <row r="1">
      <c r="A1" s="127" t="inlineStr">
        <is>
          <t>Daily Work Control Tower - Manulife VN Regulatory &amp; Public Affairs</t>
        </is>
      </c>
      <c r="B1" s="1" t="n"/>
      <c r="C1" s="1" t="n"/>
      <c r="D1" s="1" t="n"/>
      <c r="E1" s="1" t="n"/>
      <c r="F1" s="1" t="n"/>
      <c r="G1" s="1" t="n"/>
      <c r="H1" s="1" t="n"/>
      <c r="I1" s="1" t="n"/>
      <c r="J1" s="1" t="n"/>
      <c r="K1" s="1" t="n"/>
      <c r="L1" s="1" t="n"/>
    </row>
    <row r="3">
      <c r="A3" s="53" t="inlineStr">
        <is>
          <t>KPI</t>
        </is>
      </c>
      <c r="B3" s="53" t="inlineStr">
        <is>
          <t>Formula / Source</t>
        </is>
      </c>
      <c r="C3" s="53" t="inlineStr">
        <is>
          <t>Value</t>
        </is>
      </c>
      <c r="D3" s="53" t="inlineStr">
        <is>
          <t>Interpretation</t>
        </is>
      </c>
    </row>
    <row r="4">
      <c r="A4" t="inlineStr">
        <is>
          <t>Reports due this week</t>
        </is>
      </c>
      <c r="B4" t="inlineStr">
        <is>
          <t>Regulatory calendar due within 7 days</t>
        </is>
      </c>
      <c r="C4" s="128">
        <f>COUNTIFS(Regulatory_Calendar!F:F,"&gt;="&amp;TODAY(),Regulatory_Calendar!F:F,"&lt;="&amp;TODAY()+7)</f>
        <v/>
      </c>
      <c r="D4" t="inlineStr">
        <is>
          <t>Short-term workload</t>
        </is>
      </c>
    </row>
    <row r="5">
      <c r="A5" t="inlineStr">
        <is>
          <t>Overdue regulatory items</t>
        </is>
      </c>
      <c r="B5" t="inlineStr">
        <is>
          <t>Calendar + submissions overdue</t>
        </is>
      </c>
      <c r="C5" s="128">
        <f>COUNTIF(Regulatory_Calendar!H:H,"Overdue")+COUNTIF(Submission_Tracker!I:I,"Overdue")</f>
        <v/>
      </c>
      <c r="D5" t="inlineStr">
        <is>
          <t>Immediate escalation</t>
        </is>
      </c>
    </row>
    <row r="6">
      <c r="A6" t="inlineStr">
        <is>
          <t>Pending MOF / ISA submissions</t>
        </is>
      </c>
      <c r="B6" t="inlineStr">
        <is>
          <t>Not yet submitted to MOF or ISA</t>
        </is>
      </c>
      <c r="C6" s="128">
        <f>COUNTIFS(Submission_Tracker!C:C,"MOF",Submission_Tracker!I:I,"&lt;&gt;Submitted")+COUNTIFS(Submission_Tracker!C:C,"ISA",Submission_Tracker!I:I,"&lt;&gt;Submitted")</f>
        <v/>
      </c>
      <c r="D6" t="inlineStr">
        <is>
          <t>Key regulator workload</t>
        </is>
      </c>
    </row>
    <row r="7">
      <c r="A7" t="inlineStr">
        <is>
          <t>Open regulator follow-ups</t>
        </is>
      </c>
      <c r="B7" t="inlineStr">
        <is>
          <t>Regulator interaction status open</t>
        </is>
      </c>
      <c r="C7" s="128">
        <f>COUNTIF(Regulator_Interactions!K:K,"Open")+COUNTIF(Regulator_Interactions!K:K,"In Progress")</f>
        <v/>
      </c>
      <c r="D7" t="inlineStr">
        <is>
          <t>Relationship management</t>
        </is>
      </c>
    </row>
    <row r="8">
      <c r="A8" t="inlineStr">
        <is>
          <t>Upcoming regulator meetings</t>
        </is>
      </c>
      <c r="B8" t="inlineStr">
        <is>
          <t>Interactions / follow-ups in next 14 days</t>
        </is>
      </c>
      <c r="C8" s="128">
        <f>COUNTIFS(Regulator_Interactions!J:J,"&gt;="&amp;TODAY(),Regulator_Interactions!J:J,"&lt;="&amp;TODAY()+14)</f>
        <v/>
      </c>
      <c r="D8" t="inlineStr">
        <is>
          <t>Preparation needs</t>
        </is>
      </c>
    </row>
    <row r="9">
      <c r="A9" t="inlineStr">
        <is>
          <t>Documents pending QC</t>
        </is>
      </c>
      <c r="B9" t="inlineStr">
        <is>
          <t>Document checklist not approved</t>
        </is>
      </c>
      <c r="C9" s="128">
        <f>COUNTIF(Document_QC_Checklist!L:L,"Not Ready")+COUNTIF(Document_QC_Checklist!L:L,"Needs Review")</f>
        <v/>
      </c>
      <c r="D9" t="inlineStr">
        <is>
          <t>Pre-submission control</t>
        </is>
      </c>
    </row>
    <row r="11">
      <c r="A11" s="53" t="inlineStr">
        <is>
          <t>Priority Action List</t>
        </is>
      </c>
      <c r="B11" s="53" t="inlineStr">
        <is>
          <t>Source</t>
        </is>
      </c>
      <c r="C11" s="53" t="inlineStr">
        <is>
          <t>Item</t>
        </is>
      </c>
      <c r="D11" s="53" t="inlineStr">
        <is>
          <t>Regulator</t>
        </is>
      </c>
      <c r="E11" s="53" t="inlineStr">
        <is>
          <t>Owner</t>
        </is>
      </c>
      <c r="F11" s="53" t="inlineStr">
        <is>
          <t>Due Date</t>
        </is>
      </c>
      <c r="G11" s="53" t="inlineStr">
        <is>
          <t>Days Left</t>
        </is>
      </c>
      <c r="H11" s="53" t="inlineStr">
        <is>
          <t>Status</t>
        </is>
      </c>
      <c r="I11" s="53" t="inlineStr">
        <is>
          <t>Risk</t>
        </is>
      </c>
      <c r="J11" s="53" t="inlineStr">
        <is>
          <t>Required Action</t>
        </is>
      </c>
      <c r="K11" s="53" t="inlineStr">
        <is>
          <t>Escalation</t>
        </is>
      </c>
      <c r="L11" s="53" t="inlineStr">
        <is>
          <t>Notes</t>
        </is>
      </c>
    </row>
    <row r="12">
      <c r="A12" t="inlineStr">
        <is>
          <t>Calendar</t>
        </is>
      </c>
      <c r="B12" t="inlineStr">
        <is>
          <t>Calendar</t>
        </is>
      </c>
      <c r="C12" t="inlineStr">
        <is>
          <t>Monthly solvency monitoring report</t>
        </is>
      </c>
      <c r="D12" t="inlineStr">
        <is>
          <t>ISA</t>
        </is>
      </c>
      <c r="E12" t="inlineStr">
        <is>
          <t>Product</t>
        </is>
      </c>
      <c r="F12" s="129" t="n">
        <v>46185</v>
      </c>
      <c r="G12" t="n">
        <v>1</v>
      </c>
      <c r="H12" t="inlineStr">
        <is>
          <t>Due Soon</t>
        </is>
      </c>
      <c r="I12" t="inlineStr">
        <is>
          <t>High</t>
        </is>
      </c>
      <c r="J12" t="inlineStr">
        <is>
          <t>Confirm source data and QA before submission</t>
        </is>
      </c>
      <c r="K12" t="inlineStr">
        <is>
          <t>No</t>
        </is>
      </c>
      <c r="L12" t="inlineStr">
        <is>
          <t>Prepare CEO Office note if delayed</t>
        </is>
      </c>
    </row>
    <row r="13">
      <c r="A13" t="inlineStr">
        <is>
          <t>Submission</t>
        </is>
      </c>
      <c r="B13" t="inlineStr">
        <is>
          <t>Submission</t>
        </is>
      </c>
      <c r="C13" t="inlineStr">
        <is>
          <t>New product approval dossier</t>
        </is>
      </c>
      <c r="D13" t="inlineStr">
        <is>
          <t>MOF</t>
        </is>
      </c>
      <c r="E13" t="inlineStr">
        <is>
          <t>Legal</t>
        </is>
      </c>
      <c r="F13" s="129" t="n">
        <v>46187</v>
      </c>
      <c r="G13" t="n">
        <v>3</v>
      </c>
      <c r="H13" t="inlineStr">
        <is>
          <t>In Review</t>
        </is>
      </c>
      <c r="I13" t="inlineStr">
        <is>
          <t>Medium</t>
        </is>
      </c>
      <c r="J13" t="inlineStr">
        <is>
          <t>Complete official letter checklist and attachments</t>
        </is>
      </c>
      <c r="K13" t="inlineStr">
        <is>
          <t>No</t>
        </is>
      </c>
      <c r="L13" t="inlineStr">
        <is>
          <t>Coordinate with Compliance</t>
        </is>
      </c>
    </row>
    <row r="14">
      <c r="A14" t="inlineStr">
        <is>
          <t>Meeting</t>
        </is>
      </c>
      <c r="B14" t="inlineStr">
        <is>
          <t>Meeting</t>
        </is>
      </c>
      <c r="C14" t="inlineStr">
        <is>
          <t>ISA technical working session</t>
        </is>
      </c>
      <c r="D14" t="inlineStr">
        <is>
          <t>ISA</t>
        </is>
      </c>
      <c r="E14" t="inlineStr">
        <is>
          <t>Public Affairs</t>
        </is>
      </c>
      <c r="F14" s="129" t="n">
        <v>46189</v>
      </c>
      <c r="G14" t="n">
        <v>5</v>
      </c>
      <c r="H14" t="inlineStr">
        <is>
          <t>Planned</t>
        </is>
      </c>
      <c r="I14" t="inlineStr">
        <is>
          <t>High</t>
        </is>
      </c>
      <c r="J14" t="inlineStr">
        <is>
          <t>Generate briefing note and talking points</t>
        </is>
      </c>
      <c r="K14" t="inlineStr">
        <is>
          <t>No</t>
        </is>
      </c>
      <c r="L14" t="inlineStr">
        <is>
          <t>Use meeting brief generator</t>
        </is>
      </c>
    </row>
    <row r="15">
      <c r="A15" t="inlineStr">
        <is>
          <t>Translation</t>
        </is>
      </c>
      <c r="B15" t="inlineStr">
        <is>
          <t>Translation</t>
        </is>
      </c>
      <c r="C15" t="inlineStr">
        <is>
          <t>Circular summary VN to EN</t>
        </is>
      </c>
      <c r="D15" t="inlineStr">
        <is>
          <t>Regional Office</t>
        </is>
      </c>
      <c r="E15" t="inlineStr">
        <is>
          <t>Public Affairs</t>
        </is>
      </c>
      <c r="F15" s="129" t="n">
        <v>46186</v>
      </c>
      <c r="G15" t="n">
        <v>2</v>
      </c>
      <c r="H15" t="inlineStr">
        <is>
          <t>In Progress</t>
        </is>
      </c>
      <c r="I15" t="inlineStr">
        <is>
          <t>Medium</t>
        </is>
      </c>
      <c r="J15" t="inlineStr">
        <is>
          <t>Finalize English version for regional pack</t>
        </is>
      </c>
      <c r="K15" t="inlineStr">
        <is>
          <t>No</t>
        </is>
      </c>
      <c r="L15" t="inlineStr">
        <is>
          <t>Prioritize before weekly report</t>
        </is>
      </c>
    </row>
    <row r="16">
      <c r="A16" t="inlineStr">
        <is>
          <t>QC</t>
        </is>
      </c>
      <c r="B16" t="inlineStr">
        <is>
          <t>QC</t>
        </is>
      </c>
      <c r="C16" t="inlineStr">
        <is>
          <t>Official letter to MOF</t>
        </is>
      </c>
      <c r="D16" t="inlineStr">
        <is>
          <t>MOF</t>
        </is>
      </c>
      <c r="E16" t="inlineStr">
        <is>
          <t>Regulatory Affairs</t>
        </is>
      </c>
      <c r="F16" s="129" t="n">
        <v>46184</v>
      </c>
      <c r="G16" t="n">
        <v>0</v>
      </c>
      <c r="H16" t="inlineStr">
        <is>
          <t>Needs Review</t>
        </is>
      </c>
      <c r="I16" t="inlineStr">
        <is>
          <t>High</t>
        </is>
      </c>
      <c r="J16" t="inlineStr">
        <is>
          <t>Verify signature authority and legal review</t>
        </is>
      </c>
      <c r="K16" t="inlineStr">
        <is>
          <t>Yes</t>
        </is>
      </c>
      <c r="L16" t="inlineStr">
        <is>
          <t>Escalate before 3pm</t>
        </is>
      </c>
    </row>
    <row r="18">
      <c r="A18" s="53" t="inlineStr">
        <is>
          <t>How to use this tab</t>
        </is>
      </c>
      <c r="B18" s="53" t="str"/>
      <c r="C18" s="53" t="str"/>
      <c r="D18" s="53" t="str"/>
      <c r="E18" s="53" t="str"/>
      <c r="F18" s="53" t="str"/>
      <c r="G18" s="53" t="str"/>
      <c r="H18" s="53" t="str"/>
      <c r="I18" s="53" t="str"/>
      <c r="J18" s="53" t="str"/>
      <c r="K18" s="53" t="str"/>
      <c r="L18" s="53" t="str"/>
    </row>
    <row r="19">
      <c r="A19" s="13" t="inlineStr">
        <is>
          <t>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t>
        </is>
      </c>
      <c r="B19" s="1" t="n"/>
      <c r="C19" s="1" t="n"/>
      <c r="D19" s="1" t="n"/>
      <c r="E19" s="1" t="n"/>
      <c r="F19" s="1" t="n"/>
      <c r="G19" s="1" t="n"/>
      <c r="H19" s="1" t="n"/>
      <c r="I19" s="1" t="n"/>
      <c r="J19" s="1" t="n"/>
      <c r="K19" s="1" t="n"/>
      <c r="L19" s="1" t="n"/>
    </row>
    <row r="20">
      <c r="A20" s="1" t="n"/>
      <c r="L20" s="1" t="n"/>
    </row>
    <row r="21">
      <c r="A21" s="1" t="n"/>
      <c r="L21" s="1" t="n"/>
    </row>
    <row r="22">
      <c r="A22" s="1" t="n"/>
      <c r="L22" s="1" t="n"/>
    </row>
    <row r="23">
      <c r="A23" s="1" t="n"/>
      <c r="B23" s="1" t="n"/>
      <c r="C23" s="1" t="n"/>
      <c r="D23" s="1" t="n"/>
      <c r="E23" s="1" t="n"/>
      <c r="F23" s="1" t="n"/>
      <c r="G23" s="1" t="n"/>
      <c r="H23" s="1" t="n"/>
      <c r="I23" s="1" t="n"/>
      <c r="J23" s="1" t="n"/>
      <c r="K23" s="1" t="n"/>
      <c r="L23" s="1" t="n"/>
    </row>
  </sheetData>
  <mergeCells count="2">
    <mergeCell ref="A1:L1"/>
    <mergeCell ref="A19:L23"/>
  </mergeCells>
  <conditionalFormatting sqref="G12:G50">
    <cfRule type="cellIs" priority="1" operator="lessThanOrEqual" dxfId="3">
      <formula>0</formula>
    </cfRule>
  </conditionalFormatting>
  <dataValidations count="2">
    <dataValidation sqref="H12:H50" showDropDown="0" showInputMessage="0" showErrorMessage="0" allowBlank="0" type="list">
      <formula1>"On Track,Due Soon,Overdue,Submitted,Approved,In Review,Needs Review,Planned,In Progress"</formula1>
    </dataValidation>
    <dataValidation sqref="D4:D200" showDropDown="0" showInputMessage="0" showErrorMessage="0" allowBlank="0" type="list">
      <formula1>"Critical,High,Medium,Low"</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66.88999938964844" customWidth="1" style="44" min="1" max="1"/>
    <col width="32" customWidth="1" style="44" min="2" max="2"/>
    <col width="11.97999954223633" customWidth="1" style="44" min="3" max="3"/>
    <col width="20" customWidth="1" style="44" min="4" max="4"/>
    <col width="10.22999954223633" customWidth="1" style="44" min="5" max="5"/>
    <col width="9.149999618530273" customWidth="1" style="44" min="6" max="6"/>
    <col width="13.85999965667725" customWidth="1" style="44" min="7" max="7"/>
    <col width="11.4399995803833" customWidth="1" style="44" min="8" max="8"/>
    <col width="16.02000045776367" customWidth="1" style="44" min="9" max="9"/>
    <col width="10.5" customWidth="1" style="44" min="10" max="10"/>
    <col width="15.88000011444092" customWidth="1" style="44" min="11" max="11"/>
    <col width="13.72999954223633" customWidth="1" style="44" min="12" max="12"/>
    <col width="22" customWidth="1" style="44" min="14" max="14"/>
    <col width="22" customWidth="1" style="44" min="15" max="15"/>
    <col width="22" customWidth="1" style="44" min="16" max="16"/>
    <col width="22" customWidth="1" style="44" min="17" max="17"/>
  </cols>
  <sheetData>
    <row r="1">
      <c r="A1" s="127" t="inlineStr">
        <is>
          <t>Document Quality Checklist - Official Letters / Reports / Dossiers</t>
        </is>
      </c>
      <c r="B1" s="1" t="n"/>
      <c r="C1" s="1" t="n"/>
      <c r="D1" s="1" t="n"/>
      <c r="E1" s="1" t="n"/>
      <c r="F1" s="1" t="n"/>
      <c r="G1" s="1" t="n"/>
      <c r="H1" s="1" t="n"/>
      <c r="I1" s="1" t="n"/>
      <c r="J1" s="1" t="n"/>
      <c r="K1" s="1" t="n"/>
      <c r="L1" s="1" t="n"/>
    </row>
    <row r="3">
      <c r="A3" s="53" t="inlineStr">
        <is>
          <t>Document ID</t>
        </is>
      </c>
      <c r="B3" s="53" t="inlineStr">
        <is>
          <t>Document Name</t>
        </is>
      </c>
      <c r="C3" s="53" t="inlineStr">
        <is>
          <t>Regulator</t>
        </is>
      </c>
      <c r="D3" s="53" t="inlineStr">
        <is>
          <t>Document Type</t>
        </is>
      </c>
      <c r="E3" s="53" t="inlineStr">
        <is>
          <t>Owner</t>
        </is>
      </c>
      <c r="F3" s="53" t="inlineStr">
        <is>
          <t>Due Date</t>
        </is>
      </c>
      <c r="G3" s="53" t="inlineStr">
        <is>
          <t>Correct Template</t>
        </is>
      </c>
      <c r="H3" s="53" t="inlineStr">
        <is>
          <t>Reference No.</t>
        </is>
      </c>
      <c r="I3" s="53" t="inlineStr">
        <is>
          <t>Signature Authority</t>
        </is>
      </c>
      <c r="J3" s="53" t="inlineStr">
        <is>
          <t>Legal Review</t>
        </is>
      </c>
      <c r="K3" s="53" t="inlineStr">
        <is>
          <t>Compliance Review</t>
        </is>
      </c>
      <c r="L3" s="53" t="inlineStr">
        <is>
          <t>Readiness Status</t>
        </is>
      </c>
      <c r="N3" s="53" t="inlineStr">
        <is>
          <t>QC Summary</t>
        </is>
      </c>
      <c r="O3" s="53" t="inlineStr">
        <is>
          <t>Formula</t>
        </is>
      </c>
      <c r="P3" s="53" t="inlineStr">
        <is>
          <t>Value</t>
        </is>
      </c>
      <c r="Q3" s="53" t="inlineStr">
        <is>
          <t>Comment</t>
        </is>
      </c>
    </row>
    <row r="4">
      <c r="A4" t="inlineStr">
        <is>
          <t>DOC-001</t>
        </is>
      </c>
      <c r="B4" t="inlineStr">
        <is>
          <t>Official letter re product approval</t>
        </is>
      </c>
      <c r="C4" t="inlineStr">
        <is>
          <t>MOF</t>
        </is>
      </c>
      <c r="D4" t="inlineStr">
        <is>
          <t>Official Letter</t>
        </is>
      </c>
      <c r="E4" t="inlineStr">
        <is>
          <t>Public Affairs</t>
        </is>
      </c>
      <c r="F4" s="129" t="n">
        <v>46187</v>
      </c>
      <c r="G4" t="inlineStr">
        <is>
          <t>Yes</t>
        </is>
      </c>
      <c r="H4" t="inlineStr">
        <is>
          <t>Yes</t>
        </is>
      </c>
      <c r="I4" t="inlineStr">
        <is>
          <t>Yes</t>
        </is>
      </c>
      <c r="J4" t="inlineStr">
        <is>
          <t>Yes</t>
        </is>
      </c>
      <c r="K4" t="inlineStr">
        <is>
          <t>Yes</t>
        </is>
      </c>
      <c r="L4" t="inlineStr">
        <is>
          <t>Ready</t>
        </is>
      </c>
      <c r="N4" t="inlineStr">
        <is>
          <t>Ready documents</t>
        </is>
      </c>
      <c r="O4" s="130">
        <f>COUNTIF(L:L,"Ready")</f>
        <v/>
      </c>
      <c r="Q4" t="inlineStr">
        <is>
          <t>Can be submitted after final management approval</t>
        </is>
      </c>
    </row>
    <row r="5">
      <c r="A5" t="inlineStr">
        <is>
          <t>DOC-002</t>
        </is>
      </c>
      <c r="B5" t="inlineStr">
        <is>
          <t>Monthly solvency monitoring report</t>
        </is>
      </c>
      <c r="C5" t="inlineStr">
        <is>
          <t>ISA</t>
        </is>
      </c>
      <c r="D5" t="inlineStr">
        <is>
          <t>Regulatory Report</t>
        </is>
      </c>
      <c r="E5" t="inlineStr">
        <is>
          <t>Product</t>
        </is>
      </c>
      <c r="F5" s="129" t="n">
        <v>46185</v>
      </c>
      <c r="G5" t="inlineStr">
        <is>
          <t>Yes</t>
        </is>
      </c>
      <c r="H5" t="inlineStr">
        <is>
          <t>Yes</t>
        </is>
      </c>
      <c r="I5" t="inlineStr">
        <is>
          <t>Yes</t>
        </is>
      </c>
      <c r="J5" t="inlineStr">
        <is>
          <t>In Progress</t>
        </is>
      </c>
      <c r="K5" t="inlineStr">
        <is>
          <t>Yes</t>
        </is>
      </c>
      <c r="L5" t="inlineStr">
        <is>
          <t>Needs Review</t>
        </is>
      </c>
      <c r="N5" t="inlineStr">
        <is>
          <t>Needs review</t>
        </is>
      </c>
      <c r="O5" s="130">
        <f>COUNTIF(L:L,"Needs Review")</f>
        <v/>
      </c>
      <c r="Q5" t="inlineStr">
        <is>
          <t>Follow up with Legal/Compliance/Owner</t>
        </is>
      </c>
    </row>
    <row r="6">
      <c r="A6" t="inlineStr">
        <is>
          <t>DOC-003</t>
        </is>
      </c>
      <c r="B6" t="inlineStr">
        <is>
          <t>Agency training approval dossier</t>
        </is>
      </c>
      <c r="C6" t="inlineStr">
        <is>
          <t>ISA</t>
        </is>
      </c>
      <c r="D6" t="inlineStr">
        <is>
          <t>Approval Dossier</t>
        </is>
      </c>
      <c r="E6" t="inlineStr">
        <is>
          <t>Agency</t>
        </is>
      </c>
      <c r="F6" s="129" t="n">
        <v>46191</v>
      </c>
      <c r="G6" t="inlineStr">
        <is>
          <t>Yes</t>
        </is>
      </c>
      <c r="H6" t="inlineStr">
        <is>
          <t>No</t>
        </is>
      </c>
      <c r="I6" t="inlineStr">
        <is>
          <t>Yes</t>
        </is>
      </c>
      <c r="J6" t="inlineStr">
        <is>
          <t>No</t>
        </is>
      </c>
      <c r="K6" t="inlineStr">
        <is>
          <t>In Progress</t>
        </is>
      </c>
      <c r="L6" t="inlineStr">
        <is>
          <t>Not Ready</t>
        </is>
      </c>
      <c r="N6" t="inlineStr">
        <is>
          <t>Not ready</t>
        </is>
      </c>
      <c r="O6" s="130">
        <f>COUNTIF(L:L,"Not Ready")</f>
        <v/>
      </c>
      <c r="Q6" t="inlineStr">
        <is>
          <t>Escalate if due within 7 days</t>
        </is>
      </c>
    </row>
    <row r="7">
      <c r="A7" t="inlineStr">
        <is>
          <t>DOC-004</t>
        </is>
      </c>
      <c r="B7" t="inlineStr">
        <is>
          <t>Data privacy compliance update</t>
        </is>
      </c>
      <c r="C7" t="inlineStr">
        <is>
          <t>MIC</t>
        </is>
      </c>
      <c r="D7" t="inlineStr">
        <is>
          <t>Regulatory Report</t>
        </is>
      </c>
      <c r="E7" t="inlineStr">
        <is>
          <t>Compliance</t>
        </is>
      </c>
      <c r="F7" s="129" t="n">
        <v>46198</v>
      </c>
      <c r="G7" t="inlineStr">
        <is>
          <t>Yes</t>
        </is>
      </c>
      <c r="H7" t="inlineStr">
        <is>
          <t>Yes</t>
        </is>
      </c>
      <c r="I7" t="inlineStr">
        <is>
          <t>Yes</t>
        </is>
      </c>
      <c r="J7" t="inlineStr">
        <is>
          <t>Yes</t>
        </is>
      </c>
      <c r="K7" t="inlineStr">
        <is>
          <t>In Progress</t>
        </is>
      </c>
      <c r="L7" t="inlineStr">
        <is>
          <t>Needs Review</t>
        </is>
      </c>
    </row>
    <row r="8">
      <c r="A8" t="inlineStr">
        <is>
          <t>DOC-005</t>
        </is>
      </c>
      <c r="B8" t="inlineStr">
        <is>
          <t>Regional Office weekly regulatory pack</t>
        </is>
      </c>
      <c r="C8" t="inlineStr">
        <is>
          <t>Regional Office</t>
        </is>
      </c>
      <c r="D8" t="inlineStr">
        <is>
          <t>Management Report</t>
        </is>
      </c>
      <c r="E8" t="inlineStr">
        <is>
          <t>Public Affairs</t>
        </is>
      </c>
      <c r="F8" s="129" t="n">
        <v>46186</v>
      </c>
      <c r="G8" t="inlineStr">
        <is>
          <t>Yes</t>
        </is>
      </c>
      <c r="H8" t="inlineStr">
        <is>
          <t>N/A</t>
        </is>
      </c>
      <c r="I8" t="inlineStr">
        <is>
          <t>N/A</t>
        </is>
      </c>
      <c r="J8" t="inlineStr">
        <is>
          <t>N/A</t>
        </is>
      </c>
      <c r="K8" t="inlineStr">
        <is>
          <t>Yes</t>
        </is>
      </c>
      <c r="L8" t="inlineStr">
        <is>
          <t>Ready</t>
        </is>
      </c>
    </row>
    <row r="9">
      <c r="A9" t="inlineStr">
        <is>
          <t>DOC-006</t>
        </is>
      </c>
      <c r="B9" t="inlineStr">
        <is>
          <t>Capital increase supporting paper</t>
        </is>
      </c>
      <c r="C9" t="inlineStr">
        <is>
          <t>MOF</t>
        </is>
      </c>
      <c r="D9" t="inlineStr">
        <is>
          <t>Approval Dossier</t>
        </is>
      </c>
      <c r="E9" t="inlineStr">
        <is>
          <t>Finance</t>
        </is>
      </c>
      <c r="F9" s="129" t="n">
        <v>46194</v>
      </c>
      <c r="G9" t="inlineStr">
        <is>
          <t>Yes</t>
        </is>
      </c>
      <c r="H9" t="inlineStr">
        <is>
          <t>Yes</t>
        </is>
      </c>
      <c r="I9" t="inlineStr">
        <is>
          <t>Pending</t>
        </is>
      </c>
      <c r="J9" t="inlineStr">
        <is>
          <t>In Progress</t>
        </is>
      </c>
      <c r="K9" t="inlineStr">
        <is>
          <t>No</t>
        </is>
      </c>
      <c r="L9" t="inlineStr">
        <is>
          <t>Not Ready</t>
        </is>
      </c>
    </row>
  </sheetData>
  <mergeCells count="1">
    <mergeCell ref="A1:L1"/>
  </mergeCells>
  <conditionalFormatting sqref="L4:L50">
    <cfRule type="expression" priority="1" dxfId="3">
      <formula>L4="Not Ready"</formula>
    </cfRule>
    <cfRule type="expression" priority="2" dxfId="5">
      <formula>L4="Needs Review"</formula>
    </cfRule>
    <cfRule type="expression" priority="3" dxfId="6">
      <formula>L4="Ready"</formula>
    </cfRule>
  </conditionalFormatting>
  <dataValidations count="1">
    <dataValidation sqref="G4:L50" showDropDown="0" showInputMessage="0" showErrorMessage="0" allowBlank="0" type="list">
      <formula1>"Yes,No,N/A,Pending,In Progress,Ready,Needs Review,Not Ready"</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6" customWidth="1" style="44" min="1" max="1"/>
    <col width="35" customWidth="1" style="44" min="2" max="2"/>
    <col width="14" customWidth="1" style="44" min="3" max="3"/>
    <col width="14" customWidth="1" style="44" min="4" max="4"/>
    <col width="14" customWidth="1" style="44" min="5" max="5"/>
    <col width="14" customWidth="1" style="44" min="6" max="6"/>
    <col width="14" customWidth="1" style="44" min="7" max="7"/>
    <col width="14" customWidth="1" style="44" min="8" max="8"/>
    <col width="14" customWidth="1" style="44" min="9" max="9"/>
    <col width="14" customWidth="1" style="44" min="10" max="10"/>
  </cols>
  <sheetData>
    <row r="1">
      <c r="A1" s="131" t="inlineStr">
        <is>
          <t>Interview Demo Mode - How to Present This Tool to Manulife</t>
        </is>
      </c>
      <c r="B1" s="132" t="n"/>
      <c r="C1" s="132" t="n"/>
      <c r="D1" s="132" t="n"/>
      <c r="E1" s="132" t="n"/>
      <c r="F1" s="132" t="n"/>
      <c r="G1" s="132" t="n"/>
      <c r="H1" s="132" t="n"/>
      <c r="I1" s="132" t="n"/>
      <c r="J1" s="132" t="n"/>
    </row>
    <row r="2">
      <c r="A2" s="87" t="n"/>
      <c r="B2" s="87" t="n"/>
      <c r="C2" s="87" t="n"/>
      <c r="D2" s="87" t="n"/>
      <c r="E2" s="87" t="n"/>
      <c r="F2" s="87" t="n"/>
      <c r="G2" s="87" t="n"/>
      <c r="H2" s="87" t="n"/>
      <c r="I2" s="87" t="n"/>
      <c r="J2" s="87" t="n"/>
    </row>
    <row r="3">
      <c r="A3" s="133" t="inlineStr">
        <is>
          <t>Section</t>
        </is>
      </c>
      <c r="B3" s="133" t="inlineStr">
        <is>
          <t>Suggested Talking Points</t>
        </is>
      </c>
      <c r="C3" s="87" t="n"/>
      <c r="D3" s="87" t="n"/>
      <c r="E3" s="87" t="n"/>
      <c r="F3" s="87" t="n"/>
      <c r="G3" s="87" t="n"/>
      <c r="H3" s="87" t="n"/>
      <c r="I3" s="87" t="n"/>
      <c r="J3" s="87" t="n"/>
    </row>
    <row r="4">
      <c r="A4" s="87" t="inlineStr">
        <is>
          <t>1. Problem this tool solves</t>
        </is>
      </c>
      <c r="B4" s="87" t="inlineStr">
        <is>
          <t>The role requires accurate regulatory reporting, deadline control, document quality, regulator coordination and Regional Office reporting. This tool turns those responsibilities into a daily operating system.</t>
        </is>
      </c>
      <c r="C4" s="87" t="n"/>
      <c r="D4" s="87" t="n"/>
      <c r="E4" s="87" t="n"/>
      <c r="F4" s="87" t="n"/>
      <c r="G4" s="87" t="n"/>
      <c r="H4" s="87" t="n"/>
      <c r="I4" s="87" t="n"/>
      <c r="J4" s="87" t="n"/>
    </row>
    <row r="5">
      <c r="A5" s="87" t="inlineStr">
        <is>
          <t>2. Workflow</t>
        </is>
      </c>
      <c r="B5" s="87" t="inlineStr">
        <is>
          <t>Daily Control Tower → Regulatory Calendar → Submission Tracker → Document QC Checklist → Regulator Interaction Log → Meeting Brief → Regional Report Pack.</t>
        </is>
      </c>
      <c r="C5" s="87" t="n"/>
      <c r="D5" s="87" t="n"/>
      <c r="E5" s="87" t="n"/>
      <c r="F5" s="87" t="n"/>
      <c r="G5" s="87" t="n"/>
      <c r="H5" s="87" t="n"/>
      <c r="I5" s="87" t="n"/>
      <c r="J5" s="87" t="n"/>
    </row>
    <row r="6">
      <c r="A6" s="87" t="inlineStr">
        <is>
          <t>3. Example case</t>
        </is>
      </c>
      <c r="B6" s="87" t="inlineStr">
        <is>
          <t>If MOF requests an updated product approval dossier, I can track the request, assign owners, verify legal/compliance review, generate a meeting brief and include the issue in the Regional Office weekly pack.</t>
        </is>
      </c>
      <c r="C6" s="87" t="n"/>
      <c r="D6" s="87" t="n"/>
      <c r="E6" s="87" t="n"/>
      <c r="F6" s="87" t="n"/>
      <c r="G6" s="87" t="n"/>
      <c r="H6" s="87" t="n"/>
      <c r="I6" s="87" t="n"/>
      <c r="J6" s="87" t="n"/>
    </row>
    <row r="7">
      <c r="A7" s="87" t="inlineStr">
        <is>
          <t>4. Why Excel first</t>
        </is>
      </c>
      <c r="B7" s="87" t="inlineStr">
        <is>
          <t>Excel is practical, easy to audit and easy to share with Legal, Compliance, Product and Finance teams.</t>
        </is>
      </c>
      <c r="C7" s="87" t="n"/>
      <c r="D7" s="87" t="n"/>
      <c r="E7" s="87" t="n"/>
      <c r="F7" s="87" t="n"/>
      <c r="G7" s="87" t="n"/>
      <c r="H7" s="87" t="n"/>
      <c r="I7" s="87" t="n"/>
      <c r="J7" s="87" t="n"/>
    </row>
    <row r="8">
      <c r="A8" s="87" t="inlineStr">
        <is>
          <t>5. Why Streamlit next</t>
        </is>
      </c>
      <c r="B8" s="87" t="inlineStr">
        <is>
          <t>Streamlit adds automation, dashboarding, filtering, meeting brief generation and a more professional management view.</t>
        </is>
      </c>
      <c r="C8" s="87" t="n"/>
      <c r="D8" s="87" t="n"/>
      <c r="E8" s="87" t="n"/>
      <c r="F8" s="87" t="n"/>
      <c r="G8" s="87" t="n"/>
      <c r="H8" s="87" t="n"/>
      <c r="I8" s="87" t="n"/>
      <c r="J8" s="87" t="n"/>
    </row>
    <row r="9">
      <c r="A9" s="87" t="inlineStr">
        <is>
          <t>6. Business value</t>
        </is>
      </c>
      <c r="B9" s="87" t="inlineStr">
        <is>
          <t>Fewer missed deadlines, faster preparation for regulator meetings, stronger document control and clearer visibility for management.</t>
        </is>
      </c>
      <c r="C9" s="87" t="n"/>
      <c r="D9" s="87" t="n"/>
      <c r="E9" s="87" t="n"/>
      <c r="F9" s="87" t="n"/>
      <c r="G9" s="87" t="n"/>
      <c r="H9" s="87" t="n"/>
      <c r="I9" s="87" t="n"/>
      <c r="J9" s="87" t="n"/>
    </row>
    <row r="10">
      <c r="A10" s="87" t="inlineStr">
        <is>
          <t>7. Interview closing message</t>
        </is>
      </c>
      <c r="B10" s="87" t="inlineStr">
        <is>
          <t>My aim is not to build a complex system, but to create operational discipline for Regulatory &amp; Public Affairs work from day one.</t>
        </is>
      </c>
      <c r="C10" s="87" t="n"/>
      <c r="D10" s="87" t="n"/>
      <c r="E10" s="87" t="n"/>
      <c r="F10" s="87" t="n"/>
      <c r="G10" s="87" t="n"/>
      <c r="H10" s="87" t="n"/>
      <c r="I10" s="87" t="n"/>
      <c r="J10" s="87" t="n"/>
    </row>
    <row r="11">
      <c r="A11" s="87" t="n"/>
      <c r="B11" s="87" t="n"/>
      <c r="C11" s="87" t="n"/>
      <c r="D11" s="87" t="n"/>
      <c r="E11" s="87" t="n"/>
      <c r="F11" s="87" t="n"/>
      <c r="G11" s="87" t="n"/>
      <c r="H11" s="87" t="n"/>
      <c r="I11" s="87" t="n"/>
      <c r="J11" s="87" t="n"/>
    </row>
    <row r="12">
      <c r="A12" s="87" t="n"/>
      <c r="B12" s="87" t="n"/>
      <c r="C12" s="87" t="n"/>
      <c r="D12" s="87" t="n"/>
      <c r="E12" s="87" t="n"/>
      <c r="F12" s="87" t="n"/>
      <c r="G12" s="87" t="n"/>
      <c r="H12" s="87" t="n"/>
      <c r="I12" s="87" t="n"/>
      <c r="J12" s="87" t="n"/>
    </row>
    <row r="13">
      <c r="A13" s="133" t="inlineStr">
        <is>
          <t>Demo Script - 90 Seconds</t>
        </is>
      </c>
      <c r="B13" s="133" t="str"/>
      <c r="C13" s="133" t="str"/>
      <c r="D13" s="133" t="str"/>
      <c r="E13" s="133" t="str"/>
      <c r="F13" s="133" t="str"/>
      <c r="G13" s="133" t="str"/>
      <c r="H13" s="133" t="str"/>
      <c r="I13" s="133" t="str"/>
      <c r="J13" s="133" t="str"/>
    </row>
    <row r="14">
      <c r="A14" s="132" t="inlineStr">
        <is>
          <t>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t>
        </is>
      </c>
      <c r="B14" s="132" t="n"/>
      <c r="C14" s="132" t="n"/>
      <c r="D14" s="132" t="n"/>
      <c r="E14" s="132" t="n"/>
      <c r="F14" s="132" t="n"/>
      <c r="G14" s="132" t="n"/>
      <c r="H14" s="132" t="n"/>
      <c r="I14" s="132" t="n"/>
      <c r="J14" s="132" t="n"/>
    </row>
    <row r="15">
      <c r="A15" s="132" t="n"/>
      <c r="B15" s="87" t="n"/>
      <c r="C15" s="87" t="n"/>
      <c r="D15" s="87" t="n"/>
      <c r="E15" s="87" t="n"/>
      <c r="F15" s="87" t="n"/>
      <c r="G15" s="87" t="n"/>
      <c r="H15" s="87" t="n"/>
      <c r="I15" s="87" t="n"/>
      <c r="J15" s="132" t="n"/>
    </row>
    <row r="16">
      <c r="A16" s="132" t="n"/>
      <c r="B16" s="87" t="n"/>
      <c r="C16" s="87" t="n"/>
      <c r="D16" s="87" t="n"/>
      <c r="E16" s="87" t="n"/>
      <c r="F16" s="87" t="n"/>
      <c r="G16" s="87" t="n"/>
      <c r="H16" s="87" t="n"/>
      <c r="I16" s="87" t="n"/>
      <c r="J16" s="132" t="n"/>
    </row>
    <row r="17">
      <c r="A17" s="132" t="n"/>
      <c r="B17" s="87" t="n"/>
      <c r="C17" s="87" t="n"/>
      <c r="D17" s="87" t="n"/>
      <c r="E17" s="87" t="n"/>
      <c r="F17" s="87" t="n"/>
      <c r="G17" s="87" t="n"/>
      <c r="H17" s="87" t="n"/>
      <c r="I17" s="87" t="n"/>
      <c r="J17" s="132" t="n"/>
    </row>
    <row r="18">
      <c r="A18" s="132" t="n"/>
      <c r="B18" s="87" t="n"/>
      <c r="C18" s="87" t="n"/>
      <c r="D18" s="87" t="n"/>
      <c r="E18" s="87" t="n"/>
      <c r="F18" s="87" t="n"/>
      <c r="G18" s="87" t="n"/>
      <c r="H18" s="87" t="n"/>
      <c r="I18" s="87" t="n"/>
      <c r="J18" s="132" t="n"/>
    </row>
    <row r="19">
      <c r="A19" s="132" t="n"/>
      <c r="B19" s="87" t="n"/>
      <c r="C19" s="87" t="n"/>
      <c r="D19" s="87" t="n"/>
      <c r="E19" s="87" t="n"/>
      <c r="F19" s="87" t="n"/>
      <c r="G19" s="87" t="n"/>
      <c r="H19" s="87" t="n"/>
      <c r="I19" s="87" t="n"/>
      <c r="J19" s="132" t="n"/>
    </row>
    <row r="20">
      <c r="A20" s="132" t="n"/>
      <c r="B20" s="87" t="n"/>
      <c r="C20" s="87" t="n"/>
      <c r="D20" s="87" t="n"/>
      <c r="E20" s="87" t="n"/>
      <c r="F20" s="87" t="n"/>
      <c r="G20" s="87" t="n"/>
      <c r="H20" s="87" t="n"/>
      <c r="I20" s="87" t="n"/>
      <c r="J20" s="132" t="n"/>
    </row>
    <row r="21">
      <c r="A21" s="132" t="n"/>
      <c r="B21" s="87" t="n"/>
      <c r="C21" s="87" t="n"/>
      <c r="D21" s="87" t="n"/>
      <c r="E21" s="87" t="n"/>
      <c r="F21" s="87" t="n"/>
      <c r="G21" s="87" t="n"/>
      <c r="H21" s="87" t="n"/>
      <c r="I21" s="87" t="n"/>
      <c r="J21" s="132" t="n"/>
    </row>
    <row r="22">
      <c r="A22" s="132" t="n"/>
      <c r="B22" s="132" t="n"/>
      <c r="C22" s="132" t="n"/>
      <c r="D22" s="132" t="n"/>
      <c r="E22" s="132" t="n"/>
      <c r="F22" s="132" t="n"/>
      <c r="G22" s="132" t="n"/>
      <c r="H22" s="132" t="n"/>
      <c r="I22" s="132" t="n"/>
      <c r="J22" s="132" t="n"/>
    </row>
    <row r="23">
      <c r="A23" s="87" t="n"/>
      <c r="B23" s="87" t="n"/>
      <c r="C23" s="87" t="n"/>
      <c r="D23" s="87" t="n"/>
      <c r="E23" s="87" t="n"/>
      <c r="F23" s="87" t="n"/>
      <c r="G23" s="87" t="n"/>
      <c r="H23" s="87" t="n"/>
      <c r="I23" s="87" t="n"/>
      <c r="J23" s="87" t="n"/>
    </row>
    <row r="24">
      <c r="A24" s="87" t="inlineStr">
        <is>
          <t>Consolidation Note</t>
        </is>
      </c>
      <c r="B24" s="87" t="inlineStr">
        <is>
          <t>Interview_Story_Mode and Demo_Script_Mode consolidated into Interview_Demo_Mode. Use one interview narrative only.</t>
        </is>
      </c>
      <c r="C24" s="87" t="n"/>
      <c r="D24" s="87" t="n"/>
      <c r="E24" s="87" t="n"/>
      <c r="F24" s="87" t="n"/>
      <c r="G24" s="87" t="n"/>
      <c r="H24" s="87" t="n"/>
      <c r="I24" s="87" t="n"/>
      <c r="J24" s="87" t="n"/>
    </row>
  </sheetData>
  <mergeCells count="2">
    <mergeCell ref="A1:J1"/>
    <mergeCell ref="A14:J2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35" customWidth="1" style="44" min="1" max="1"/>
    <col width="35" customWidth="1" style="44" min="2" max="2"/>
    <col width="35" customWidth="1" style="44" min="3" max="3"/>
    <col width="24.5" customWidth="1" style="44" min="4" max="4"/>
    <col width="14" customWidth="1" style="44" min="5" max="5"/>
    <col width="35" customWidth="1" style="44" min="6" max="6"/>
    <col width="35" customWidth="1" style="44" min="7" max="7"/>
    <col width="25.84000015258789" customWidth="1" style="44" min="8" max="8"/>
    <col width="24.76000022888184" customWidth="1" style="44" min="9" max="9"/>
    <col width="35" customWidth="1" style="44" min="10" max="10"/>
    <col width="14" customWidth="1" style="44" min="11" max="11"/>
    <col width="14" customWidth="1" style="44" min="12" max="12"/>
    <col width="14" customWidth="1" style="44" min="13" max="13"/>
    <col width="14" customWidth="1" style="44" min="14" max="14"/>
    <col width="14" customWidth="1" style="44" min="15" max="15"/>
  </cols>
  <sheetData>
    <row r="1" ht="28" customHeight="1" s="44">
      <c r="A1" s="134" t="inlineStr">
        <is>
          <t>Regulator CRM / Institutional Memory</t>
        </is>
      </c>
      <c r="B1" s="132" t="n"/>
      <c r="C1" s="132" t="n"/>
      <c r="D1" s="132" t="n"/>
      <c r="E1" s="132" t="n"/>
      <c r="F1" s="132" t="n"/>
      <c r="G1" s="132" t="n"/>
      <c r="H1" s="132" t="n"/>
      <c r="I1" s="132" t="n"/>
      <c r="J1" s="132" t="n"/>
      <c r="K1" s="87" t="n"/>
      <c r="L1" s="87" t="n"/>
      <c r="M1" s="87" t="n"/>
      <c r="N1" s="87" t="n"/>
      <c r="O1" s="87" t="n"/>
    </row>
    <row r="2">
      <c r="A2" s="87" t="n"/>
      <c r="B2" s="87" t="n"/>
      <c r="C2" s="87" t="n"/>
      <c r="D2" s="87" t="n"/>
      <c r="E2" s="87" t="n"/>
      <c r="F2" s="87" t="n"/>
      <c r="G2" s="87" t="n"/>
      <c r="H2" s="87" t="n"/>
      <c r="I2" s="87" t="n"/>
      <c r="J2" s="87" t="n"/>
      <c r="K2" s="87" t="n"/>
      <c r="L2" s="87" t="n"/>
      <c r="M2" s="87" t="n"/>
      <c r="N2" s="87" t="n"/>
      <c r="O2" s="87" t="n"/>
    </row>
    <row r="3">
      <c r="A3" s="135" t="inlineStr">
        <is>
          <t>Regulator</t>
        </is>
      </c>
      <c r="B3" s="135" t="inlineStr">
        <is>
          <t>Mandate / Role</t>
        </is>
      </c>
      <c r="C3" s="135" t="inlineStr">
        <is>
          <t>Key Units / Contact Point</t>
        </is>
      </c>
      <c r="D3" s="135" t="inlineStr">
        <is>
          <t>Relationship Strength (1-5)</t>
        </is>
      </c>
      <c r="E3" s="135" t="inlineStr">
        <is>
          <t>Sentiment</t>
        </is>
      </c>
      <c r="F3" s="135" t="inlineStr">
        <is>
          <t>Open Issues</t>
        </is>
      </c>
      <c r="G3" s="135" t="inlineStr">
        <is>
          <t>Pending Requests</t>
        </is>
      </c>
      <c r="H3" s="135" t="inlineStr">
        <is>
          <t>Next Engagement</t>
        </is>
      </c>
      <c r="I3" s="135" t="inlineStr">
        <is>
          <t>Engagement Owner</t>
        </is>
      </c>
      <c r="J3" s="135" t="inlineStr">
        <is>
          <t>Institutional Memory Note</t>
        </is>
      </c>
      <c r="K3" s="87" t="inlineStr">
        <is>
          <t>Power (1-5)</t>
        </is>
      </c>
      <c r="L3" s="87" t="inlineStr">
        <is>
          <t>Interest (1-5)</t>
        </is>
      </c>
      <c r="M3" s="87" t="inlineStr">
        <is>
          <t>Engagement Priority</t>
        </is>
      </c>
      <c r="N3" s="87" t="inlineStr">
        <is>
          <t>Key Concerns</t>
        </is>
      </c>
      <c r="O3" s="87" t="inlineStr">
        <is>
          <t>Relationship Risk Score</t>
        </is>
      </c>
    </row>
    <row r="4">
      <c r="A4" s="87" t="inlineStr">
        <is>
          <t>MOF</t>
        </is>
      </c>
      <c r="B4" s="87" t="inlineStr">
        <is>
          <t>Insurance policy, capital and sector oversight</t>
        </is>
      </c>
      <c r="C4" s="87" t="inlineStr">
        <is>
          <t>Insurance policy department / administrative office</t>
        </is>
      </c>
      <c r="D4" s="87" t="n">
        <v>4</v>
      </c>
      <c r="E4" s="87" t="inlineStr">
        <is>
          <t>Positive</t>
        </is>
      </c>
      <c r="F4" s="87" t="inlineStr">
        <is>
          <t>Capital adequacy update; product approval process</t>
        </is>
      </c>
      <c r="G4" s="87" t="inlineStr">
        <is>
          <t>Quarterly capital note and market stability briefing</t>
        </is>
      </c>
      <c r="H4" s="87" t="inlineStr">
        <is>
          <t>Strategic dialogue next quarter</t>
        </is>
      </c>
      <c r="I4" s="87" t="inlineStr">
        <is>
          <t>CEO + Head of Public Affairs</t>
        </is>
      </c>
      <c r="J4" s="87" t="inlineStr">
        <is>
          <t>Maintain evidence-based, constructive tone; align with financial stability priorities</t>
        </is>
      </c>
      <c r="K4" s="87" t="n">
        <v>5</v>
      </c>
      <c r="L4" s="87" t="n">
        <v>5</v>
      </c>
      <c r="M4" s="87" t="inlineStr">
        <is>
          <t>Critical</t>
        </is>
      </c>
      <c r="N4" s="87" t="inlineStr">
        <is>
          <t>Capital strength, market stability</t>
        </is>
      </c>
      <c r="O4" s="87">
        <f>ROUND((B2*C2)/D2,2)</f>
        <v/>
      </c>
    </row>
    <row r="5">
      <c r="A5" s="87" t="inlineStr">
        <is>
          <t>ISA</t>
        </is>
      </c>
      <c r="B5" s="87" t="inlineStr">
        <is>
          <t>Insurance supervision, product approval, market conduct</t>
        </is>
      </c>
      <c r="C5" s="87" t="inlineStr">
        <is>
          <t>Product approval unit / supervision team</t>
        </is>
      </c>
      <c r="D5" s="87" t="n">
        <v>3</v>
      </c>
      <c r="E5" s="87" t="inlineStr">
        <is>
          <t>Neutral</t>
        </is>
      </c>
      <c r="F5" s="87" t="inlineStr">
        <is>
          <t>Product Q&amp;A; market conduct documentation</t>
        </is>
      </c>
      <c r="G5" s="87" t="inlineStr">
        <is>
          <t>Technical clarification on new health rider</t>
        </is>
      </c>
      <c r="H5" s="87" t="inlineStr">
        <is>
          <t>Monthly technical session</t>
        </is>
      </c>
      <c r="I5" s="87" t="inlineStr">
        <is>
          <t>Legal + Compliance + PA</t>
        </is>
      </c>
      <c r="J5" s="87" t="inlineStr">
        <is>
          <t>Operational regulator; documentation quality and timely response matter most</t>
        </is>
      </c>
      <c r="K5" s="87" t="n">
        <v>5</v>
      </c>
      <c r="L5" s="87" t="n">
        <v>5</v>
      </c>
      <c r="M5" s="87" t="inlineStr">
        <is>
          <t>Critical</t>
        </is>
      </c>
      <c r="N5" s="87" t="inlineStr">
        <is>
          <t>Market conduct, product transparency</t>
        </is>
      </c>
      <c r="O5" s="87">
        <f>ROUND((B3*C3)/D3,2)</f>
        <v/>
      </c>
    </row>
    <row r="6">
      <c r="A6" s="87" t="inlineStr">
        <is>
          <t>IAV</t>
        </is>
      </c>
      <c r="B6" s="87" t="inlineStr">
        <is>
          <t>Industry coordination and collective advocacy</t>
        </is>
      </c>
      <c r="C6" s="87" t="inlineStr">
        <is>
          <t>Association secretariat / working groups</t>
        </is>
      </c>
      <c r="D6" s="87" t="n">
        <v>5</v>
      </c>
      <c r="E6" s="87" t="inlineStr">
        <is>
          <t>Positive</t>
        </is>
      </c>
      <c r="F6" s="87" t="inlineStr">
        <is>
          <t>Industry position on product approval circular</t>
        </is>
      </c>
      <c r="G6" s="87" t="inlineStr">
        <is>
          <t>Input to association policy paper</t>
        </is>
      </c>
      <c r="H6" s="87" t="inlineStr">
        <is>
          <t>Join working group this month</t>
        </is>
      </c>
      <c r="I6" s="87" t="inlineStr">
        <is>
          <t>Public Affairs</t>
        </is>
      </c>
      <c r="J6" s="87" t="inlineStr">
        <is>
          <t>Use industry channel for non-sensitive sector-wide policy points</t>
        </is>
      </c>
      <c r="K6" s="87" t="n">
        <v>3</v>
      </c>
      <c r="L6" s="87" t="n">
        <v>4</v>
      </c>
      <c r="M6" s="87" t="inlineStr">
        <is>
          <t>High</t>
        </is>
      </c>
      <c r="N6" s="87" t="inlineStr">
        <is>
          <t>Industry alignment</t>
        </is>
      </c>
      <c r="O6" s="87">
        <f>ROUND((B4*C4)/D4,2)</f>
        <v/>
      </c>
    </row>
    <row r="7">
      <c r="A7" s="87" t="inlineStr">
        <is>
          <t>SBV</t>
        </is>
      </c>
      <c r="B7" s="87" t="inlineStr">
        <is>
          <t>Cross-sector financial risk and bancassurance conduct</t>
        </is>
      </c>
      <c r="C7" s="87" t="inlineStr">
        <is>
          <t>Financial stability / banking supervision interface</t>
        </is>
      </c>
      <c r="D7" s="87" t="n">
        <v>3</v>
      </c>
      <c r="E7" s="87" t="inlineStr">
        <is>
          <t>Neutral</t>
        </is>
      </c>
      <c r="F7" s="87" t="inlineStr">
        <is>
          <t>Bancassurance conduct and bank distribution risk</t>
        </is>
      </c>
      <c r="G7" s="87" t="inlineStr">
        <is>
          <t>Industry dialogue via association</t>
        </is>
      </c>
      <c r="H7" s="87" t="inlineStr">
        <is>
          <t>Quarterly dialogue</t>
        </is>
      </c>
      <c r="I7" s="87" t="inlineStr">
        <is>
          <t>Government Relations Director</t>
        </is>
      </c>
      <c r="J7" s="87" t="inlineStr">
        <is>
          <t>Engage on systemic risk and customer protection; avoid narrow company-only framing</t>
        </is>
      </c>
      <c r="K7" s="87" t="n">
        <v>4</v>
      </c>
      <c r="L7" s="87" t="n">
        <v>3</v>
      </c>
      <c r="M7" s="87" t="inlineStr">
        <is>
          <t>High</t>
        </is>
      </c>
      <c r="N7" s="87" t="inlineStr">
        <is>
          <t>Bancassurance, system risk</t>
        </is>
      </c>
      <c r="O7" s="87">
        <f>ROUND((B5*C5)/D5,2)</f>
        <v/>
      </c>
    </row>
    <row r="8">
      <c r="A8" s="87" t="inlineStr">
        <is>
          <t>MIC</t>
        </is>
      </c>
      <c r="B8" s="87" t="inlineStr">
        <is>
          <t>Data, digital distribution, cybersecurity and data localization</t>
        </is>
      </c>
      <c r="C8" s="87" t="inlineStr">
        <is>
          <t>Data policy / cybersecurity consultation channel</t>
        </is>
      </c>
      <c r="D8" s="87" t="n">
        <v>2</v>
      </c>
      <c r="E8" s="87" t="inlineStr">
        <is>
          <t>Cautious</t>
        </is>
      </c>
      <c r="F8" s="87" t="inlineStr">
        <is>
          <t>Data localization and consent requirements</t>
        </is>
      </c>
      <c r="G8" s="87" t="inlineStr">
        <is>
          <t>Digital insurance compliance note</t>
        </is>
      </c>
      <c r="H8" s="87" t="inlineStr">
        <is>
          <t>Policy roundtable in two months</t>
        </is>
      </c>
      <c r="I8" s="87" t="inlineStr">
        <is>
          <t>Digital Policy Lead</t>
        </is>
      </c>
      <c r="J8" s="87" t="inlineStr">
        <is>
          <t>Relationship requires more technical credibility and early transparency</t>
        </is>
      </c>
      <c r="K8" s="87" t="n">
        <v>3</v>
      </c>
      <c r="L8" s="87" t="n">
        <v>4</v>
      </c>
      <c r="M8" s="87" t="inlineStr">
        <is>
          <t>Medium</t>
        </is>
      </c>
      <c r="N8" s="87" t="inlineStr">
        <is>
          <t>Data privacy and localization</t>
        </is>
      </c>
      <c r="O8" s="87">
        <f>ROUND((B6*C6)/D6,2)</f>
        <v/>
      </c>
    </row>
    <row r="9">
      <c r="A9" s="87" t="inlineStr">
        <is>
          <t>VCA</t>
        </is>
      </c>
      <c r="B9" s="87" t="inlineStr">
        <is>
          <t>Consumer protection and complaints oversight</t>
        </is>
      </c>
      <c r="C9" s="87" t="inlineStr">
        <is>
          <t>Consumer protection unit</t>
        </is>
      </c>
      <c r="D9" s="87" t="n">
        <v>3</v>
      </c>
      <c r="E9" s="87" t="inlineStr">
        <is>
          <t>Cautious</t>
        </is>
      </c>
      <c r="F9" s="87" t="inlineStr">
        <is>
          <t>Complaint handling transparency; mis-selling concerns</t>
        </is>
      </c>
      <c r="G9" s="87" t="inlineStr">
        <is>
          <t>Consumer education and complaint KPI note</t>
        </is>
      </c>
      <c r="H9" s="87" t="inlineStr">
        <is>
          <t>Consumer protection briefing</t>
        </is>
      </c>
      <c r="I9" s="87" t="inlineStr">
        <is>
          <t>Compliance + PA</t>
        </is>
      </c>
      <c r="J9" s="87" t="inlineStr">
        <is>
          <t>Frame as customer protection and transparency agenda</t>
        </is>
      </c>
      <c r="K9" s="87" t="n">
        <v>4</v>
      </c>
      <c r="L9" s="87" t="n">
        <v>4</v>
      </c>
      <c r="M9" s="87" t="inlineStr">
        <is>
          <t>High</t>
        </is>
      </c>
      <c r="N9" s="87" t="inlineStr">
        <is>
          <t>Consumer complaints</t>
        </is>
      </c>
      <c r="O9" s="87">
        <f>ROUND((B7*C7)/D7,2)</f>
        <v/>
      </c>
    </row>
    <row r="10">
      <c r="A10" s="87" t="n"/>
      <c r="B10" s="87" t="n"/>
      <c r="C10" s="87" t="n"/>
      <c r="D10" s="87" t="n"/>
      <c r="E10" s="87" t="n"/>
      <c r="F10" s="87" t="n"/>
      <c r="G10" s="87" t="n"/>
      <c r="H10" s="87" t="n"/>
      <c r="I10" s="87" t="n"/>
      <c r="J10" s="87" t="n"/>
      <c r="K10" s="87" t="n"/>
      <c r="L10" s="87" t="n"/>
      <c r="M10" s="87" t="n"/>
      <c r="N10" s="87" t="n"/>
      <c r="O10" s="87" t="n"/>
    </row>
    <row r="11">
      <c r="A11" s="87" t="n"/>
      <c r="B11" s="87" t="n"/>
      <c r="C11" s="87" t="n"/>
      <c r="D11" s="87" t="n"/>
      <c r="E11" s="87" t="n"/>
      <c r="F11" s="87" t="n"/>
      <c r="G11" s="87" t="n"/>
      <c r="H11" s="87" t="n"/>
      <c r="I11" s="87" t="n"/>
      <c r="J11" s="87" t="n"/>
      <c r="K11" s="87" t="n"/>
      <c r="L11" s="87" t="n"/>
      <c r="M11" s="87" t="n"/>
      <c r="N11" s="87" t="n"/>
      <c r="O11" s="87" t="n"/>
    </row>
    <row r="12">
      <c r="A12" s="87" t="n"/>
      <c r="B12" s="87" t="n"/>
      <c r="C12" s="87" t="n"/>
      <c r="D12" s="87" t="n"/>
      <c r="E12" s="87" t="n"/>
      <c r="F12" s="87" t="n"/>
      <c r="G12" s="87" t="n"/>
      <c r="H12" s="87" t="n"/>
      <c r="I12" s="87" t="n"/>
      <c r="J12" s="87" t="n"/>
      <c r="K12" s="87" t="n"/>
      <c r="L12" s="87" t="n"/>
      <c r="M12" s="87" t="n"/>
      <c r="N12" s="87" t="n"/>
      <c r="O12" s="87" t="n"/>
    </row>
    <row r="13">
      <c r="A13" s="87" t="n"/>
      <c r="B13" s="87" t="n"/>
      <c r="C13" s="87" t="n"/>
      <c r="D13" s="87" t="n"/>
      <c r="E13" s="87" t="n"/>
      <c r="F13" s="87" t="n"/>
      <c r="G13" s="87" t="n"/>
      <c r="H13" s="87" t="n"/>
      <c r="I13" s="87" t="n"/>
      <c r="J13" s="87" t="n"/>
      <c r="K13" s="87" t="n"/>
      <c r="L13" s="87" t="n"/>
      <c r="M13" s="87" t="n"/>
      <c r="N13" s="87" t="n"/>
      <c r="O13" s="87" t="n"/>
    </row>
    <row r="14">
      <c r="A14" s="87" t="n"/>
      <c r="B14" s="87" t="n"/>
      <c r="C14" s="87" t="n"/>
      <c r="D14" s="87" t="n"/>
      <c r="E14" s="87" t="n"/>
      <c r="F14" s="87" t="n"/>
      <c r="G14" s="87" t="n"/>
      <c r="H14" s="87" t="n"/>
      <c r="I14" s="87" t="n"/>
      <c r="J14" s="87" t="n"/>
      <c r="K14" s="87" t="n"/>
      <c r="L14" s="87" t="n"/>
      <c r="M14" s="87" t="n"/>
      <c r="N14" s="87" t="n"/>
      <c r="O14" s="87" t="n"/>
    </row>
    <row r="15">
      <c r="A15" s="87" t="n"/>
      <c r="B15" s="87" t="n"/>
      <c r="C15" s="87" t="n"/>
      <c r="D15" s="87" t="n"/>
      <c r="E15" s="87" t="n"/>
      <c r="F15" s="87" t="n"/>
      <c r="G15" s="87" t="n"/>
      <c r="H15" s="87" t="n"/>
      <c r="I15" s="87" t="n"/>
      <c r="J15" s="87" t="n"/>
      <c r="K15" s="87" t="n"/>
      <c r="L15" s="87" t="n"/>
      <c r="M15" s="87" t="n"/>
      <c r="N15" s="87" t="n"/>
      <c r="O15" s="87" t="n"/>
    </row>
    <row r="16">
      <c r="A16" s="87" t="n"/>
      <c r="B16" s="87" t="n"/>
      <c r="C16" s="87" t="n"/>
      <c r="D16" s="87" t="n"/>
      <c r="E16" s="87" t="n"/>
      <c r="F16" s="87" t="n"/>
      <c r="G16" s="87" t="n"/>
      <c r="H16" s="87" t="n"/>
      <c r="I16" s="87" t="n"/>
      <c r="J16" s="87" t="n"/>
      <c r="K16" s="87" t="n"/>
      <c r="L16" s="87" t="n"/>
      <c r="M16" s="87" t="n"/>
      <c r="N16" s="87" t="n"/>
      <c r="O16" s="87" t="n"/>
    </row>
    <row r="17">
      <c r="A17" s="87" t="n"/>
      <c r="B17" s="87" t="n"/>
      <c r="C17" s="87" t="n"/>
      <c r="D17" s="87" t="n"/>
      <c r="E17" s="87" t="n"/>
      <c r="F17" s="87" t="n"/>
      <c r="G17" s="87" t="n"/>
      <c r="H17" s="87" t="n"/>
      <c r="I17" s="87" t="n"/>
      <c r="J17" s="87" t="n"/>
      <c r="K17" s="87" t="n"/>
      <c r="L17" s="87" t="n"/>
      <c r="M17" s="87" t="n"/>
      <c r="N17" s="87" t="n"/>
      <c r="O17" s="87" t="n"/>
    </row>
    <row r="18">
      <c r="A18" s="87" t="n"/>
      <c r="B18" s="87" t="n"/>
      <c r="C18" s="87" t="n"/>
      <c r="D18" s="87" t="n"/>
      <c r="E18" s="87" t="n"/>
      <c r="F18" s="87" t="n"/>
      <c r="G18" s="87" t="n"/>
      <c r="H18" s="87" t="n"/>
      <c r="I18" s="87" t="n"/>
      <c r="J18" s="87" t="n"/>
      <c r="K18" s="87" t="n"/>
      <c r="L18" s="87" t="n"/>
      <c r="M18" s="87" t="n"/>
      <c r="N18" s="87" t="n"/>
      <c r="O18" s="87" t="n"/>
    </row>
    <row r="19">
      <c r="A19" s="87" t="n"/>
      <c r="B19" s="87" t="n"/>
      <c r="C19" s="87" t="n"/>
      <c r="D19" s="87" t="n"/>
      <c r="E19" s="87" t="n"/>
      <c r="F19" s="87" t="n"/>
      <c r="G19" s="87" t="n"/>
      <c r="H19" s="87" t="n"/>
      <c r="I19" s="87" t="n"/>
      <c r="J19" s="87" t="n"/>
      <c r="K19" s="87" t="n"/>
      <c r="L19" s="87" t="n"/>
      <c r="M19" s="87" t="n"/>
      <c r="N19" s="87" t="n"/>
      <c r="O19" s="87" t="n"/>
    </row>
    <row r="20">
      <c r="A20" s="87" t="n"/>
      <c r="B20" s="87" t="n"/>
      <c r="C20" s="87" t="n"/>
      <c r="D20" s="87" t="n"/>
      <c r="E20" s="87" t="n"/>
      <c r="F20" s="87" t="n"/>
      <c r="G20" s="87" t="n"/>
      <c r="H20" s="87" t="n"/>
      <c r="I20" s="87" t="n"/>
      <c r="J20" s="87" t="n"/>
      <c r="K20" s="87" t="n"/>
      <c r="L20" s="87" t="n"/>
      <c r="M20" s="87" t="n"/>
      <c r="N20" s="87" t="n"/>
      <c r="O20" s="87" t="n"/>
    </row>
    <row r="21">
      <c r="A21" s="87" t="n"/>
      <c r="B21" s="87" t="n"/>
      <c r="C21" s="87" t="n"/>
      <c r="D21" s="87" t="n"/>
      <c r="E21" s="87" t="n"/>
      <c r="F21" s="87" t="n"/>
      <c r="G21" s="87" t="n"/>
      <c r="H21" s="87" t="n"/>
      <c r="I21" s="87" t="n"/>
      <c r="J21" s="87" t="n"/>
      <c r="K21" s="87" t="n"/>
      <c r="L21" s="87" t="n"/>
      <c r="M21" s="87" t="n"/>
      <c r="N21" s="87" t="n"/>
      <c r="O21" s="87" t="n"/>
    </row>
    <row r="22">
      <c r="A22" s="87" t="n"/>
      <c r="B22" s="87" t="n"/>
      <c r="C22" s="87" t="n"/>
      <c r="D22" s="87" t="n"/>
      <c r="E22" s="87" t="n"/>
      <c r="F22" s="87" t="n"/>
      <c r="G22" s="87" t="n"/>
      <c r="H22" s="87" t="n"/>
      <c r="I22" s="87" t="n"/>
      <c r="J22" s="87" t="n"/>
      <c r="K22" s="87" t="n"/>
      <c r="L22" s="87" t="n"/>
      <c r="M22" s="87" t="n"/>
      <c r="N22" s="87" t="n"/>
      <c r="O22" s="87" t="n"/>
    </row>
    <row r="23">
      <c r="A23" s="87" t="n"/>
      <c r="B23" s="87" t="n"/>
      <c r="C23" s="87" t="n"/>
      <c r="D23" s="87" t="n"/>
      <c r="E23" s="87" t="n"/>
      <c r="F23" s="87" t="n"/>
      <c r="G23" s="87" t="n"/>
      <c r="H23" s="87" t="n"/>
      <c r="I23" s="87" t="n"/>
      <c r="J23" s="87" t="n"/>
      <c r="K23" s="87" t="n"/>
      <c r="L23" s="87" t="n"/>
      <c r="M23" s="87" t="n"/>
      <c r="N23" s="87" t="n"/>
      <c r="O23" s="87" t="n"/>
    </row>
    <row r="24">
      <c r="A24" s="87" t="n"/>
      <c r="B24" s="87" t="n"/>
      <c r="C24" s="87" t="n"/>
      <c r="D24" s="87" t="n"/>
      <c r="E24" s="87" t="n"/>
      <c r="F24" s="87" t="n"/>
      <c r="G24" s="87" t="n"/>
      <c r="H24" s="87" t="n"/>
      <c r="I24" s="87" t="n"/>
      <c r="J24" s="87" t="n"/>
      <c r="K24" s="87" t="n"/>
      <c r="L24" s="87" t="n"/>
      <c r="M24" s="87" t="n"/>
      <c r="N24" s="87" t="n"/>
      <c r="O24" s="87" t="n"/>
    </row>
    <row r="25">
      <c r="A25" s="87" t="n"/>
      <c r="B25" s="87" t="n"/>
      <c r="C25" s="87" t="n"/>
      <c r="D25" s="87" t="n"/>
      <c r="E25" s="87" t="n"/>
      <c r="F25" s="87" t="n"/>
      <c r="G25" s="87" t="n"/>
      <c r="H25" s="87" t="n"/>
      <c r="I25" s="87" t="n"/>
      <c r="J25" s="87" t="n"/>
      <c r="K25" s="87" t="n"/>
      <c r="L25" s="87" t="n"/>
      <c r="M25" s="87" t="n"/>
      <c r="N25" s="87" t="n"/>
      <c r="O25" s="87" t="n"/>
    </row>
    <row r="26">
      <c r="A26" s="87" t="n"/>
      <c r="B26" s="87" t="n"/>
      <c r="C26" s="87" t="n"/>
      <c r="D26" s="87" t="n"/>
      <c r="E26" s="87" t="n"/>
      <c r="F26" s="87" t="n"/>
      <c r="G26" s="87" t="n"/>
      <c r="H26" s="87" t="n"/>
      <c r="I26" s="87" t="n"/>
      <c r="J26" s="87" t="n"/>
      <c r="K26" s="87" t="n"/>
      <c r="L26" s="87" t="n"/>
      <c r="M26" s="87" t="n"/>
      <c r="N26" s="87" t="n"/>
      <c r="O26" s="87" t="n"/>
    </row>
    <row r="27">
      <c r="A27" s="87" t="n"/>
      <c r="B27" s="87" t="n"/>
      <c r="C27" s="87" t="n"/>
      <c r="D27" s="87" t="n"/>
      <c r="E27" s="87" t="n"/>
      <c r="F27" s="87" t="n"/>
      <c r="G27" s="87" t="n"/>
      <c r="H27" s="87" t="n"/>
      <c r="I27" s="87" t="n"/>
      <c r="J27" s="87" t="n"/>
      <c r="K27" s="87" t="n"/>
      <c r="L27" s="87" t="n"/>
      <c r="M27" s="87" t="n"/>
      <c r="N27" s="87" t="n"/>
      <c r="O27" s="87" t="n"/>
    </row>
    <row r="28">
      <c r="A28" s="87" t="n"/>
      <c r="B28" s="87" t="n"/>
      <c r="C28" s="87" t="n"/>
      <c r="D28" s="87" t="n"/>
      <c r="E28" s="87" t="n"/>
      <c r="F28" s="87" t="n"/>
      <c r="G28" s="87" t="n"/>
      <c r="H28" s="87" t="n"/>
      <c r="I28" s="87" t="n"/>
      <c r="J28" s="87" t="n"/>
      <c r="K28" s="87" t="n"/>
      <c r="L28" s="87" t="n"/>
      <c r="M28" s="87" t="n"/>
      <c r="N28" s="87" t="n"/>
      <c r="O28" s="87" t="n"/>
    </row>
    <row r="29">
      <c r="A29" s="87" t="n"/>
      <c r="B29" s="87" t="n"/>
      <c r="C29" s="87" t="n"/>
      <c r="D29" s="87" t="n"/>
      <c r="E29" s="87" t="n"/>
      <c r="F29" s="87" t="n"/>
      <c r="G29" s="87" t="n"/>
      <c r="H29" s="87" t="n"/>
      <c r="I29" s="87" t="n"/>
      <c r="J29" s="87" t="n"/>
      <c r="K29" s="87" t="n"/>
      <c r="L29" s="87" t="n"/>
      <c r="M29" s="87" t="n"/>
      <c r="N29" s="87" t="n"/>
      <c r="O29" s="87" t="n"/>
    </row>
    <row r="30">
      <c r="A30" s="87" t="n"/>
      <c r="B30" s="87" t="n"/>
      <c r="C30" s="87" t="n"/>
      <c r="D30" s="87" t="n"/>
      <c r="E30" s="87" t="n"/>
      <c r="F30" s="87" t="n"/>
      <c r="G30" s="87" t="n"/>
      <c r="H30" s="87" t="n"/>
      <c r="I30" s="87" t="n"/>
      <c r="J30" s="87" t="n"/>
      <c r="K30" s="87" t="n"/>
      <c r="L30" s="87" t="n"/>
      <c r="M30" s="87" t="n"/>
      <c r="N30" s="87" t="n"/>
      <c r="O30" s="87" t="n"/>
    </row>
    <row r="31">
      <c r="A31" s="87" t="n"/>
      <c r="B31" s="87" t="n"/>
      <c r="C31" s="87" t="n"/>
      <c r="D31" s="87" t="n"/>
      <c r="E31" s="87" t="n"/>
      <c r="F31" s="87" t="n"/>
      <c r="G31" s="87" t="n"/>
      <c r="H31" s="87" t="n"/>
      <c r="I31" s="87" t="n"/>
      <c r="J31" s="87" t="n"/>
      <c r="K31" s="87" t="n"/>
      <c r="L31" s="87" t="n"/>
      <c r="M31" s="87" t="n"/>
      <c r="N31" s="87" t="n"/>
      <c r="O31" s="87" t="n"/>
    </row>
    <row r="32">
      <c r="A32" s="87" t="n"/>
      <c r="B32" s="87" t="n"/>
      <c r="C32" s="87" t="n"/>
      <c r="D32" s="87" t="n"/>
      <c r="E32" s="87" t="n"/>
      <c r="F32" s="87" t="n"/>
      <c r="G32" s="87" t="n"/>
      <c r="H32" s="87" t="n"/>
      <c r="I32" s="87" t="n"/>
      <c r="J32" s="87" t="n"/>
      <c r="K32" s="87" t="n"/>
      <c r="L32" s="87" t="n"/>
      <c r="M32" s="87" t="n"/>
      <c r="N32" s="87" t="n"/>
      <c r="O32" s="87" t="n"/>
    </row>
    <row r="33">
      <c r="A33" s="87" t="n"/>
      <c r="B33" s="87" t="n"/>
      <c r="C33" s="87" t="n"/>
      <c r="D33" s="87" t="n"/>
      <c r="E33" s="87" t="n"/>
      <c r="F33" s="87" t="n"/>
      <c r="G33" s="87" t="n"/>
      <c r="H33" s="87" t="n"/>
      <c r="I33" s="87" t="n"/>
      <c r="J33" s="87" t="n"/>
      <c r="K33" s="87" t="n"/>
      <c r="L33" s="87" t="n"/>
      <c r="M33" s="87" t="n"/>
      <c r="N33" s="87" t="n"/>
      <c r="O33" s="87" t="n"/>
    </row>
    <row r="34">
      <c r="A34" s="87" t="n"/>
      <c r="B34" s="87" t="n"/>
      <c r="C34" s="87" t="n"/>
      <c r="D34" s="87" t="n"/>
      <c r="E34" s="87" t="n"/>
      <c r="F34" s="87" t="n"/>
      <c r="G34" s="87" t="n"/>
      <c r="H34" s="87" t="n"/>
      <c r="I34" s="87" t="n"/>
      <c r="J34" s="87" t="n"/>
      <c r="K34" s="87" t="n"/>
      <c r="L34" s="87" t="n"/>
      <c r="M34" s="87" t="n"/>
      <c r="N34" s="87" t="n"/>
      <c r="O34" s="87" t="n"/>
    </row>
    <row r="35">
      <c r="A35" s="87" t="n"/>
      <c r="B35" s="87" t="n"/>
      <c r="C35" s="87" t="n"/>
      <c r="D35" s="87" t="n"/>
      <c r="E35" s="87" t="n"/>
      <c r="F35" s="87" t="n"/>
      <c r="G35" s="87" t="n"/>
      <c r="H35" s="87" t="n"/>
      <c r="I35" s="87" t="n"/>
      <c r="J35" s="87" t="n"/>
      <c r="K35" s="87" t="n"/>
      <c r="L35" s="87" t="n"/>
      <c r="M35" s="87" t="n"/>
      <c r="N35" s="87" t="n"/>
      <c r="O35" s="87" t="n"/>
    </row>
    <row r="36">
      <c r="A36" s="87" t="n"/>
      <c r="B36" s="87" t="n"/>
      <c r="C36" s="87" t="n"/>
      <c r="D36" s="87" t="n"/>
      <c r="E36" s="87" t="n"/>
      <c r="F36" s="87" t="n"/>
      <c r="G36" s="87" t="n"/>
      <c r="H36" s="87" t="n"/>
      <c r="I36" s="87" t="n"/>
      <c r="J36" s="87" t="n"/>
      <c r="K36" s="87" t="n"/>
      <c r="L36" s="87" t="n"/>
      <c r="M36" s="87" t="n"/>
      <c r="N36" s="87" t="n"/>
      <c r="O36" s="87" t="n"/>
    </row>
    <row r="37">
      <c r="A37" s="87" t="n"/>
      <c r="B37" s="87" t="n"/>
      <c r="C37" s="87" t="n"/>
      <c r="D37" s="87" t="n"/>
      <c r="E37" s="87" t="n"/>
      <c r="F37" s="87" t="n"/>
      <c r="G37" s="87" t="n"/>
      <c r="H37" s="87" t="n"/>
      <c r="I37" s="87" t="n"/>
      <c r="J37" s="87" t="n"/>
      <c r="K37" s="87" t="n"/>
      <c r="L37" s="87" t="n"/>
      <c r="M37" s="87" t="n"/>
      <c r="N37" s="87" t="n"/>
      <c r="O37" s="87" t="n"/>
    </row>
    <row r="38">
      <c r="A38" s="87" t="n"/>
      <c r="B38" s="87" t="n"/>
      <c r="C38" s="87" t="n"/>
      <c r="D38" s="87" t="n"/>
      <c r="E38" s="87" t="n"/>
      <c r="F38" s="87" t="n"/>
      <c r="G38" s="87" t="n"/>
      <c r="H38" s="87" t="n"/>
      <c r="I38" s="87" t="n"/>
      <c r="J38" s="87" t="n"/>
      <c r="K38" s="87" t="n"/>
      <c r="L38" s="87" t="n"/>
      <c r="M38" s="87" t="n"/>
      <c r="N38" s="87" t="n"/>
      <c r="O38" s="87" t="n"/>
    </row>
    <row r="39">
      <c r="A39" s="87" t="n"/>
      <c r="B39" s="87" t="n"/>
      <c r="C39" s="87" t="n"/>
      <c r="D39" s="87" t="n"/>
      <c r="E39" s="87" t="n"/>
      <c r="F39" s="87" t="n"/>
      <c r="G39" s="87" t="n"/>
      <c r="H39" s="87" t="n"/>
      <c r="I39" s="87" t="n"/>
      <c r="J39" s="87" t="n"/>
      <c r="K39" s="87" t="n"/>
      <c r="L39" s="87" t="n"/>
      <c r="M39" s="87" t="n"/>
      <c r="N39" s="87" t="n"/>
      <c r="O39" s="87" t="n"/>
    </row>
    <row r="40">
      <c r="A40" s="87" t="n"/>
      <c r="B40" s="87" t="n"/>
      <c r="C40" s="87" t="n"/>
      <c r="D40" s="87" t="n"/>
      <c r="E40" s="87" t="n"/>
      <c r="F40" s="87" t="n"/>
      <c r="G40" s="87" t="n"/>
      <c r="H40" s="87" t="n"/>
      <c r="I40" s="87" t="n"/>
      <c r="J40" s="87" t="n"/>
      <c r="K40" s="87" t="n"/>
      <c r="L40" s="87" t="n"/>
      <c r="M40" s="87" t="n"/>
      <c r="N40" s="87" t="n"/>
      <c r="O40" s="87" t="n"/>
    </row>
    <row r="41">
      <c r="A41" s="87" t="n"/>
      <c r="B41" s="87" t="n"/>
      <c r="C41" s="87" t="n"/>
      <c r="D41" s="87" t="n"/>
      <c r="E41" s="87" t="n"/>
      <c r="F41" s="87" t="n"/>
      <c r="G41" s="87" t="n"/>
      <c r="H41" s="87" t="n"/>
      <c r="I41" s="87" t="n"/>
      <c r="J41" s="87" t="n"/>
      <c r="K41" s="87" t="n"/>
      <c r="L41" s="87" t="n"/>
      <c r="M41" s="87" t="n"/>
      <c r="N41" s="87" t="n"/>
      <c r="O41" s="87" t="n"/>
    </row>
    <row r="42">
      <c r="A42" s="87" t="n"/>
      <c r="B42" s="87" t="n"/>
      <c r="C42" s="87" t="n"/>
      <c r="D42" s="87" t="n"/>
      <c r="E42" s="87" t="n"/>
      <c r="F42" s="87" t="n"/>
      <c r="G42" s="87" t="n"/>
      <c r="H42" s="87" t="n"/>
      <c r="I42" s="87" t="n"/>
      <c r="J42" s="87" t="n"/>
      <c r="K42" s="87" t="n"/>
      <c r="L42" s="87" t="n"/>
      <c r="M42" s="87" t="n"/>
      <c r="N42" s="87" t="n"/>
      <c r="O42" s="87" t="n"/>
    </row>
    <row r="43">
      <c r="A43" s="87" t="n"/>
      <c r="B43" s="87" t="n"/>
      <c r="C43" s="87" t="n"/>
      <c r="D43" s="87" t="n"/>
      <c r="E43" s="87" t="n"/>
      <c r="F43" s="87" t="n"/>
      <c r="G43" s="87" t="n"/>
      <c r="H43" s="87" t="n"/>
      <c r="I43" s="87" t="n"/>
      <c r="J43" s="87" t="n"/>
      <c r="K43" s="87" t="n"/>
      <c r="L43" s="87" t="n"/>
      <c r="M43" s="87" t="n"/>
      <c r="N43" s="87" t="n"/>
      <c r="O43" s="87" t="n"/>
    </row>
    <row r="44">
      <c r="A44" s="87" t="n"/>
      <c r="B44" s="87" t="n"/>
      <c r="C44" s="87" t="n"/>
      <c r="D44" s="87" t="n"/>
      <c r="E44" s="87" t="n"/>
      <c r="F44" s="87" t="n"/>
      <c r="G44" s="87" t="n"/>
      <c r="H44" s="87" t="n"/>
      <c r="I44" s="87" t="n"/>
      <c r="J44" s="87" t="n"/>
      <c r="K44" s="87" t="n"/>
      <c r="L44" s="87" t="n"/>
      <c r="M44" s="87" t="n"/>
      <c r="N44" s="87" t="n"/>
      <c r="O44" s="87" t="n"/>
    </row>
    <row r="45">
      <c r="A45" s="87" t="n"/>
      <c r="B45" s="87" t="n"/>
      <c r="C45" s="87" t="n"/>
      <c r="D45" s="87" t="n"/>
      <c r="E45" s="87" t="n"/>
      <c r="F45" s="87" t="n"/>
      <c r="G45" s="87" t="n"/>
      <c r="H45" s="87" t="n"/>
      <c r="I45" s="87" t="n"/>
      <c r="J45" s="87" t="n"/>
      <c r="K45" s="87" t="n"/>
      <c r="L45" s="87" t="n"/>
      <c r="M45" s="87" t="n"/>
      <c r="N45" s="87" t="n"/>
      <c r="O45" s="87" t="n"/>
    </row>
    <row r="46">
      <c r="A46" s="87" t="n"/>
      <c r="B46" s="87" t="n"/>
      <c r="C46" s="87" t="n"/>
      <c r="D46" s="87" t="n"/>
      <c r="E46" s="87" t="n"/>
      <c r="F46" s="87" t="n"/>
      <c r="G46" s="87" t="n"/>
      <c r="H46" s="87" t="n"/>
      <c r="I46" s="87" t="n"/>
      <c r="J46" s="87" t="n"/>
      <c r="K46" s="87" t="n"/>
      <c r="L46" s="87" t="n"/>
      <c r="M46" s="87" t="n"/>
      <c r="N46" s="87" t="n"/>
      <c r="O46" s="87" t="n"/>
    </row>
    <row r="47">
      <c r="A47" s="87" t="n"/>
      <c r="B47" s="87" t="n"/>
      <c r="C47" s="87" t="n"/>
      <c r="D47" s="87" t="n"/>
      <c r="E47" s="87" t="n"/>
      <c r="F47" s="87" t="n"/>
      <c r="G47" s="87" t="n"/>
      <c r="H47" s="87" t="n"/>
      <c r="I47" s="87" t="n"/>
      <c r="J47" s="87" t="n"/>
      <c r="K47" s="87" t="n"/>
      <c r="L47" s="87" t="n"/>
      <c r="M47" s="87" t="n"/>
      <c r="N47" s="87" t="n"/>
      <c r="O47" s="87" t="n"/>
    </row>
    <row r="48">
      <c r="A48" s="87" t="n"/>
      <c r="B48" s="87" t="n"/>
      <c r="C48" s="87" t="n"/>
      <c r="D48" s="87" t="n"/>
      <c r="E48" s="87" t="n"/>
      <c r="F48" s="87" t="n"/>
      <c r="G48" s="87" t="n"/>
      <c r="H48" s="87" t="n"/>
      <c r="I48" s="87" t="n"/>
      <c r="J48" s="87" t="n"/>
      <c r="K48" s="87" t="n"/>
      <c r="L48" s="87" t="n"/>
      <c r="M48" s="87" t="n"/>
      <c r="N48" s="87" t="n"/>
      <c r="O48" s="87" t="n"/>
    </row>
    <row r="49">
      <c r="A49" s="87" t="n"/>
      <c r="B49" s="87" t="n"/>
      <c r="C49" s="87" t="n"/>
      <c r="D49" s="87" t="n"/>
      <c r="E49" s="87" t="n"/>
      <c r="F49" s="87" t="n"/>
      <c r="G49" s="87" t="n"/>
      <c r="H49" s="87" t="n"/>
      <c r="I49" s="87" t="n"/>
      <c r="J49" s="87" t="n"/>
      <c r="K49" s="87" t="n"/>
      <c r="L49" s="87" t="n"/>
      <c r="M49" s="87" t="n"/>
      <c r="N49" s="87" t="n"/>
      <c r="O49" s="87" t="n"/>
    </row>
    <row r="50">
      <c r="A50" s="87" t="n"/>
      <c r="B50" s="87" t="n"/>
      <c r="C50" s="87" t="n"/>
      <c r="D50" s="87" t="n"/>
      <c r="E50" s="87" t="n"/>
      <c r="F50" s="87" t="n"/>
      <c r="G50" s="87" t="n"/>
      <c r="H50" s="87" t="n"/>
      <c r="I50" s="87" t="n"/>
      <c r="J50" s="87" t="n"/>
      <c r="K50" s="87" t="n"/>
      <c r="L50" s="87" t="n"/>
      <c r="M50" s="87" t="n"/>
      <c r="N50" s="87" t="n"/>
      <c r="O50" s="87" t="n"/>
    </row>
    <row r="51">
      <c r="A51" s="87" t="n"/>
      <c r="B51" s="87" t="n"/>
      <c r="C51" s="87" t="n"/>
      <c r="D51" s="87" t="n"/>
      <c r="E51" s="87" t="n"/>
      <c r="F51" s="87" t="n"/>
      <c r="G51" s="87" t="n"/>
      <c r="H51" s="87" t="n"/>
      <c r="I51" s="87" t="n"/>
      <c r="J51" s="87" t="n"/>
      <c r="K51" s="87" t="n"/>
      <c r="L51" s="87" t="n"/>
      <c r="M51" s="87" t="n"/>
      <c r="N51" s="87" t="n"/>
      <c r="O51" s="87" t="n"/>
    </row>
    <row r="52">
      <c r="A52" s="87" t="n"/>
      <c r="B52" s="87" t="n"/>
      <c r="C52" s="87" t="n"/>
      <c r="D52" s="87" t="n"/>
      <c r="E52" s="87" t="n"/>
      <c r="F52" s="87" t="n"/>
      <c r="G52" s="87" t="n"/>
      <c r="H52" s="87" t="n"/>
      <c r="I52" s="87" t="n"/>
      <c r="J52" s="87" t="n"/>
      <c r="K52" s="87" t="n"/>
      <c r="L52" s="87" t="n"/>
      <c r="M52" s="87" t="n"/>
      <c r="N52" s="87" t="n"/>
      <c r="O52" s="87" t="n"/>
    </row>
    <row r="53">
      <c r="A53" s="87" t="n"/>
      <c r="B53" s="87" t="n"/>
      <c r="C53" s="87" t="n"/>
      <c r="D53" s="87" t="n"/>
      <c r="E53" s="87" t="n"/>
      <c r="F53" s="87" t="n"/>
      <c r="G53" s="87" t="n"/>
      <c r="H53" s="87" t="n"/>
      <c r="I53" s="87" t="n"/>
      <c r="J53" s="87" t="n"/>
      <c r="K53" s="87" t="n"/>
      <c r="L53" s="87" t="n"/>
      <c r="M53" s="87" t="n"/>
      <c r="N53" s="87" t="n"/>
      <c r="O53" s="87" t="n"/>
    </row>
    <row r="54">
      <c r="A54" s="87" t="n"/>
      <c r="B54" s="87" t="n"/>
      <c r="C54" s="87" t="n"/>
      <c r="D54" s="87" t="n"/>
      <c r="E54" s="87" t="n"/>
      <c r="F54" s="87" t="n"/>
      <c r="G54" s="87" t="n"/>
      <c r="H54" s="87" t="n"/>
      <c r="I54" s="87" t="n"/>
      <c r="J54" s="87" t="n"/>
      <c r="K54" s="87" t="n"/>
      <c r="L54" s="87" t="n"/>
      <c r="M54" s="87" t="n"/>
      <c r="N54" s="87" t="n"/>
      <c r="O54" s="87" t="n"/>
    </row>
    <row r="55">
      <c r="A55" s="87" t="n"/>
      <c r="B55" s="87" t="n"/>
      <c r="C55" s="87" t="n"/>
      <c r="D55" s="87" t="n"/>
      <c r="E55" s="87" t="n"/>
      <c r="F55" s="87" t="n"/>
      <c r="G55" s="87" t="n"/>
      <c r="H55" s="87" t="n"/>
      <c r="I55" s="87" t="n"/>
      <c r="J55" s="87" t="n"/>
      <c r="K55" s="87" t="n"/>
      <c r="L55" s="87" t="n"/>
      <c r="M55" s="87" t="n"/>
      <c r="N55" s="87" t="n"/>
      <c r="O55" s="87" t="n"/>
    </row>
    <row r="56">
      <c r="A56" s="87" t="n"/>
      <c r="B56" s="87" t="n"/>
      <c r="C56" s="87" t="n"/>
      <c r="D56" s="87" t="n"/>
      <c r="E56" s="87" t="n"/>
      <c r="F56" s="87" t="n"/>
      <c r="G56" s="87" t="n"/>
      <c r="H56" s="87" t="n"/>
      <c r="I56" s="87" t="n"/>
      <c r="J56" s="87" t="n"/>
      <c r="K56" s="87" t="n"/>
      <c r="L56" s="87" t="n"/>
      <c r="M56" s="87" t="n"/>
      <c r="N56" s="87" t="n"/>
      <c r="O56" s="87" t="n"/>
    </row>
    <row r="57">
      <c r="A57" s="87" t="n"/>
      <c r="B57" s="87" t="n"/>
      <c r="C57" s="87" t="n"/>
      <c r="D57" s="87" t="n"/>
      <c r="E57" s="87" t="n"/>
      <c r="F57" s="87" t="n"/>
      <c r="G57" s="87" t="n"/>
      <c r="H57" s="87" t="n"/>
      <c r="I57" s="87" t="n"/>
      <c r="J57" s="87" t="n"/>
      <c r="K57" s="87" t="n"/>
      <c r="L57" s="87" t="n"/>
      <c r="M57" s="87" t="n"/>
      <c r="N57" s="87" t="n"/>
      <c r="O57" s="87" t="n"/>
    </row>
    <row r="58">
      <c r="A58" s="87" t="n"/>
      <c r="B58" s="87" t="n"/>
      <c r="C58" s="87" t="n"/>
      <c r="D58" s="87" t="n"/>
      <c r="E58" s="87" t="n"/>
      <c r="F58" s="87" t="n"/>
      <c r="G58" s="87" t="n"/>
      <c r="H58" s="87" t="n"/>
      <c r="I58" s="87" t="n"/>
      <c r="J58" s="87" t="n"/>
      <c r="K58" s="87" t="n"/>
      <c r="L58" s="87" t="n"/>
      <c r="M58" s="87" t="n"/>
      <c r="N58" s="87" t="n"/>
      <c r="O58" s="87" t="n"/>
    </row>
    <row r="59">
      <c r="A59" s="87" t="n"/>
      <c r="B59" s="87" t="n"/>
      <c r="C59" s="87" t="n"/>
      <c r="D59" s="87" t="n"/>
      <c r="E59" s="87" t="n"/>
      <c r="F59" s="87" t="n"/>
      <c r="G59" s="87" t="n"/>
      <c r="H59" s="87" t="n"/>
      <c r="I59" s="87" t="n"/>
      <c r="J59" s="87" t="n"/>
      <c r="K59" s="87" t="n"/>
      <c r="L59" s="87" t="n"/>
      <c r="M59" s="87" t="n"/>
      <c r="N59" s="87" t="n"/>
      <c r="O59" s="87" t="n"/>
    </row>
    <row r="60">
      <c r="A60" s="87" t="n"/>
      <c r="B60" s="87" t="n"/>
      <c r="C60" s="87" t="n"/>
      <c r="D60" s="87" t="n"/>
      <c r="E60" s="87" t="n"/>
      <c r="F60" s="87" t="n"/>
      <c r="G60" s="87" t="n"/>
      <c r="H60" s="87" t="n"/>
      <c r="I60" s="87" t="n"/>
      <c r="J60" s="87" t="n"/>
      <c r="K60" s="87" t="n"/>
      <c r="L60" s="87" t="n"/>
      <c r="M60" s="87" t="n"/>
      <c r="N60" s="87" t="n"/>
      <c r="O60" s="87" t="n"/>
    </row>
    <row r="61">
      <c r="A61" s="87" t="n"/>
      <c r="B61" s="87" t="n"/>
      <c r="C61" s="87" t="n"/>
      <c r="D61" s="87" t="n"/>
      <c r="E61" s="87" t="n"/>
      <c r="F61" s="87" t="n"/>
      <c r="G61" s="87" t="n"/>
      <c r="H61" s="87" t="n"/>
      <c r="I61" s="87" t="n"/>
      <c r="J61" s="87" t="n"/>
      <c r="K61" s="87" t="n"/>
      <c r="L61" s="87" t="n"/>
      <c r="M61" s="87" t="n"/>
      <c r="N61" s="87" t="n"/>
      <c r="O61" s="87" t="n"/>
    </row>
    <row r="62">
      <c r="A62" s="87" t="n"/>
      <c r="B62" s="87" t="n"/>
      <c r="C62" s="87" t="n"/>
      <c r="D62" s="87" t="n"/>
      <c r="E62" s="87" t="n"/>
      <c r="F62" s="87" t="n"/>
      <c r="G62" s="87" t="n"/>
      <c r="H62" s="87" t="n"/>
      <c r="I62" s="87" t="n"/>
      <c r="J62" s="87" t="n"/>
      <c r="K62" s="87" t="n"/>
      <c r="L62" s="87" t="n"/>
      <c r="M62" s="87" t="n"/>
      <c r="N62" s="87" t="n"/>
      <c r="O62" s="87" t="n"/>
    </row>
    <row r="63">
      <c r="A63" s="87" t="n"/>
      <c r="B63" s="87" t="n"/>
      <c r="C63" s="87" t="n"/>
      <c r="D63" s="87" t="n"/>
      <c r="E63" s="87" t="n"/>
      <c r="F63" s="87" t="n"/>
      <c r="G63" s="87" t="n"/>
      <c r="H63" s="87" t="n"/>
      <c r="I63" s="87" t="n"/>
      <c r="J63" s="87" t="n"/>
      <c r="K63" s="87" t="n"/>
      <c r="L63" s="87" t="n"/>
      <c r="M63" s="87" t="n"/>
      <c r="N63" s="87" t="n"/>
      <c r="O63" s="87" t="n"/>
    </row>
    <row r="64">
      <c r="A64" s="87" t="n"/>
      <c r="B64" s="87" t="n"/>
      <c r="C64" s="87" t="n"/>
      <c r="D64" s="87" t="n"/>
      <c r="E64" s="87" t="n"/>
      <c r="F64" s="87" t="n"/>
      <c r="G64" s="87" t="n"/>
      <c r="H64" s="87" t="n"/>
      <c r="I64" s="87" t="n"/>
      <c r="J64" s="87" t="n"/>
      <c r="K64" s="87" t="n"/>
      <c r="L64" s="87" t="n"/>
      <c r="M64" s="87" t="n"/>
      <c r="N64" s="87" t="n"/>
      <c r="O64" s="87" t="n"/>
    </row>
    <row r="65">
      <c r="A65" s="87" t="n"/>
      <c r="B65" s="87" t="n"/>
      <c r="C65" s="87" t="n"/>
      <c r="D65" s="87" t="n"/>
      <c r="E65" s="87" t="n"/>
      <c r="F65" s="87" t="n"/>
      <c r="G65" s="87" t="n"/>
      <c r="H65" s="87" t="n"/>
      <c r="I65" s="87" t="n"/>
      <c r="J65" s="87" t="n"/>
      <c r="K65" s="87" t="n"/>
      <c r="L65" s="87" t="n"/>
      <c r="M65" s="87" t="n"/>
      <c r="N65" s="87" t="n"/>
      <c r="O65" s="87" t="n"/>
    </row>
    <row r="66">
      <c r="A66" s="87" t="n"/>
      <c r="B66" s="87" t="n"/>
      <c r="C66" s="87" t="n"/>
      <c r="D66" s="87" t="n"/>
      <c r="E66" s="87" t="n"/>
      <c r="F66" s="87" t="n"/>
      <c r="G66" s="87" t="n"/>
      <c r="H66" s="87" t="n"/>
      <c r="I66" s="87" t="n"/>
      <c r="J66" s="87" t="n"/>
      <c r="K66" s="87" t="n"/>
      <c r="L66" s="87" t="n"/>
      <c r="M66" s="87" t="n"/>
      <c r="N66" s="87" t="n"/>
      <c r="O66" s="87" t="n"/>
    </row>
    <row r="67">
      <c r="A67" s="87" t="n"/>
      <c r="B67" s="87" t="n"/>
      <c r="C67" s="87" t="n"/>
      <c r="D67" s="87" t="n"/>
      <c r="E67" s="87" t="n"/>
      <c r="F67" s="87" t="n"/>
      <c r="G67" s="87" t="n"/>
      <c r="H67" s="87" t="n"/>
      <c r="I67" s="87" t="n"/>
      <c r="J67" s="87" t="n"/>
      <c r="K67" s="87" t="n"/>
      <c r="L67" s="87" t="n"/>
      <c r="M67" s="87" t="n"/>
      <c r="N67" s="87" t="n"/>
      <c r="O67" s="87" t="n"/>
    </row>
    <row r="68">
      <c r="A68" s="87" t="n"/>
      <c r="B68" s="87" t="n"/>
      <c r="C68" s="87" t="n"/>
      <c r="D68" s="87" t="n"/>
      <c r="E68" s="87" t="n"/>
      <c r="F68" s="87" t="n"/>
      <c r="G68" s="87" t="n"/>
      <c r="H68" s="87" t="n"/>
      <c r="I68" s="87" t="n"/>
      <c r="J68" s="87" t="n"/>
      <c r="K68" s="87" t="n"/>
      <c r="L68" s="87" t="n"/>
      <c r="M68" s="87" t="n"/>
      <c r="N68" s="87" t="n"/>
      <c r="O68" s="87" t="n"/>
    </row>
    <row r="69">
      <c r="A69" s="87" t="n"/>
      <c r="B69" s="87" t="n"/>
      <c r="C69" s="87" t="n"/>
      <c r="D69" s="87" t="n"/>
      <c r="E69" s="87" t="n"/>
      <c r="F69" s="87" t="n"/>
      <c r="G69" s="87" t="n"/>
      <c r="H69" s="87" t="n"/>
      <c r="I69" s="87" t="n"/>
      <c r="J69" s="87" t="n"/>
      <c r="K69" s="87" t="n"/>
      <c r="L69" s="87" t="n"/>
      <c r="M69" s="87" t="n"/>
      <c r="N69" s="87" t="n"/>
      <c r="O69" s="87" t="n"/>
    </row>
    <row r="70">
      <c r="A70" s="87" t="n"/>
      <c r="B70" s="87" t="n"/>
      <c r="C70" s="87" t="n"/>
      <c r="D70" s="87" t="n"/>
      <c r="E70" s="87" t="n"/>
      <c r="F70" s="87" t="n"/>
      <c r="G70" s="87" t="n"/>
      <c r="H70" s="87" t="n"/>
      <c r="I70" s="87" t="n"/>
      <c r="J70" s="87" t="n"/>
      <c r="K70" s="87" t="n"/>
      <c r="L70" s="87" t="n"/>
      <c r="M70" s="87" t="n"/>
      <c r="N70" s="87" t="n"/>
      <c r="O70" s="87" t="n"/>
    </row>
    <row r="71">
      <c r="A71" s="87" t="n"/>
      <c r="B71" s="87" t="n"/>
      <c r="C71" s="87" t="n"/>
      <c r="D71" s="87" t="n"/>
      <c r="E71" s="87" t="n"/>
      <c r="F71" s="87" t="n"/>
      <c r="G71" s="87" t="n"/>
      <c r="H71" s="87" t="n"/>
      <c r="I71" s="87" t="n"/>
      <c r="J71" s="87" t="n"/>
      <c r="K71" s="87" t="n"/>
      <c r="L71" s="87" t="n"/>
      <c r="M71" s="87" t="n"/>
      <c r="N71" s="87" t="n"/>
      <c r="O71" s="87" t="n"/>
    </row>
    <row r="72">
      <c r="A72" s="87" t="n"/>
      <c r="B72" s="87" t="n"/>
      <c r="C72" s="87" t="n"/>
      <c r="D72" s="87" t="n"/>
      <c r="E72" s="87" t="n"/>
      <c r="F72" s="87" t="n"/>
      <c r="G72" s="87" t="n"/>
      <c r="H72" s="87" t="n"/>
      <c r="I72" s="87" t="n"/>
      <c r="J72" s="87" t="n"/>
      <c r="K72" s="87" t="n"/>
      <c r="L72" s="87" t="n"/>
      <c r="M72" s="87" t="n"/>
      <c r="N72" s="87" t="n"/>
      <c r="O72" s="87" t="n"/>
    </row>
    <row r="73">
      <c r="A73" s="87" t="n"/>
      <c r="B73" s="87" t="n"/>
      <c r="C73" s="87" t="n"/>
      <c r="D73" s="87" t="n"/>
      <c r="E73" s="87" t="n"/>
      <c r="F73" s="87" t="n"/>
      <c r="G73" s="87" t="n"/>
      <c r="H73" s="87" t="n"/>
      <c r="I73" s="87" t="n"/>
      <c r="J73" s="87" t="n"/>
      <c r="K73" s="87" t="n"/>
      <c r="L73" s="87" t="n"/>
      <c r="M73" s="87" t="n"/>
      <c r="N73" s="87" t="n"/>
      <c r="O73" s="87" t="n"/>
    </row>
    <row r="74">
      <c r="A74" s="87" t="n"/>
      <c r="B74" s="87" t="n"/>
      <c r="C74" s="87" t="n"/>
      <c r="D74" s="87" t="n"/>
      <c r="E74" s="87" t="n"/>
      <c r="F74" s="87" t="n"/>
      <c r="G74" s="87" t="n"/>
      <c r="H74" s="87" t="n"/>
      <c r="I74" s="87" t="n"/>
      <c r="J74" s="87" t="n"/>
      <c r="K74" s="87" t="n"/>
      <c r="L74" s="87" t="n"/>
      <c r="M74" s="87" t="n"/>
      <c r="N74" s="87" t="n"/>
      <c r="O74" s="87" t="n"/>
    </row>
    <row r="75">
      <c r="A75" s="87" t="n"/>
      <c r="B75" s="87" t="n"/>
      <c r="C75" s="87" t="n"/>
      <c r="D75" s="87" t="n"/>
      <c r="E75" s="87" t="n"/>
      <c r="F75" s="87" t="n"/>
      <c r="G75" s="87" t="n"/>
      <c r="H75" s="87" t="n"/>
      <c r="I75" s="87" t="n"/>
      <c r="J75" s="87" t="n"/>
      <c r="K75" s="87" t="n"/>
      <c r="L75" s="87" t="n"/>
      <c r="M75" s="87" t="n"/>
      <c r="N75" s="87" t="n"/>
      <c r="O75" s="87" t="n"/>
    </row>
    <row r="76">
      <c r="A76" s="87" t="n"/>
      <c r="B76" s="87" t="n"/>
      <c r="C76" s="87" t="n"/>
      <c r="D76" s="87" t="n"/>
      <c r="E76" s="87" t="n"/>
      <c r="F76" s="87" t="n"/>
      <c r="G76" s="87" t="n"/>
      <c r="H76" s="87" t="n"/>
      <c r="I76" s="87" t="n"/>
      <c r="J76" s="87" t="n"/>
      <c r="K76" s="87" t="n"/>
      <c r="L76" s="87" t="n"/>
      <c r="M76" s="87" t="n"/>
      <c r="N76" s="87" t="n"/>
      <c r="O76" s="87" t="n"/>
    </row>
    <row r="77">
      <c r="A77" s="87" t="n"/>
      <c r="B77" s="87" t="n"/>
      <c r="C77" s="87" t="n"/>
      <c r="D77" s="87" t="n"/>
      <c r="E77" s="87" t="n"/>
      <c r="F77" s="87" t="n"/>
      <c r="G77" s="87" t="n"/>
      <c r="H77" s="87" t="n"/>
      <c r="I77" s="87" t="n"/>
      <c r="J77" s="87" t="n"/>
      <c r="K77" s="87" t="n"/>
      <c r="L77" s="87" t="n"/>
      <c r="M77" s="87" t="n"/>
      <c r="N77" s="87" t="n"/>
      <c r="O77" s="87" t="n"/>
    </row>
    <row r="78">
      <c r="A78" s="87" t="n"/>
      <c r="B78" s="87" t="n"/>
      <c r="C78" s="87" t="n"/>
      <c r="D78" s="87" t="n"/>
      <c r="E78" s="87" t="n"/>
      <c r="F78" s="87" t="n"/>
      <c r="G78" s="87" t="n"/>
      <c r="H78" s="87" t="n"/>
      <c r="I78" s="87" t="n"/>
      <c r="J78" s="87" t="n"/>
      <c r="K78" s="87" t="n"/>
      <c r="L78" s="87" t="n"/>
      <c r="M78" s="87" t="n"/>
      <c r="N78" s="87" t="n"/>
      <c r="O78" s="87" t="n"/>
    </row>
    <row r="79">
      <c r="A79" s="87" t="n"/>
      <c r="B79" s="87" t="n"/>
      <c r="C79" s="87" t="n"/>
      <c r="D79" s="87" t="n"/>
      <c r="E79" s="87" t="n"/>
      <c r="F79" s="87" t="n"/>
      <c r="G79" s="87" t="n"/>
      <c r="H79" s="87" t="n"/>
      <c r="I79" s="87" t="n"/>
      <c r="J79" s="87" t="n"/>
      <c r="K79" s="87" t="n"/>
      <c r="L79" s="87" t="n"/>
      <c r="M79" s="87" t="n"/>
      <c r="N79" s="87" t="n"/>
      <c r="O79" s="87" t="n"/>
    </row>
    <row r="80">
      <c r="A80" s="87" t="n"/>
      <c r="B80" s="87" t="n"/>
      <c r="C80" s="87" t="n"/>
      <c r="D80" s="87" t="n"/>
      <c r="E80" s="87" t="n"/>
      <c r="F80" s="87" t="n"/>
      <c r="G80" s="87" t="n"/>
      <c r="H80" s="87" t="n"/>
      <c r="I80" s="87" t="n"/>
      <c r="J80" s="87" t="n"/>
      <c r="K80" s="87" t="n"/>
      <c r="L80" s="87" t="n"/>
      <c r="M80" s="87" t="n"/>
      <c r="N80" s="87" t="n"/>
      <c r="O80" s="87" t="n"/>
    </row>
    <row r="81">
      <c r="A81" s="87" t="n"/>
      <c r="B81" s="87" t="n"/>
      <c r="C81" s="87" t="n"/>
      <c r="D81" s="87" t="n"/>
      <c r="E81" s="87" t="n"/>
      <c r="F81" s="87" t="n"/>
      <c r="G81" s="87" t="n"/>
      <c r="H81" s="87" t="n"/>
      <c r="I81" s="87" t="n"/>
      <c r="J81" s="87" t="n"/>
      <c r="K81" s="87" t="n"/>
      <c r="L81" s="87" t="n"/>
      <c r="M81" s="87" t="n"/>
      <c r="N81" s="87" t="n"/>
      <c r="O81" s="87" t="n"/>
    </row>
    <row r="82">
      <c r="A82" s="87" t="n"/>
      <c r="B82" s="87" t="n"/>
      <c r="C82" s="87" t="n"/>
      <c r="D82" s="87" t="n"/>
      <c r="E82" s="87" t="n"/>
      <c r="F82" s="87" t="n"/>
      <c r="G82" s="87" t="n"/>
      <c r="H82" s="87" t="n"/>
      <c r="I82" s="87" t="n"/>
      <c r="J82" s="87" t="n"/>
      <c r="K82" s="87" t="n"/>
      <c r="L82" s="87" t="n"/>
      <c r="M82" s="87" t="n"/>
      <c r="N82" s="87" t="n"/>
      <c r="O82" s="87" t="n"/>
    </row>
    <row r="83">
      <c r="A83" s="87" t="n"/>
      <c r="B83" s="87" t="n"/>
      <c r="C83" s="87" t="n"/>
      <c r="D83" s="87" t="n"/>
      <c r="E83" s="87" t="n"/>
      <c r="F83" s="87" t="n"/>
      <c r="G83" s="87" t="n"/>
      <c r="H83" s="87" t="n"/>
      <c r="I83" s="87" t="n"/>
      <c r="J83" s="87" t="n"/>
      <c r="K83" s="87" t="n"/>
      <c r="L83" s="87" t="n"/>
      <c r="M83" s="87" t="n"/>
      <c r="N83" s="87" t="n"/>
      <c r="O83" s="87" t="n"/>
    </row>
    <row r="84">
      <c r="A84" s="87" t="n"/>
      <c r="B84" s="87" t="n"/>
      <c r="C84" s="87" t="n"/>
      <c r="D84" s="87" t="n"/>
      <c r="E84" s="87" t="n"/>
      <c r="F84" s="87" t="n"/>
      <c r="G84" s="87" t="n"/>
      <c r="H84" s="87" t="n"/>
      <c r="I84" s="87" t="n"/>
      <c r="J84" s="87" t="n"/>
      <c r="K84" s="87" t="n"/>
      <c r="L84" s="87" t="n"/>
      <c r="M84" s="87" t="n"/>
      <c r="N84" s="87" t="n"/>
      <c r="O84" s="87" t="n"/>
    </row>
    <row r="85">
      <c r="A85" s="87" t="n"/>
      <c r="B85" s="87" t="n"/>
      <c r="C85" s="87" t="n"/>
      <c r="D85" s="87" t="n"/>
      <c r="E85" s="87" t="n"/>
      <c r="F85" s="87" t="n"/>
      <c r="G85" s="87" t="n"/>
      <c r="H85" s="87" t="n"/>
      <c r="I85" s="87" t="n"/>
      <c r="J85" s="87" t="n"/>
      <c r="K85" s="87" t="n"/>
      <c r="L85" s="87" t="n"/>
      <c r="M85" s="87" t="n"/>
      <c r="N85" s="87" t="n"/>
      <c r="O85" s="87" t="n"/>
    </row>
    <row r="86">
      <c r="A86" s="87" t="n"/>
      <c r="B86" s="87" t="n"/>
      <c r="C86" s="87" t="n"/>
      <c r="D86" s="87" t="n"/>
      <c r="E86" s="87" t="n"/>
      <c r="F86" s="87" t="n"/>
      <c r="G86" s="87" t="n"/>
      <c r="H86" s="87" t="n"/>
      <c r="I86" s="87" t="n"/>
      <c r="J86" s="87" t="n"/>
      <c r="K86" s="87" t="n"/>
      <c r="L86" s="87" t="n"/>
      <c r="M86" s="87" t="n"/>
      <c r="N86" s="87" t="n"/>
      <c r="O86" s="87" t="n"/>
    </row>
    <row r="87">
      <c r="A87" s="87" t="n"/>
      <c r="B87" s="87" t="n"/>
      <c r="C87" s="87" t="n"/>
      <c r="D87" s="87" t="n"/>
      <c r="E87" s="87" t="n"/>
      <c r="F87" s="87" t="n"/>
      <c r="G87" s="87" t="n"/>
      <c r="H87" s="87" t="n"/>
      <c r="I87" s="87" t="n"/>
      <c r="J87" s="87" t="n"/>
      <c r="K87" s="87" t="n"/>
      <c r="L87" s="87" t="n"/>
      <c r="M87" s="87" t="n"/>
      <c r="N87" s="87" t="n"/>
      <c r="O87" s="87" t="n"/>
    </row>
    <row r="88">
      <c r="A88" s="87" t="n"/>
      <c r="B88" s="87" t="n"/>
      <c r="C88" s="87" t="n"/>
      <c r="D88" s="87" t="n"/>
      <c r="E88" s="87" t="n"/>
      <c r="F88" s="87" t="n"/>
      <c r="G88" s="87" t="n"/>
      <c r="H88" s="87" t="n"/>
      <c r="I88" s="87" t="n"/>
      <c r="J88" s="87" t="n"/>
      <c r="K88" s="87" t="n"/>
      <c r="L88" s="87" t="n"/>
      <c r="M88" s="87" t="n"/>
      <c r="N88" s="87" t="n"/>
      <c r="O88" s="87" t="n"/>
    </row>
    <row r="89">
      <c r="A89" s="87" t="n"/>
      <c r="B89" s="87" t="n"/>
      <c r="C89" s="87" t="n"/>
      <c r="D89" s="87" t="n"/>
      <c r="E89" s="87" t="n"/>
      <c r="F89" s="87" t="n"/>
      <c r="G89" s="87" t="n"/>
      <c r="H89" s="87" t="n"/>
      <c r="I89" s="87" t="n"/>
      <c r="J89" s="87" t="n"/>
      <c r="K89" s="87" t="n"/>
      <c r="L89" s="87" t="n"/>
      <c r="M89" s="87" t="n"/>
      <c r="N89" s="87" t="n"/>
      <c r="O89" s="87" t="n"/>
    </row>
    <row r="90">
      <c r="A90" s="87" t="n"/>
      <c r="B90" s="87" t="n"/>
      <c r="C90" s="87" t="n"/>
      <c r="D90" s="87" t="n"/>
      <c r="E90" s="87" t="n"/>
      <c r="F90" s="87" t="n"/>
      <c r="G90" s="87" t="n"/>
      <c r="H90" s="87" t="n"/>
      <c r="I90" s="87" t="n"/>
      <c r="J90" s="87" t="n"/>
      <c r="K90" s="87" t="n"/>
      <c r="L90" s="87" t="n"/>
      <c r="M90" s="87" t="n"/>
      <c r="N90" s="87" t="n"/>
      <c r="O90" s="87" t="n"/>
    </row>
    <row r="91">
      <c r="A91" s="87" t="n"/>
      <c r="B91" s="87" t="n"/>
      <c r="C91" s="87" t="n"/>
      <c r="D91" s="87" t="n"/>
      <c r="E91" s="87" t="n"/>
      <c r="F91" s="87" t="n"/>
      <c r="G91" s="87" t="n"/>
      <c r="H91" s="87" t="n"/>
      <c r="I91" s="87" t="n"/>
      <c r="J91" s="87" t="n"/>
      <c r="K91" s="87" t="n"/>
      <c r="L91" s="87" t="n"/>
      <c r="M91" s="87" t="n"/>
      <c r="N91" s="87" t="n"/>
      <c r="O91" s="87" t="n"/>
    </row>
    <row r="92">
      <c r="A92" s="87" t="n"/>
      <c r="B92" s="87" t="n"/>
      <c r="C92" s="87" t="n"/>
      <c r="D92" s="87" t="n"/>
      <c r="E92" s="87" t="n"/>
      <c r="F92" s="87" t="n"/>
      <c r="G92" s="87" t="n"/>
      <c r="H92" s="87" t="n"/>
      <c r="I92" s="87" t="n"/>
      <c r="J92" s="87" t="n"/>
      <c r="K92" s="87" t="n"/>
      <c r="L92" s="87" t="n"/>
      <c r="M92" s="87" t="n"/>
      <c r="N92" s="87" t="n"/>
      <c r="O92" s="87" t="n"/>
    </row>
    <row r="93">
      <c r="A93" s="87" t="n"/>
      <c r="B93" s="87" t="n"/>
      <c r="C93" s="87" t="n"/>
      <c r="D93" s="87" t="n"/>
      <c r="E93" s="87" t="n"/>
      <c r="F93" s="87" t="n"/>
      <c r="G93" s="87" t="n"/>
      <c r="H93" s="87" t="n"/>
      <c r="I93" s="87" t="n"/>
      <c r="J93" s="87" t="n"/>
      <c r="K93" s="87" t="n"/>
      <c r="L93" s="87" t="n"/>
      <c r="M93" s="87" t="n"/>
      <c r="N93" s="87" t="n"/>
      <c r="O93" s="87" t="n"/>
    </row>
    <row r="94">
      <c r="A94" s="87" t="n"/>
      <c r="B94" s="87" t="n"/>
      <c r="C94" s="87" t="n"/>
      <c r="D94" s="87" t="n"/>
      <c r="E94" s="87" t="n"/>
      <c r="F94" s="87" t="n"/>
      <c r="G94" s="87" t="n"/>
      <c r="H94" s="87" t="n"/>
      <c r="I94" s="87" t="n"/>
      <c r="J94" s="87" t="n"/>
      <c r="K94" s="87" t="n"/>
      <c r="L94" s="87" t="n"/>
      <c r="M94" s="87" t="n"/>
      <c r="N94" s="87" t="n"/>
      <c r="O94" s="87" t="n"/>
    </row>
    <row r="95">
      <c r="A95" s="87" t="n"/>
      <c r="B95" s="87" t="n"/>
      <c r="C95" s="87" t="n"/>
      <c r="D95" s="87" t="n"/>
      <c r="E95" s="87" t="n"/>
      <c r="F95" s="87" t="n"/>
      <c r="G95" s="87" t="n"/>
      <c r="H95" s="87" t="n"/>
      <c r="I95" s="87" t="n"/>
      <c r="J95" s="87" t="n"/>
      <c r="K95" s="87" t="n"/>
      <c r="L95" s="87" t="n"/>
      <c r="M95" s="87" t="n"/>
      <c r="N95" s="87" t="n"/>
      <c r="O95" s="87" t="n"/>
    </row>
    <row r="96">
      <c r="A96" s="87" t="n"/>
      <c r="B96" s="87" t="n"/>
      <c r="C96" s="87" t="n"/>
      <c r="D96" s="87" t="n"/>
      <c r="E96" s="87" t="n"/>
      <c r="F96" s="87" t="n"/>
      <c r="G96" s="87" t="n"/>
      <c r="H96" s="87" t="n"/>
      <c r="I96" s="87" t="n"/>
      <c r="J96" s="87" t="n"/>
      <c r="K96" s="87" t="n"/>
      <c r="L96" s="87" t="n"/>
      <c r="M96" s="87" t="n"/>
      <c r="N96" s="87" t="n"/>
      <c r="O96" s="87" t="n"/>
    </row>
    <row r="97">
      <c r="A97" s="87" t="n"/>
      <c r="B97" s="87" t="n"/>
      <c r="C97" s="87" t="n"/>
      <c r="D97" s="87" t="n"/>
      <c r="E97" s="87" t="n"/>
      <c r="F97" s="87" t="n"/>
      <c r="G97" s="87" t="n"/>
      <c r="H97" s="87" t="n"/>
      <c r="I97" s="87" t="n"/>
      <c r="J97" s="87" t="n"/>
      <c r="K97" s="87" t="n"/>
      <c r="L97" s="87" t="n"/>
      <c r="M97" s="87" t="n"/>
      <c r="N97" s="87" t="n"/>
      <c r="O97" s="87" t="n"/>
    </row>
    <row r="98">
      <c r="A98" s="87" t="n"/>
      <c r="B98" s="87" t="n"/>
      <c r="C98" s="87" t="n"/>
      <c r="D98" s="87" t="n"/>
      <c r="E98" s="87" t="n"/>
      <c r="F98" s="87" t="n"/>
      <c r="G98" s="87" t="n"/>
      <c r="H98" s="87" t="n"/>
      <c r="I98" s="87" t="n"/>
      <c r="J98" s="87" t="n"/>
      <c r="K98" s="87" t="n"/>
      <c r="L98" s="87" t="n"/>
      <c r="M98" s="87" t="n"/>
      <c r="N98" s="87" t="n"/>
      <c r="O98" s="87" t="n"/>
    </row>
    <row r="99">
      <c r="A99" s="87" t="n"/>
      <c r="B99" s="87" t="n"/>
      <c r="C99" s="87" t="n"/>
      <c r="D99" s="87" t="n"/>
      <c r="E99" s="87" t="n"/>
      <c r="F99" s="87" t="n"/>
      <c r="G99" s="87" t="n"/>
      <c r="H99" s="87" t="n"/>
      <c r="I99" s="87" t="n"/>
      <c r="J99" s="87" t="n"/>
      <c r="K99" s="87" t="n"/>
      <c r="L99" s="87" t="n"/>
      <c r="M99" s="87" t="n"/>
      <c r="N99" s="87" t="n"/>
      <c r="O99" s="87" t="n"/>
    </row>
    <row r="100">
      <c r="A100" s="87" t="n"/>
      <c r="B100" s="87" t="n"/>
      <c r="C100" s="87" t="n"/>
      <c r="D100" s="87" t="n"/>
      <c r="E100" s="87" t="n"/>
      <c r="F100" s="87" t="n"/>
      <c r="G100" s="87" t="n"/>
      <c r="H100" s="87" t="n"/>
      <c r="I100" s="87" t="n"/>
      <c r="J100" s="87" t="n"/>
      <c r="K100" s="87" t="n"/>
      <c r="L100" s="87" t="n"/>
      <c r="M100" s="87" t="n"/>
      <c r="N100" s="87" t="n"/>
      <c r="O100" s="87" t="n"/>
    </row>
    <row r="101">
      <c r="A101" s="87" t="n"/>
      <c r="B101" s="87" t="n"/>
      <c r="C101" s="87" t="n"/>
      <c r="D101" s="87" t="n"/>
      <c r="E101" s="87" t="n"/>
      <c r="F101" s="87" t="n"/>
      <c r="G101" s="87" t="n"/>
      <c r="H101" s="87" t="n"/>
      <c r="I101" s="87" t="n"/>
      <c r="J101" s="87" t="n"/>
      <c r="K101" s="87" t="n"/>
      <c r="L101" s="87" t="n"/>
      <c r="M101" s="87" t="n"/>
      <c r="N101" s="87" t="n"/>
      <c r="O101" s="87" t="n"/>
    </row>
    <row r="102">
      <c r="A102" s="87" t="n"/>
      <c r="B102" s="87" t="n"/>
      <c r="C102" s="87" t="n"/>
      <c r="D102" s="87" t="n"/>
      <c r="E102" s="87" t="n"/>
      <c r="F102" s="87" t="n"/>
      <c r="G102" s="87" t="n"/>
      <c r="H102" s="87" t="n"/>
      <c r="I102" s="87" t="n"/>
      <c r="J102" s="87" t="n"/>
      <c r="K102" s="87" t="n"/>
      <c r="L102" s="87" t="n"/>
      <c r="M102" s="87" t="n"/>
      <c r="N102" s="87" t="n"/>
      <c r="O102" s="87" t="n"/>
    </row>
    <row r="103">
      <c r="A103" s="87" t="n"/>
      <c r="B103" s="87" t="n"/>
      <c r="C103" s="87" t="n"/>
      <c r="D103" s="87" t="n"/>
      <c r="E103" s="87" t="n"/>
      <c r="F103" s="87" t="n"/>
      <c r="G103" s="87" t="n"/>
      <c r="H103" s="87" t="n"/>
      <c r="I103" s="87" t="n"/>
      <c r="J103" s="87" t="n"/>
      <c r="K103" s="87" t="n"/>
      <c r="L103" s="87" t="n"/>
      <c r="M103" s="87" t="n"/>
      <c r="N103" s="87" t="n"/>
      <c r="O103" s="87" t="n"/>
    </row>
    <row r="104">
      <c r="A104" s="87" t="n"/>
      <c r="B104" s="87" t="n"/>
      <c r="C104" s="87" t="n"/>
      <c r="D104" s="87" t="n"/>
      <c r="E104" s="87" t="n"/>
      <c r="F104" s="87" t="n"/>
      <c r="G104" s="87" t="n"/>
      <c r="H104" s="87" t="n"/>
      <c r="I104" s="87" t="n"/>
      <c r="J104" s="87" t="n"/>
      <c r="K104" s="87" t="n"/>
      <c r="L104" s="87" t="n"/>
      <c r="M104" s="87" t="n"/>
      <c r="N104" s="87" t="n"/>
      <c r="O104" s="87" t="n"/>
    </row>
    <row r="105">
      <c r="A105" s="87" t="n"/>
      <c r="B105" s="87" t="n"/>
      <c r="C105" s="87" t="n"/>
      <c r="D105" s="87" t="n"/>
      <c r="E105" s="87" t="n"/>
      <c r="F105" s="87" t="n"/>
      <c r="G105" s="87" t="n"/>
      <c r="H105" s="87" t="n"/>
      <c r="I105" s="87" t="n"/>
      <c r="J105" s="87" t="n"/>
      <c r="K105" s="87" t="n"/>
      <c r="L105" s="87" t="n"/>
      <c r="M105" s="87" t="n"/>
      <c r="N105" s="87" t="n"/>
      <c r="O105" s="87" t="n"/>
    </row>
    <row r="106">
      <c r="A106" s="87" t="n"/>
      <c r="B106" s="87" t="n"/>
      <c r="C106" s="87" t="n"/>
      <c r="D106" s="87" t="n"/>
      <c r="E106" s="87" t="n"/>
      <c r="F106" s="87" t="n"/>
      <c r="G106" s="87" t="n"/>
      <c r="H106" s="87" t="n"/>
      <c r="I106" s="87" t="n"/>
      <c r="J106" s="87" t="n"/>
      <c r="K106" s="87" t="n"/>
      <c r="L106" s="87" t="n"/>
      <c r="M106" s="87" t="n"/>
      <c r="N106" s="87" t="n"/>
      <c r="O106" s="87" t="n"/>
    </row>
    <row r="107">
      <c r="A107" s="87" t="n"/>
      <c r="B107" s="87" t="n"/>
      <c r="C107" s="87" t="n"/>
      <c r="D107" s="87" t="n"/>
      <c r="E107" s="87" t="n"/>
      <c r="F107" s="87" t="n"/>
      <c r="G107" s="87" t="n"/>
      <c r="H107" s="87" t="n"/>
      <c r="I107" s="87" t="n"/>
      <c r="J107" s="87" t="n"/>
      <c r="K107" s="87" t="n"/>
      <c r="L107" s="87" t="n"/>
      <c r="M107" s="87" t="n"/>
      <c r="N107" s="87" t="n"/>
      <c r="O107" s="87" t="n"/>
    </row>
    <row r="108">
      <c r="A108" s="87" t="n"/>
      <c r="B108" s="87" t="n"/>
      <c r="C108" s="87" t="n"/>
      <c r="D108" s="87" t="n"/>
      <c r="E108" s="87" t="n"/>
      <c r="F108" s="87" t="n"/>
      <c r="G108" s="87" t="n"/>
      <c r="H108" s="87" t="n"/>
      <c r="I108" s="87" t="n"/>
      <c r="J108" s="87" t="n"/>
      <c r="K108" s="87" t="n"/>
      <c r="L108" s="87" t="n"/>
      <c r="M108" s="87" t="n"/>
      <c r="N108" s="87" t="n"/>
      <c r="O108" s="87" t="n"/>
    </row>
    <row r="109">
      <c r="A109" s="87" t="n"/>
      <c r="B109" s="87" t="n"/>
      <c r="C109" s="87" t="n"/>
      <c r="D109" s="87" t="n"/>
      <c r="E109" s="87" t="n"/>
      <c r="F109" s="87" t="n"/>
      <c r="G109" s="87" t="n"/>
      <c r="H109" s="87" t="n"/>
      <c r="I109" s="87" t="n"/>
      <c r="J109" s="87" t="n"/>
      <c r="K109" s="87" t="n"/>
      <c r="L109" s="87" t="n"/>
      <c r="M109" s="87" t="n"/>
      <c r="N109" s="87" t="n"/>
      <c r="O109" s="87" t="n"/>
    </row>
    <row r="110">
      <c r="A110" s="87" t="n"/>
      <c r="B110" s="87" t="n"/>
      <c r="C110" s="87" t="n"/>
      <c r="D110" s="87" t="n"/>
      <c r="E110" s="87" t="n"/>
      <c r="F110" s="87" t="n"/>
      <c r="G110" s="87" t="n"/>
      <c r="H110" s="87" t="n"/>
      <c r="I110" s="87" t="n"/>
      <c r="J110" s="87" t="n"/>
      <c r="K110" s="87" t="n"/>
      <c r="L110" s="87" t="n"/>
      <c r="M110" s="87" t="n"/>
      <c r="N110" s="87" t="n"/>
      <c r="O110" s="87" t="n"/>
    </row>
    <row r="111">
      <c r="A111" s="87" t="n"/>
      <c r="B111" s="87" t="n"/>
      <c r="C111" s="87" t="n"/>
      <c r="D111" s="87" t="n"/>
      <c r="E111" s="87" t="n"/>
      <c r="F111" s="87" t="n"/>
      <c r="G111" s="87" t="n"/>
      <c r="H111" s="87" t="n"/>
      <c r="I111" s="87" t="n"/>
      <c r="J111" s="87" t="n"/>
      <c r="K111" s="87" t="n"/>
      <c r="L111" s="87" t="n"/>
      <c r="M111" s="87" t="n"/>
      <c r="N111" s="87" t="n"/>
      <c r="O111" s="87" t="n"/>
    </row>
    <row r="112">
      <c r="A112" s="87" t="n"/>
      <c r="B112" s="87" t="n"/>
      <c r="C112" s="87" t="n"/>
      <c r="D112" s="87" t="n"/>
      <c r="E112" s="87" t="n"/>
      <c r="F112" s="87" t="n"/>
      <c r="G112" s="87" t="n"/>
      <c r="H112" s="87" t="n"/>
      <c r="I112" s="87" t="n"/>
      <c r="J112" s="87" t="n"/>
      <c r="K112" s="87" t="n"/>
      <c r="L112" s="87" t="n"/>
      <c r="M112" s="87" t="n"/>
      <c r="N112" s="87" t="n"/>
      <c r="O112" s="87" t="n"/>
    </row>
    <row r="113">
      <c r="A113" s="87" t="n"/>
      <c r="B113" s="87" t="n"/>
      <c r="C113" s="87" t="n"/>
      <c r="D113" s="87" t="n"/>
      <c r="E113" s="87" t="n"/>
      <c r="F113" s="87" t="n"/>
      <c r="G113" s="87" t="n"/>
      <c r="H113" s="87" t="n"/>
      <c r="I113" s="87" t="n"/>
      <c r="J113" s="87" t="n"/>
      <c r="K113" s="87" t="n"/>
      <c r="L113" s="87" t="n"/>
      <c r="M113" s="87" t="n"/>
      <c r="N113" s="87" t="n"/>
      <c r="O113" s="87" t="n"/>
    </row>
    <row r="114">
      <c r="A114" s="87" t="n"/>
      <c r="B114" s="87" t="n"/>
      <c r="C114" s="87" t="n"/>
      <c r="D114" s="87" t="n"/>
      <c r="E114" s="87" t="n"/>
      <c r="F114" s="87" t="n"/>
      <c r="G114" s="87" t="n"/>
      <c r="H114" s="87" t="n"/>
      <c r="I114" s="87" t="n"/>
      <c r="J114" s="87" t="n"/>
      <c r="K114" s="87" t="n"/>
      <c r="L114" s="87" t="n"/>
      <c r="M114" s="87" t="n"/>
      <c r="N114" s="87" t="n"/>
      <c r="O114" s="87" t="n"/>
    </row>
    <row r="115">
      <c r="A115" s="87" t="n"/>
      <c r="B115" s="87" t="n"/>
      <c r="C115" s="87" t="n"/>
      <c r="D115" s="87" t="n"/>
      <c r="E115" s="87" t="n"/>
      <c r="F115" s="87" t="n"/>
      <c r="G115" s="87" t="n"/>
      <c r="H115" s="87" t="n"/>
      <c r="I115" s="87" t="n"/>
      <c r="J115" s="87" t="n"/>
      <c r="K115" s="87" t="n"/>
      <c r="L115" s="87" t="n"/>
      <c r="M115" s="87" t="n"/>
      <c r="N115" s="87" t="n"/>
      <c r="O115" s="87" t="n"/>
    </row>
    <row r="116">
      <c r="A116" s="87" t="n"/>
      <c r="B116" s="87" t="n"/>
      <c r="C116" s="87" t="n"/>
      <c r="D116" s="87" t="n"/>
      <c r="E116" s="87" t="n"/>
      <c r="F116" s="87" t="n"/>
      <c r="G116" s="87" t="n"/>
      <c r="H116" s="87" t="n"/>
      <c r="I116" s="87" t="n"/>
      <c r="J116" s="87" t="n"/>
      <c r="K116" s="87" t="n"/>
      <c r="L116" s="87" t="n"/>
      <c r="M116" s="87" t="n"/>
      <c r="N116" s="87" t="n"/>
      <c r="O116" s="87" t="n"/>
    </row>
    <row r="117">
      <c r="A117" s="87" t="n"/>
      <c r="B117" s="87" t="n"/>
      <c r="C117" s="87" t="n"/>
      <c r="D117" s="87" t="n"/>
      <c r="E117" s="87" t="n"/>
      <c r="F117" s="87" t="n"/>
      <c r="G117" s="87" t="n"/>
      <c r="H117" s="87" t="n"/>
      <c r="I117" s="87" t="n"/>
      <c r="J117" s="87" t="n"/>
      <c r="K117" s="87" t="n"/>
      <c r="L117" s="87" t="n"/>
      <c r="M117" s="87" t="n"/>
      <c r="N117" s="87" t="n"/>
      <c r="O117" s="87" t="n"/>
    </row>
    <row r="118">
      <c r="A118" s="87" t="n"/>
      <c r="B118" s="87" t="n"/>
      <c r="C118" s="87" t="n"/>
      <c r="D118" s="87" t="n"/>
      <c r="E118" s="87" t="n"/>
      <c r="F118" s="87" t="n"/>
      <c r="G118" s="87" t="n"/>
      <c r="H118" s="87" t="n"/>
      <c r="I118" s="87" t="n"/>
      <c r="J118" s="87" t="n"/>
      <c r="K118" s="87" t="n"/>
      <c r="L118" s="87" t="n"/>
      <c r="M118" s="87" t="n"/>
      <c r="N118" s="87" t="n"/>
      <c r="O118" s="87" t="n"/>
    </row>
    <row r="119">
      <c r="A119" s="87" t="n"/>
      <c r="B119" s="87" t="n"/>
      <c r="C119" s="87" t="n"/>
      <c r="D119" s="87" t="n"/>
      <c r="E119" s="87" t="n"/>
      <c r="F119" s="87" t="n"/>
      <c r="G119" s="87" t="n"/>
      <c r="H119" s="87" t="n"/>
      <c r="I119" s="87" t="n"/>
      <c r="J119" s="87" t="n"/>
      <c r="K119" s="87" t="n"/>
      <c r="L119" s="87" t="n"/>
      <c r="M119" s="87" t="n"/>
      <c r="N119" s="87" t="n"/>
      <c r="O119" s="87" t="n"/>
    </row>
    <row r="120">
      <c r="A120" s="87" t="n"/>
      <c r="B120" s="87" t="n"/>
      <c r="C120" s="87" t="n"/>
      <c r="D120" s="87" t="n"/>
      <c r="E120" s="87" t="n"/>
      <c r="F120" s="87" t="n"/>
      <c r="G120" s="87" t="n"/>
      <c r="H120" s="87" t="n"/>
      <c r="I120" s="87" t="n"/>
      <c r="J120" s="87" t="n"/>
      <c r="K120" s="87" t="n"/>
      <c r="L120" s="87" t="n"/>
      <c r="M120" s="87" t="n"/>
      <c r="N120" s="87" t="n"/>
      <c r="O120" s="87" t="n"/>
    </row>
    <row r="121">
      <c r="A121" s="87" t="n"/>
      <c r="B121" s="87" t="n"/>
      <c r="C121" s="87" t="n"/>
      <c r="D121" s="87" t="n"/>
      <c r="E121" s="87" t="n"/>
      <c r="F121" s="87" t="n"/>
      <c r="G121" s="87" t="n"/>
      <c r="H121" s="87" t="n"/>
      <c r="I121" s="87" t="n"/>
      <c r="J121" s="87" t="n"/>
      <c r="K121" s="87" t="n"/>
      <c r="L121" s="87" t="n"/>
      <c r="M121" s="87" t="n"/>
      <c r="N121" s="87" t="n"/>
      <c r="O121" s="87" t="n"/>
    </row>
    <row r="122">
      <c r="A122" s="87" t="n"/>
      <c r="B122" s="87" t="n"/>
      <c r="C122" s="87" t="n"/>
      <c r="D122" s="87" t="n"/>
      <c r="E122" s="87" t="n"/>
      <c r="F122" s="87" t="n"/>
      <c r="G122" s="87" t="n"/>
      <c r="H122" s="87" t="n"/>
      <c r="I122" s="87" t="n"/>
      <c r="J122" s="87" t="n"/>
      <c r="K122" s="87" t="n"/>
      <c r="L122" s="87" t="n"/>
      <c r="M122" s="87" t="n"/>
      <c r="N122" s="87" t="n"/>
      <c r="O122" s="87" t="n"/>
    </row>
    <row r="123">
      <c r="A123" s="87" t="n"/>
      <c r="B123" s="87" t="n"/>
      <c r="C123" s="87" t="n"/>
      <c r="D123" s="87" t="n"/>
      <c r="E123" s="87" t="n"/>
      <c r="F123" s="87" t="n"/>
      <c r="G123" s="87" t="n"/>
      <c r="H123" s="87" t="n"/>
      <c r="I123" s="87" t="n"/>
      <c r="J123" s="87" t="n"/>
      <c r="K123" s="87" t="n"/>
      <c r="L123" s="87" t="n"/>
      <c r="M123" s="87" t="n"/>
      <c r="N123" s="87" t="n"/>
      <c r="O123" s="87" t="n"/>
    </row>
    <row r="124">
      <c r="A124" s="87" t="n"/>
      <c r="B124" s="87" t="n"/>
      <c r="C124" s="87" t="n"/>
      <c r="D124" s="87" t="n"/>
      <c r="E124" s="87" t="n"/>
      <c r="F124" s="87" t="n"/>
      <c r="G124" s="87" t="n"/>
      <c r="H124" s="87" t="n"/>
      <c r="I124" s="87" t="n"/>
      <c r="J124" s="87" t="n"/>
      <c r="K124" s="87" t="n"/>
      <c r="L124" s="87" t="n"/>
      <c r="M124" s="87" t="n"/>
      <c r="N124" s="87" t="n"/>
      <c r="O124" s="87" t="n"/>
    </row>
    <row r="125">
      <c r="A125" s="87" t="n"/>
      <c r="B125" s="87" t="n"/>
      <c r="C125" s="87" t="n"/>
      <c r="D125" s="87" t="n"/>
      <c r="E125" s="87" t="n"/>
      <c r="F125" s="87" t="n"/>
      <c r="G125" s="87" t="n"/>
      <c r="H125" s="87" t="n"/>
      <c r="I125" s="87" t="n"/>
      <c r="J125" s="87" t="n"/>
      <c r="K125" s="87" t="n"/>
      <c r="L125" s="87" t="n"/>
      <c r="M125" s="87" t="n"/>
      <c r="N125" s="87" t="n"/>
      <c r="O125" s="87" t="n"/>
    </row>
    <row r="126">
      <c r="A126" s="87" t="n"/>
      <c r="B126" s="87" t="n"/>
      <c r="C126" s="87" t="n"/>
      <c r="D126" s="87" t="n"/>
      <c r="E126" s="87" t="n"/>
      <c r="F126" s="87" t="n"/>
      <c r="G126" s="87" t="n"/>
      <c r="H126" s="87" t="n"/>
      <c r="I126" s="87" t="n"/>
      <c r="J126" s="87" t="n"/>
      <c r="K126" s="87" t="n"/>
      <c r="L126" s="87" t="n"/>
      <c r="M126" s="87" t="n"/>
      <c r="N126" s="87" t="n"/>
      <c r="O126" s="87" t="n"/>
    </row>
    <row r="127">
      <c r="A127" s="87" t="n"/>
      <c r="B127" s="87" t="n"/>
      <c r="C127" s="87" t="n"/>
      <c r="D127" s="87" t="n"/>
      <c r="E127" s="87" t="n"/>
      <c r="F127" s="87" t="n"/>
      <c r="G127" s="87" t="n"/>
      <c r="H127" s="87" t="n"/>
      <c r="I127" s="87" t="n"/>
      <c r="J127" s="87" t="n"/>
      <c r="K127" s="87" t="n"/>
      <c r="L127" s="87" t="n"/>
      <c r="M127" s="87" t="n"/>
      <c r="N127" s="87" t="n"/>
      <c r="O127" s="87" t="n"/>
    </row>
    <row r="128">
      <c r="A128" s="87" t="n"/>
      <c r="B128" s="87" t="n"/>
      <c r="C128" s="87" t="n"/>
      <c r="D128" s="87" t="n"/>
      <c r="E128" s="87" t="n"/>
      <c r="F128" s="87" t="n"/>
      <c r="G128" s="87" t="n"/>
      <c r="H128" s="87" t="n"/>
      <c r="I128" s="87" t="n"/>
      <c r="J128" s="87" t="n"/>
      <c r="K128" s="87" t="n"/>
      <c r="L128" s="87" t="n"/>
      <c r="M128" s="87" t="n"/>
      <c r="N128" s="87" t="n"/>
      <c r="O128" s="87" t="n"/>
    </row>
    <row r="129">
      <c r="A129" s="87" t="n"/>
      <c r="B129" s="87" t="n"/>
      <c r="C129" s="87" t="n"/>
      <c r="D129" s="87" t="n"/>
      <c r="E129" s="87" t="n"/>
      <c r="F129" s="87" t="n"/>
      <c r="G129" s="87" t="n"/>
      <c r="H129" s="87" t="n"/>
      <c r="I129" s="87" t="n"/>
      <c r="J129" s="87" t="n"/>
      <c r="K129" s="87" t="n"/>
      <c r="L129" s="87" t="n"/>
      <c r="M129" s="87" t="n"/>
      <c r="N129" s="87" t="n"/>
      <c r="O129" s="87" t="n"/>
    </row>
    <row r="130">
      <c r="A130" s="87" t="n"/>
      <c r="B130" s="87" t="n"/>
      <c r="C130" s="87" t="n"/>
      <c r="D130" s="87" t="n"/>
      <c r="E130" s="87" t="n"/>
      <c r="F130" s="87" t="n"/>
      <c r="G130" s="87" t="n"/>
      <c r="H130" s="87" t="n"/>
      <c r="I130" s="87" t="n"/>
      <c r="J130" s="87" t="n"/>
      <c r="K130" s="87" t="n"/>
      <c r="L130" s="87" t="n"/>
      <c r="M130" s="87" t="n"/>
      <c r="N130" s="87" t="n"/>
      <c r="O130" s="87" t="n"/>
    </row>
    <row r="131">
      <c r="A131" s="87" t="n"/>
      <c r="B131" s="87" t="n"/>
      <c r="C131" s="87" t="n"/>
      <c r="D131" s="87" t="n"/>
      <c r="E131" s="87" t="n"/>
      <c r="F131" s="87" t="n"/>
      <c r="G131" s="87" t="n"/>
      <c r="H131" s="87" t="n"/>
      <c r="I131" s="87" t="n"/>
      <c r="J131" s="87" t="n"/>
      <c r="K131" s="87" t="n"/>
      <c r="L131" s="87" t="n"/>
      <c r="M131" s="87" t="n"/>
      <c r="N131" s="87" t="n"/>
      <c r="O131" s="87" t="n"/>
    </row>
    <row r="132">
      <c r="A132" s="87" t="n"/>
      <c r="B132" s="87" t="n"/>
      <c r="C132" s="87" t="n"/>
      <c r="D132" s="87" t="n"/>
      <c r="E132" s="87" t="n"/>
      <c r="F132" s="87" t="n"/>
      <c r="G132" s="87" t="n"/>
      <c r="H132" s="87" t="n"/>
      <c r="I132" s="87" t="n"/>
      <c r="J132" s="87" t="n"/>
      <c r="K132" s="87" t="n"/>
      <c r="L132" s="87" t="n"/>
      <c r="M132" s="87" t="n"/>
      <c r="N132" s="87" t="n"/>
      <c r="O132" s="87" t="n"/>
    </row>
    <row r="133">
      <c r="A133" s="87" t="n"/>
      <c r="B133" s="87" t="n"/>
      <c r="C133" s="87" t="n"/>
      <c r="D133" s="87" t="n"/>
      <c r="E133" s="87" t="n"/>
      <c r="F133" s="87" t="n"/>
      <c r="G133" s="87" t="n"/>
      <c r="H133" s="87" t="n"/>
      <c r="I133" s="87" t="n"/>
      <c r="J133" s="87" t="n"/>
      <c r="K133" s="87" t="n"/>
      <c r="L133" s="87" t="n"/>
      <c r="M133" s="87" t="n"/>
      <c r="N133" s="87" t="n"/>
      <c r="O133" s="87" t="n"/>
    </row>
    <row r="134">
      <c r="A134" s="87" t="n"/>
      <c r="B134" s="87" t="n"/>
      <c r="C134" s="87" t="n"/>
      <c r="D134" s="87" t="n"/>
      <c r="E134" s="87" t="n"/>
      <c r="F134" s="87" t="n"/>
      <c r="G134" s="87" t="n"/>
      <c r="H134" s="87" t="n"/>
      <c r="I134" s="87" t="n"/>
      <c r="J134" s="87" t="n"/>
      <c r="K134" s="87" t="n"/>
      <c r="L134" s="87" t="n"/>
      <c r="M134" s="87" t="n"/>
      <c r="N134" s="87" t="n"/>
      <c r="O134" s="87" t="n"/>
    </row>
    <row r="135">
      <c r="A135" s="87" t="n"/>
      <c r="B135" s="87" t="n"/>
      <c r="C135" s="87" t="n"/>
      <c r="D135" s="87" t="n"/>
      <c r="E135" s="87" t="n"/>
      <c r="F135" s="87" t="n"/>
      <c r="G135" s="87" t="n"/>
      <c r="H135" s="87" t="n"/>
      <c r="I135" s="87" t="n"/>
      <c r="J135" s="87" t="n"/>
      <c r="K135" s="87" t="n"/>
      <c r="L135" s="87" t="n"/>
      <c r="M135" s="87" t="n"/>
      <c r="N135" s="87" t="n"/>
      <c r="O135" s="87" t="n"/>
    </row>
    <row r="136">
      <c r="A136" s="87" t="n"/>
      <c r="B136" s="87" t="n"/>
      <c r="C136" s="87" t="n"/>
      <c r="D136" s="87" t="n"/>
      <c r="E136" s="87" t="n"/>
      <c r="F136" s="87" t="n"/>
      <c r="G136" s="87" t="n"/>
      <c r="H136" s="87" t="n"/>
      <c r="I136" s="87" t="n"/>
      <c r="J136" s="87" t="n"/>
      <c r="K136" s="87" t="n"/>
      <c r="L136" s="87" t="n"/>
      <c r="M136" s="87" t="n"/>
      <c r="N136" s="87" t="n"/>
      <c r="O136" s="87" t="n"/>
    </row>
    <row r="137">
      <c r="A137" s="87" t="n"/>
      <c r="B137" s="87" t="n"/>
      <c r="C137" s="87" t="n"/>
      <c r="D137" s="87" t="n"/>
      <c r="E137" s="87" t="n"/>
      <c r="F137" s="87" t="n"/>
      <c r="G137" s="87" t="n"/>
      <c r="H137" s="87" t="n"/>
      <c r="I137" s="87" t="n"/>
      <c r="J137" s="87" t="n"/>
      <c r="K137" s="87" t="n"/>
      <c r="L137" s="87" t="n"/>
      <c r="M137" s="87" t="n"/>
      <c r="N137" s="87" t="n"/>
      <c r="O137" s="87" t="n"/>
    </row>
    <row r="138">
      <c r="A138" s="87" t="n"/>
      <c r="B138" s="87" t="n"/>
      <c r="C138" s="87" t="n"/>
      <c r="D138" s="87" t="n"/>
      <c r="E138" s="87" t="n"/>
      <c r="F138" s="87" t="n"/>
      <c r="G138" s="87" t="n"/>
      <c r="H138" s="87" t="n"/>
      <c r="I138" s="87" t="n"/>
      <c r="J138" s="87" t="n"/>
      <c r="K138" s="87" t="n"/>
      <c r="L138" s="87" t="n"/>
      <c r="M138" s="87" t="n"/>
      <c r="N138" s="87" t="n"/>
      <c r="O138" s="87" t="n"/>
    </row>
    <row r="139">
      <c r="A139" s="87" t="n"/>
      <c r="B139" s="87" t="n"/>
      <c r="C139" s="87" t="n"/>
      <c r="D139" s="87" t="n"/>
      <c r="E139" s="87" t="n"/>
      <c r="F139" s="87" t="n"/>
      <c r="G139" s="87" t="n"/>
      <c r="H139" s="87" t="n"/>
      <c r="I139" s="87" t="n"/>
      <c r="J139" s="87" t="n"/>
      <c r="K139" s="87" t="n"/>
      <c r="L139" s="87" t="n"/>
      <c r="M139" s="87" t="n"/>
      <c r="N139" s="87" t="n"/>
      <c r="O139" s="87" t="n"/>
    </row>
    <row r="140">
      <c r="A140" s="87" t="n"/>
      <c r="B140" s="87" t="n"/>
      <c r="C140" s="87" t="n"/>
      <c r="D140" s="87" t="n"/>
      <c r="E140" s="87" t="n"/>
      <c r="F140" s="87" t="n"/>
      <c r="G140" s="87" t="n"/>
      <c r="H140" s="87" t="n"/>
      <c r="I140" s="87" t="n"/>
      <c r="J140" s="87" t="n"/>
      <c r="K140" s="87" t="n"/>
      <c r="L140" s="87" t="n"/>
      <c r="M140" s="87" t="n"/>
      <c r="N140" s="87" t="n"/>
      <c r="O140" s="87" t="n"/>
    </row>
    <row r="141">
      <c r="A141" s="87" t="n"/>
      <c r="B141" s="87" t="n"/>
      <c r="C141" s="87" t="n"/>
      <c r="D141" s="87" t="n"/>
      <c r="E141" s="87" t="n"/>
      <c r="F141" s="87" t="n"/>
      <c r="G141" s="87" t="n"/>
      <c r="H141" s="87" t="n"/>
      <c r="I141" s="87" t="n"/>
      <c r="J141" s="87" t="n"/>
      <c r="K141" s="87" t="n"/>
      <c r="L141" s="87" t="n"/>
      <c r="M141" s="87" t="n"/>
      <c r="N141" s="87" t="n"/>
      <c r="O141" s="87" t="n"/>
    </row>
    <row r="142">
      <c r="A142" s="87" t="n"/>
      <c r="B142" s="87" t="n"/>
      <c r="C142" s="87" t="n"/>
      <c r="D142" s="87" t="n"/>
      <c r="E142" s="87" t="n"/>
      <c r="F142" s="87" t="n"/>
      <c r="G142" s="87" t="n"/>
      <c r="H142" s="87" t="n"/>
      <c r="I142" s="87" t="n"/>
      <c r="J142" s="87" t="n"/>
      <c r="K142" s="87" t="n"/>
      <c r="L142" s="87" t="n"/>
      <c r="M142" s="87" t="n"/>
      <c r="N142" s="87" t="n"/>
      <c r="O142" s="87" t="n"/>
    </row>
    <row r="143">
      <c r="A143" s="87" t="n"/>
      <c r="B143" s="87" t="n"/>
      <c r="C143" s="87" t="n"/>
      <c r="D143" s="87" t="n"/>
      <c r="E143" s="87" t="n"/>
      <c r="F143" s="87" t="n"/>
      <c r="G143" s="87" t="n"/>
      <c r="H143" s="87" t="n"/>
      <c r="I143" s="87" t="n"/>
      <c r="J143" s="87" t="n"/>
      <c r="K143" s="87" t="n"/>
      <c r="L143" s="87" t="n"/>
      <c r="M143" s="87" t="n"/>
      <c r="N143" s="87" t="n"/>
      <c r="O143" s="87" t="n"/>
    </row>
    <row r="144">
      <c r="A144" s="87" t="n"/>
      <c r="B144" s="87" t="n"/>
      <c r="C144" s="87" t="n"/>
      <c r="D144" s="87" t="n"/>
      <c r="E144" s="87" t="n"/>
      <c r="F144" s="87" t="n"/>
      <c r="G144" s="87" t="n"/>
      <c r="H144" s="87" t="n"/>
      <c r="I144" s="87" t="n"/>
      <c r="J144" s="87" t="n"/>
      <c r="K144" s="87" t="n"/>
      <c r="L144" s="87" t="n"/>
      <c r="M144" s="87" t="n"/>
      <c r="N144" s="87" t="n"/>
      <c r="O144" s="87" t="n"/>
    </row>
    <row r="145">
      <c r="A145" s="87" t="n"/>
      <c r="B145" s="87" t="n"/>
      <c r="C145" s="87" t="n"/>
      <c r="D145" s="87" t="n"/>
      <c r="E145" s="87" t="n"/>
      <c r="F145" s="87" t="n"/>
      <c r="G145" s="87" t="n"/>
      <c r="H145" s="87" t="n"/>
      <c r="I145" s="87" t="n"/>
      <c r="J145" s="87" t="n"/>
      <c r="K145" s="87" t="n"/>
      <c r="L145" s="87" t="n"/>
      <c r="M145" s="87" t="n"/>
      <c r="N145" s="87" t="n"/>
      <c r="O145" s="87" t="n"/>
    </row>
    <row r="146">
      <c r="A146" s="87" t="n"/>
      <c r="B146" s="87" t="n"/>
      <c r="C146" s="87" t="n"/>
      <c r="D146" s="87" t="n"/>
      <c r="E146" s="87" t="n"/>
      <c r="F146" s="87" t="n"/>
      <c r="G146" s="87" t="n"/>
      <c r="H146" s="87" t="n"/>
      <c r="I146" s="87" t="n"/>
      <c r="J146" s="87" t="n"/>
      <c r="K146" s="87" t="n"/>
      <c r="L146" s="87" t="n"/>
      <c r="M146" s="87" t="n"/>
      <c r="N146" s="87" t="n"/>
      <c r="O146" s="87" t="n"/>
    </row>
    <row r="147">
      <c r="A147" s="87" t="n"/>
      <c r="B147" s="87" t="n"/>
      <c r="C147" s="87" t="n"/>
      <c r="D147" s="87" t="n"/>
      <c r="E147" s="87" t="n"/>
      <c r="F147" s="87" t="n"/>
      <c r="G147" s="87" t="n"/>
      <c r="H147" s="87" t="n"/>
      <c r="I147" s="87" t="n"/>
      <c r="J147" s="87" t="n"/>
      <c r="K147" s="87" t="n"/>
      <c r="L147" s="87" t="n"/>
      <c r="M147" s="87" t="n"/>
      <c r="N147" s="87" t="n"/>
      <c r="O147" s="87" t="n"/>
    </row>
    <row r="148">
      <c r="A148" s="87" t="n"/>
      <c r="B148" s="87" t="n"/>
      <c r="C148" s="87" t="n"/>
      <c r="D148" s="87" t="n"/>
      <c r="E148" s="87" t="n"/>
      <c r="F148" s="87" t="n"/>
      <c r="G148" s="87" t="n"/>
      <c r="H148" s="87" t="n"/>
      <c r="I148" s="87" t="n"/>
      <c r="J148" s="87" t="n"/>
      <c r="K148" s="87" t="n"/>
      <c r="L148" s="87" t="n"/>
      <c r="M148" s="87" t="n"/>
      <c r="N148" s="87" t="n"/>
      <c r="O148" s="87" t="n"/>
    </row>
    <row r="149">
      <c r="A149" s="87" t="n"/>
      <c r="B149" s="87" t="n"/>
      <c r="C149" s="87" t="n"/>
      <c r="D149" s="87" t="n"/>
      <c r="E149" s="87" t="n"/>
      <c r="F149" s="87" t="n"/>
      <c r="G149" s="87" t="n"/>
      <c r="H149" s="87" t="n"/>
      <c r="I149" s="87" t="n"/>
      <c r="J149" s="87" t="n"/>
      <c r="K149" s="87" t="n"/>
      <c r="L149" s="87" t="n"/>
      <c r="M149" s="87" t="n"/>
      <c r="N149" s="87" t="n"/>
      <c r="O149" s="87" t="n"/>
    </row>
    <row r="150">
      <c r="A150" s="87" t="n"/>
      <c r="B150" s="87" t="n"/>
      <c r="C150" s="87" t="n"/>
      <c r="D150" s="87" t="n"/>
      <c r="E150" s="87" t="n"/>
      <c r="F150" s="87" t="n"/>
      <c r="G150" s="87" t="n"/>
      <c r="H150" s="87" t="n"/>
      <c r="I150" s="87" t="n"/>
      <c r="J150" s="87" t="n"/>
      <c r="K150" s="87" t="n"/>
      <c r="L150" s="87" t="n"/>
      <c r="M150" s="87" t="n"/>
      <c r="N150" s="87" t="n"/>
      <c r="O150" s="87" t="n"/>
    </row>
    <row r="151">
      <c r="A151" s="87" t="n"/>
      <c r="B151" s="87" t="n"/>
      <c r="C151" s="87" t="n"/>
      <c r="D151" s="87" t="n"/>
      <c r="E151" s="87" t="n"/>
      <c r="F151" s="87" t="n"/>
      <c r="G151" s="87" t="n"/>
      <c r="H151" s="87" t="n"/>
      <c r="I151" s="87" t="n"/>
      <c r="J151" s="87" t="n"/>
      <c r="K151" s="87" t="n"/>
      <c r="L151" s="87" t="n"/>
      <c r="M151" s="87" t="n"/>
      <c r="N151" s="87" t="n"/>
      <c r="O151" s="87" t="n"/>
    </row>
    <row r="152">
      <c r="A152" s="87" t="n"/>
      <c r="B152" s="87" t="n"/>
      <c r="C152" s="87" t="n"/>
      <c r="D152" s="87" t="n"/>
      <c r="E152" s="87" t="n"/>
      <c r="F152" s="87" t="n"/>
      <c r="G152" s="87" t="n"/>
      <c r="H152" s="87" t="n"/>
      <c r="I152" s="87" t="n"/>
      <c r="J152" s="87" t="n"/>
      <c r="K152" s="87" t="n"/>
      <c r="L152" s="87" t="n"/>
      <c r="M152" s="87" t="n"/>
      <c r="N152" s="87" t="n"/>
      <c r="O152" s="87" t="n"/>
    </row>
    <row r="153">
      <c r="A153" s="87" t="n"/>
      <c r="B153" s="87" t="n"/>
      <c r="C153" s="87" t="n"/>
      <c r="D153" s="87" t="n"/>
      <c r="E153" s="87" t="n"/>
      <c r="F153" s="87" t="n"/>
      <c r="G153" s="87" t="n"/>
      <c r="H153" s="87" t="n"/>
      <c r="I153" s="87" t="n"/>
      <c r="J153" s="87" t="n"/>
      <c r="K153" s="87" t="n"/>
      <c r="L153" s="87" t="n"/>
      <c r="M153" s="87" t="n"/>
      <c r="N153" s="87" t="n"/>
      <c r="O153" s="87" t="n"/>
    </row>
    <row r="154">
      <c r="A154" s="87" t="n"/>
      <c r="B154" s="87" t="n"/>
      <c r="C154" s="87" t="n"/>
      <c r="D154" s="87" t="n"/>
      <c r="E154" s="87" t="n"/>
      <c r="F154" s="87" t="n"/>
      <c r="G154" s="87" t="n"/>
      <c r="H154" s="87" t="n"/>
      <c r="I154" s="87" t="n"/>
      <c r="J154" s="87" t="n"/>
      <c r="K154" s="87" t="n"/>
      <c r="L154" s="87" t="n"/>
      <c r="M154" s="87" t="n"/>
      <c r="N154" s="87" t="n"/>
      <c r="O154" s="87" t="n"/>
    </row>
    <row r="155">
      <c r="A155" s="87" t="n"/>
      <c r="B155" s="87" t="n"/>
      <c r="C155" s="87" t="n"/>
      <c r="D155" s="87" t="n"/>
      <c r="E155" s="87" t="n"/>
      <c r="F155" s="87" t="n"/>
      <c r="G155" s="87" t="n"/>
      <c r="H155" s="87" t="n"/>
      <c r="I155" s="87" t="n"/>
      <c r="J155" s="87" t="n"/>
      <c r="K155" s="87" t="n"/>
      <c r="L155" s="87" t="n"/>
      <c r="M155" s="87" t="n"/>
      <c r="N155" s="87" t="n"/>
      <c r="O155" s="87" t="n"/>
    </row>
    <row r="156">
      <c r="A156" s="87" t="n"/>
      <c r="B156" s="87" t="n"/>
      <c r="C156" s="87" t="n"/>
      <c r="D156" s="87" t="n"/>
      <c r="E156" s="87" t="n"/>
      <c r="F156" s="87" t="n"/>
      <c r="G156" s="87" t="n"/>
      <c r="H156" s="87" t="n"/>
      <c r="I156" s="87" t="n"/>
      <c r="J156" s="87" t="n"/>
      <c r="K156" s="87" t="n"/>
      <c r="L156" s="87" t="n"/>
      <c r="M156" s="87" t="n"/>
      <c r="N156" s="87" t="n"/>
      <c r="O156" s="87" t="n"/>
    </row>
    <row r="157">
      <c r="A157" s="87" t="n"/>
      <c r="B157" s="87" t="n"/>
      <c r="C157" s="87" t="n"/>
      <c r="D157" s="87" t="n"/>
      <c r="E157" s="87" t="n"/>
      <c r="F157" s="87" t="n"/>
      <c r="G157" s="87" t="n"/>
      <c r="H157" s="87" t="n"/>
      <c r="I157" s="87" t="n"/>
      <c r="J157" s="87" t="n"/>
      <c r="K157" s="87" t="n"/>
      <c r="L157" s="87" t="n"/>
      <c r="M157" s="87" t="n"/>
      <c r="N157" s="87" t="n"/>
      <c r="O157" s="87" t="n"/>
    </row>
    <row r="158">
      <c r="A158" s="87" t="n"/>
      <c r="B158" s="87" t="n"/>
      <c r="C158" s="87" t="n"/>
      <c r="D158" s="87" t="n"/>
      <c r="E158" s="87" t="n"/>
      <c r="F158" s="87" t="n"/>
      <c r="G158" s="87" t="n"/>
      <c r="H158" s="87" t="n"/>
      <c r="I158" s="87" t="n"/>
      <c r="J158" s="87" t="n"/>
      <c r="K158" s="87" t="n"/>
      <c r="L158" s="87" t="n"/>
      <c r="M158" s="87" t="n"/>
      <c r="N158" s="87" t="n"/>
      <c r="O158" s="87" t="n"/>
    </row>
    <row r="159">
      <c r="A159" s="87" t="n"/>
      <c r="B159" s="87" t="n"/>
      <c r="C159" s="87" t="n"/>
      <c r="D159" s="87" t="n"/>
      <c r="E159" s="87" t="n"/>
      <c r="F159" s="87" t="n"/>
      <c r="G159" s="87" t="n"/>
      <c r="H159" s="87" t="n"/>
      <c r="I159" s="87" t="n"/>
      <c r="J159" s="87" t="n"/>
      <c r="K159" s="87" t="n"/>
      <c r="L159" s="87" t="n"/>
      <c r="M159" s="87" t="n"/>
      <c r="N159" s="87" t="n"/>
      <c r="O159" s="87" t="n"/>
    </row>
    <row r="160">
      <c r="A160" s="87" t="n"/>
      <c r="B160" s="87" t="n"/>
      <c r="C160" s="87" t="n"/>
      <c r="D160" s="87" t="n"/>
      <c r="E160" s="87" t="n"/>
      <c r="F160" s="87" t="n"/>
      <c r="G160" s="87" t="n"/>
      <c r="H160" s="87" t="n"/>
      <c r="I160" s="87" t="n"/>
      <c r="J160" s="87" t="n"/>
      <c r="K160" s="87" t="n"/>
      <c r="L160" s="87" t="n"/>
      <c r="M160" s="87" t="n"/>
      <c r="N160" s="87" t="n"/>
      <c r="O160" s="87" t="n"/>
    </row>
    <row r="161">
      <c r="A161" s="87" t="n"/>
      <c r="B161" s="87" t="n"/>
      <c r="C161" s="87" t="n"/>
      <c r="D161" s="87" t="n"/>
      <c r="E161" s="87" t="n"/>
      <c r="F161" s="87" t="n"/>
      <c r="G161" s="87" t="n"/>
      <c r="H161" s="87" t="n"/>
      <c r="I161" s="87" t="n"/>
      <c r="J161" s="87" t="n"/>
      <c r="K161" s="87" t="n"/>
      <c r="L161" s="87" t="n"/>
      <c r="M161" s="87" t="n"/>
      <c r="N161" s="87" t="n"/>
      <c r="O161" s="87" t="n"/>
    </row>
    <row r="162">
      <c r="A162" s="87" t="n"/>
      <c r="B162" s="87" t="n"/>
      <c r="C162" s="87" t="n"/>
      <c r="D162" s="87" t="n"/>
      <c r="E162" s="87" t="n"/>
      <c r="F162" s="87" t="n"/>
      <c r="G162" s="87" t="n"/>
      <c r="H162" s="87" t="n"/>
      <c r="I162" s="87" t="n"/>
      <c r="J162" s="87" t="n"/>
      <c r="K162" s="87" t="n"/>
      <c r="L162" s="87" t="n"/>
      <c r="M162" s="87" t="n"/>
      <c r="N162" s="87" t="n"/>
      <c r="O162" s="87" t="n"/>
    </row>
    <row r="163">
      <c r="A163" s="87" t="n"/>
      <c r="B163" s="87" t="n"/>
      <c r="C163" s="87" t="n"/>
      <c r="D163" s="87" t="n"/>
      <c r="E163" s="87" t="n"/>
      <c r="F163" s="87" t="n"/>
      <c r="G163" s="87" t="n"/>
      <c r="H163" s="87" t="n"/>
      <c r="I163" s="87" t="n"/>
      <c r="J163" s="87" t="n"/>
      <c r="K163" s="87" t="n"/>
      <c r="L163" s="87" t="n"/>
      <c r="M163" s="87" t="n"/>
      <c r="N163" s="87" t="n"/>
      <c r="O163" s="87" t="n"/>
    </row>
    <row r="164">
      <c r="A164" s="87" t="n"/>
      <c r="B164" s="87" t="n"/>
      <c r="C164" s="87" t="n"/>
      <c r="D164" s="87" t="n"/>
      <c r="E164" s="87" t="n"/>
      <c r="F164" s="87" t="n"/>
      <c r="G164" s="87" t="n"/>
      <c r="H164" s="87" t="n"/>
      <c r="I164" s="87" t="n"/>
      <c r="J164" s="87" t="n"/>
      <c r="K164" s="87" t="n"/>
      <c r="L164" s="87" t="n"/>
      <c r="M164" s="87" t="n"/>
      <c r="N164" s="87" t="n"/>
      <c r="O164" s="87" t="n"/>
    </row>
    <row r="165">
      <c r="A165" s="87" t="n"/>
      <c r="B165" s="87" t="n"/>
      <c r="C165" s="87" t="n"/>
      <c r="D165" s="87" t="n"/>
      <c r="E165" s="87" t="n"/>
      <c r="F165" s="87" t="n"/>
      <c r="G165" s="87" t="n"/>
      <c r="H165" s="87" t="n"/>
      <c r="I165" s="87" t="n"/>
      <c r="J165" s="87" t="n"/>
      <c r="K165" s="87" t="n"/>
      <c r="L165" s="87" t="n"/>
      <c r="M165" s="87" t="n"/>
      <c r="N165" s="87" t="n"/>
      <c r="O165" s="87" t="n"/>
    </row>
    <row r="166">
      <c r="A166" s="87" t="n"/>
      <c r="B166" s="87" t="n"/>
      <c r="C166" s="87" t="n"/>
      <c r="D166" s="87" t="n"/>
      <c r="E166" s="87" t="n"/>
      <c r="F166" s="87" t="n"/>
      <c r="G166" s="87" t="n"/>
      <c r="H166" s="87" t="n"/>
      <c r="I166" s="87" t="n"/>
      <c r="J166" s="87" t="n"/>
      <c r="K166" s="87" t="n"/>
      <c r="L166" s="87" t="n"/>
      <c r="M166" s="87" t="n"/>
      <c r="N166" s="87" t="n"/>
      <c r="O166" s="87" t="n"/>
    </row>
    <row r="167">
      <c r="A167" s="87" t="n"/>
      <c r="B167" s="87" t="n"/>
      <c r="C167" s="87" t="n"/>
      <c r="D167" s="87" t="n"/>
      <c r="E167" s="87" t="n"/>
      <c r="F167" s="87" t="n"/>
      <c r="G167" s="87" t="n"/>
      <c r="H167" s="87" t="n"/>
      <c r="I167" s="87" t="n"/>
      <c r="J167" s="87" t="n"/>
      <c r="K167" s="87" t="n"/>
      <c r="L167" s="87" t="n"/>
      <c r="M167" s="87" t="n"/>
      <c r="N167" s="87" t="n"/>
      <c r="O167" s="87" t="n"/>
    </row>
    <row r="168">
      <c r="A168" s="87" t="n"/>
      <c r="B168" s="87" t="n"/>
      <c r="C168" s="87" t="n"/>
      <c r="D168" s="87" t="n"/>
      <c r="E168" s="87" t="n"/>
      <c r="F168" s="87" t="n"/>
      <c r="G168" s="87" t="n"/>
      <c r="H168" s="87" t="n"/>
      <c r="I168" s="87" t="n"/>
      <c r="J168" s="87" t="n"/>
      <c r="K168" s="87" t="n"/>
      <c r="L168" s="87" t="n"/>
      <c r="M168" s="87" t="n"/>
      <c r="N168" s="87" t="n"/>
      <c r="O168" s="87" t="n"/>
    </row>
    <row r="169">
      <c r="A169" s="87" t="n"/>
      <c r="B169" s="87" t="n"/>
      <c r="C169" s="87" t="n"/>
      <c r="D169" s="87" t="n"/>
      <c r="E169" s="87" t="n"/>
      <c r="F169" s="87" t="n"/>
      <c r="G169" s="87" t="n"/>
      <c r="H169" s="87" t="n"/>
      <c r="I169" s="87" t="n"/>
      <c r="J169" s="87" t="n"/>
      <c r="K169" s="87" t="n"/>
      <c r="L169" s="87" t="n"/>
      <c r="M169" s="87" t="n"/>
      <c r="N169" s="87" t="n"/>
      <c r="O169" s="87" t="n"/>
    </row>
    <row r="170">
      <c r="A170" s="87" t="n"/>
      <c r="B170" s="87" t="n"/>
      <c r="C170" s="87" t="n"/>
      <c r="D170" s="87" t="n"/>
      <c r="E170" s="87" t="n"/>
      <c r="F170" s="87" t="n"/>
      <c r="G170" s="87" t="n"/>
      <c r="H170" s="87" t="n"/>
      <c r="I170" s="87" t="n"/>
      <c r="J170" s="87" t="n"/>
      <c r="K170" s="87" t="n"/>
      <c r="L170" s="87" t="n"/>
      <c r="M170" s="87" t="n"/>
      <c r="N170" s="87" t="n"/>
      <c r="O170" s="87" t="n"/>
    </row>
    <row r="171">
      <c r="A171" s="87" t="n"/>
      <c r="B171" s="87" t="n"/>
      <c r="C171" s="87" t="n"/>
      <c r="D171" s="87" t="n"/>
      <c r="E171" s="87" t="n"/>
      <c r="F171" s="87" t="n"/>
      <c r="G171" s="87" t="n"/>
      <c r="H171" s="87" t="n"/>
      <c r="I171" s="87" t="n"/>
      <c r="J171" s="87" t="n"/>
      <c r="K171" s="87" t="n"/>
      <c r="L171" s="87" t="n"/>
      <c r="M171" s="87" t="n"/>
      <c r="N171" s="87" t="n"/>
      <c r="O171" s="87" t="n"/>
    </row>
    <row r="172">
      <c r="A172" s="87" t="n"/>
      <c r="B172" s="87" t="n"/>
      <c r="C172" s="87" t="n"/>
      <c r="D172" s="87" t="n"/>
      <c r="E172" s="87" t="n"/>
      <c r="F172" s="87" t="n"/>
      <c r="G172" s="87" t="n"/>
      <c r="H172" s="87" t="n"/>
      <c r="I172" s="87" t="n"/>
      <c r="J172" s="87" t="n"/>
      <c r="K172" s="87" t="n"/>
      <c r="L172" s="87" t="n"/>
      <c r="M172" s="87" t="n"/>
      <c r="N172" s="87" t="n"/>
      <c r="O172" s="87" t="n"/>
    </row>
    <row r="173">
      <c r="A173" s="87" t="n"/>
      <c r="B173" s="87" t="n"/>
      <c r="C173" s="87" t="n"/>
      <c r="D173" s="87" t="n"/>
      <c r="E173" s="87" t="n"/>
      <c r="F173" s="87" t="n"/>
      <c r="G173" s="87" t="n"/>
      <c r="H173" s="87" t="n"/>
      <c r="I173" s="87" t="n"/>
      <c r="J173" s="87" t="n"/>
      <c r="K173" s="87" t="n"/>
      <c r="L173" s="87" t="n"/>
      <c r="M173" s="87" t="n"/>
      <c r="N173" s="87" t="n"/>
      <c r="O173" s="87" t="n"/>
    </row>
    <row r="174">
      <c r="A174" s="87" t="n"/>
      <c r="B174" s="87" t="n"/>
      <c r="C174" s="87" t="n"/>
      <c r="D174" s="87" t="n"/>
      <c r="E174" s="87" t="n"/>
      <c r="F174" s="87" t="n"/>
      <c r="G174" s="87" t="n"/>
      <c r="H174" s="87" t="n"/>
      <c r="I174" s="87" t="n"/>
      <c r="J174" s="87" t="n"/>
      <c r="K174" s="87" t="n"/>
      <c r="L174" s="87" t="n"/>
      <c r="M174" s="87" t="n"/>
      <c r="N174" s="87" t="n"/>
      <c r="O174" s="87" t="n"/>
    </row>
    <row r="175">
      <c r="A175" s="87" t="n"/>
      <c r="B175" s="87" t="n"/>
      <c r="C175" s="87" t="n"/>
      <c r="D175" s="87" t="n"/>
      <c r="E175" s="87" t="n"/>
      <c r="F175" s="87" t="n"/>
      <c r="G175" s="87" t="n"/>
      <c r="H175" s="87" t="n"/>
      <c r="I175" s="87" t="n"/>
      <c r="J175" s="87" t="n"/>
      <c r="K175" s="87" t="n"/>
      <c r="L175" s="87" t="n"/>
      <c r="M175" s="87" t="n"/>
      <c r="N175" s="87" t="n"/>
      <c r="O175" s="87" t="n"/>
    </row>
    <row r="176">
      <c r="A176" s="87" t="n"/>
      <c r="B176" s="87" t="n"/>
      <c r="C176" s="87" t="n"/>
      <c r="D176" s="87" t="n"/>
      <c r="E176" s="87" t="n"/>
      <c r="F176" s="87" t="n"/>
      <c r="G176" s="87" t="n"/>
      <c r="H176" s="87" t="n"/>
      <c r="I176" s="87" t="n"/>
      <c r="J176" s="87" t="n"/>
      <c r="K176" s="87" t="n"/>
      <c r="L176" s="87" t="n"/>
      <c r="M176" s="87" t="n"/>
      <c r="N176" s="87" t="n"/>
      <c r="O176" s="87" t="n"/>
    </row>
    <row r="177">
      <c r="A177" s="87" t="n"/>
      <c r="B177" s="87" t="n"/>
      <c r="C177" s="87" t="n"/>
      <c r="D177" s="87" t="n"/>
      <c r="E177" s="87" t="n"/>
      <c r="F177" s="87" t="n"/>
      <c r="G177" s="87" t="n"/>
      <c r="H177" s="87" t="n"/>
      <c r="I177" s="87" t="n"/>
      <c r="J177" s="87" t="n"/>
      <c r="K177" s="87" t="n"/>
      <c r="L177" s="87" t="n"/>
      <c r="M177" s="87" t="n"/>
      <c r="N177" s="87" t="n"/>
      <c r="O177" s="87" t="n"/>
    </row>
    <row r="178">
      <c r="A178" s="87" t="n"/>
      <c r="B178" s="87" t="n"/>
      <c r="C178" s="87" t="n"/>
      <c r="D178" s="87" t="n"/>
      <c r="E178" s="87" t="n"/>
      <c r="F178" s="87" t="n"/>
      <c r="G178" s="87" t="n"/>
      <c r="H178" s="87" t="n"/>
      <c r="I178" s="87" t="n"/>
      <c r="J178" s="87" t="n"/>
      <c r="K178" s="87" t="n"/>
      <c r="L178" s="87" t="n"/>
      <c r="M178" s="87" t="n"/>
      <c r="N178" s="87" t="n"/>
      <c r="O178" s="87" t="n"/>
    </row>
    <row r="179">
      <c r="A179" s="87" t="n"/>
      <c r="B179" s="87" t="n"/>
      <c r="C179" s="87" t="n"/>
      <c r="D179" s="87" t="n"/>
      <c r="E179" s="87" t="n"/>
      <c r="F179" s="87" t="n"/>
      <c r="G179" s="87" t="n"/>
      <c r="H179" s="87" t="n"/>
      <c r="I179" s="87" t="n"/>
      <c r="J179" s="87" t="n"/>
      <c r="K179" s="87" t="n"/>
      <c r="L179" s="87" t="n"/>
      <c r="M179" s="87" t="n"/>
      <c r="N179" s="87" t="n"/>
      <c r="O179" s="87" t="n"/>
    </row>
    <row r="180">
      <c r="A180" s="87" t="n"/>
      <c r="B180" s="87" t="n"/>
      <c r="C180" s="87" t="n"/>
      <c r="D180" s="87" t="n"/>
      <c r="E180" s="87" t="n"/>
      <c r="F180" s="87" t="n"/>
      <c r="G180" s="87" t="n"/>
      <c r="H180" s="87" t="n"/>
      <c r="I180" s="87" t="n"/>
      <c r="J180" s="87" t="n"/>
      <c r="K180" s="87" t="n"/>
      <c r="L180" s="87" t="n"/>
      <c r="M180" s="87" t="n"/>
      <c r="N180" s="87" t="n"/>
      <c r="O180" s="87" t="n"/>
    </row>
    <row r="181">
      <c r="A181" s="87" t="n"/>
      <c r="B181" s="87" t="n"/>
      <c r="C181" s="87" t="n"/>
      <c r="D181" s="87" t="n"/>
      <c r="E181" s="87" t="n"/>
      <c r="F181" s="87" t="n"/>
      <c r="G181" s="87" t="n"/>
      <c r="H181" s="87" t="n"/>
      <c r="I181" s="87" t="n"/>
      <c r="J181" s="87" t="n"/>
      <c r="K181" s="87" t="n"/>
      <c r="L181" s="87" t="n"/>
      <c r="M181" s="87" t="n"/>
      <c r="N181" s="87" t="n"/>
      <c r="O181" s="87" t="n"/>
    </row>
    <row r="182">
      <c r="A182" s="87" t="n"/>
      <c r="B182" s="87" t="n"/>
      <c r="C182" s="87" t="n"/>
      <c r="D182" s="87" t="n"/>
      <c r="E182" s="87" t="n"/>
      <c r="F182" s="87" t="n"/>
      <c r="G182" s="87" t="n"/>
      <c r="H182" s="87" t="n"/>
      <c r="I182" s="87" t="n"/>
      <c r="J182" s="87" t="n"/>
      <c r="K182" s="87" t="n"/>
      <c r="L182" s="87" t="n"/>
      <c r="M182" s="87" t="n"/>
      <c r="N182" s="87" t="n"/>
      <c r="O182" s="87" t="n"/>
    </row>
    <row r="183">
      <c r="A183" s="87" t="n"/>
      <c r="B183" s="87" t="n"/>
      <c r="C183" s="87" t="n"/>
      <c r="D183" s="87" t="n"/>
      <c r="E183" s="87" t="n"/>
      <c r="F183" s="87" t="n"/>
      <c r="G183" s="87" t="n"/>
      <c r="H183" s="87" t="n"/>
      <c r="I183" s="87" t="n"/>
      <c r="J183" s="87" t="n"/>
      <c r="K183" s="87" t="n"/>
      <c r="L183" s="87" t="n"/>
      <c r="M183" s="87" t="n"/>
      <c r="N183" s="87" t="n"/>
      <c r="O183" s="87" t="n"/>
    </row>
    <row r="184">
      <c r="A184" s="87" t="n"/>
      <c r="B184" s="87" t="n"/>
      <c r="C184" s="87" t="n"/>
      <c r="D184" s="87" t="n"/>
      <c r="E184" s="87" t="n"/>
      <c r="F184" s="87" t="n"/>
      <c r="G184" s="87" t="n"/>
      <c r="H184" s="87" t="n"/>
      <c r="I184" s="87" t="n"/>
      <c r="J184" s="87" t="n"/>
      <c r="K184" s="87" t="n"/>
      <c r="L184" s="87" t="n"/>
      <c r="M184" s="87" t="n"/>
      <c r="N184" s="87" t="n"/>
      <c r="O184" s="87" t="n"/>
    </row>
    <row r="185">
      <c r="A185" s="87" t="n"/>
      <c r="B185" s="87" t="n"/>
      <c r="C185" s="87" t="n"/>
      <c r="D185" s="87" t="n"/>
      <c r="E185" s="87" t="n"/>
      <c r="F185" s="87" t="n"/>
      <c r="G185" s="87" t="n"/>
      <c r="H185" s="87" t="n"/>
      <c r="I185" s="87" t="n"/>
      <c r="J185" s="87" t="n"/>
      <c r="K185" s="87" t="n"/>
      <c r="L185" s="87" t="n"/>
      <c r="M185" s="87" t="n"/>
      <c r="N185" s="87" t="n"/>
      <c r="O185" s="87" t="n"/>
    </row>
    <row r="186">
      <c r="A186" s="87" t="n"/>
      <c r="B186" s="87" t="n"/>
      <c r="C186" s="87" t="n"/>
      <c r="D186" s="87" t="n"/>
      <c r="E186" s="87" t="n"/>
      <c r="F186" s="87" t="n"/>
      <c r="G186" s="87" t="n"/>
      <c r="H186" s="87" t="n"/>
      <c r="I186" s="87" t="n"/>
      <c r="J186" s="87" t="n"/>
      <c r="K186" s="87" t="n"/>
      <c r="L186" s="87" t="n"/>
      <c r="M186" s="87" t="n"/>
      <c r="N186" s="87" t="n"/>
      <c r="O186" s="87" t="n"/>
    </row>
    <row r="187">
      <c r="A187" s="87" t="n"/>
      <c r="B187" s="87" t="n"/>
      <c r="C187" s="87" t="n"/>
      <c r="D187" s="87" t="n"/>
      <c r="E187" s="87" t="n"/>
      <c r="F187" s="87" t="n"/>
      <c r="G187" s="87" t="n"/>
      <c r="H187" s="87" t="n"/>
      <c r="I187" s="87" t="n"/>
      <c r="J187" s="87" t="n"/>
      <c r="K187" s="87" t="n"/>
      <c r="L187" s="87" t="n"/>
      <c r="M187" s="87" t="n"/>
      <c r="N187" s="87" t="n"/>
      <c r="O187" s="87" t="n"/>
    </row>
    <row r="188">
      <c r="A188" s="87" t="n"/>
      <c r="B188" s="87" t="n"/>
      <c r="C188" s="87" t="n"/>
      <c r="D188" s="87" t="n"/>
      <c r="E188" s="87" t="n"/>
      <c r="F188" s="87" t="n"/>
      <c r="G188" s="87" t="n"/>
      <c r="H188" s="87" t="n"/>
      <c r="I188" s="87" t="n"/>
      <c r="J188" s="87" t="n"/>
      <c r="K188" s="87" t="n"/>
      <c r="L188" s="87" t="n"/>
      <c r="M188" s="87" t="n"/>
      <c r="N188" s="87" t="n"/>
      <c r="O188" s="87" t="n"/>
    </row>
    <row r="189">
      <c r="A189" s="87" t="n"/>
      <c r="B189" s="87" t="n"/>
      <c r="C189" s="87" t="n"/>
      <c r="D189" s="87" t="n"/>
      <c r="E189" s="87" t="n"/>
      <c r="F189" s="87" t="n"/>
      <c r="G189" s="87" t="n"/>
      <c r="H189" s="87" t="n"/>
      <c r="I189" s="87" t="n"/>
      <c r="J189" s="87" t="n"/>
      <c r="K189" s="87" t="n"/>
      <c r="L189" s="87" t="n"/>
      <c r="M189" s="87" t="n"/>
      <c r="N189" s="87" t="n"/>
      <c r="O189" s="87" t="n"/>
    </row>
    <row r="190">
      <c r="A190" s="87" t="n"/>
      <c r="B190" s="87" t="n"/>
      <c r="C190" s="87" t="n"/>
      <c r="D190" s="87" t="n"/>
      <c r="E190" s="87" t="n"/>
      <c r="F190" s="87" t="n"/>
      <c r="G190" s="87" t="n"/>
      <c r="H190" s="87" t="n"/>
      <c r="I190" s="87" t="n"/>
      <c r="J190" s="87" t="n"/>
      <c r="K190" s="87" t="n"/>
      <c r="L190" s="87" t="n"/>
      <c r="M190" s="87" t="n"/>
      <c r="N190" s="87" t="n"/>
      <c r="O190" s="87" t="n"/>
    </row>
    <row r="191">
      <c r="A191" s="87" t="n"/>
      <c r="B191" s="87" t="n"/>
      <c r="C191" s="87" t="n"/>
      <c r="D191" s="87" t="n"/>
      <c r="E191" s="87" t="n"/>
      <c r="F191" s="87" t="n"/>
      <c r="G191" s="87" t="n"/>
      <c r="H191" s="87" t="n"/>
      <c r="I191" s="87" t="n"/>
      <c r="J191" s="87" t="n"/>
      <c r="K191" s="87" t="n"/>
      <c r="L191" s="87" t="n"/>
      <c r="M191" s="87" t="n"/>
      <c r="N191" s="87" t="n"/>
      <c r="O191" s="87" t="n"/>
    </row>
    <row r="192">
      <c r="A192" s="87" t="n"/>
      <c r="B192" s="87" t="n"/>
      <c r="C192" s="87" t="n"/>
      <c r="D192" s="87" t="n"/>
      <c r="E192" s="87" t="n"/>
      <c r="F192" s="87" t="n"/>
      <c r="G192" s="87" t="n"/>
      <c r="H192" s="87" t="n"/>
      <c r="I192" s="87" t="n"/>
      <c r="J192" s="87" t="n"/>
      <c r="K192" s="87" t="n"/>
      <c r="L192" s="87" t="n"/>
      <c r="M192" s="87" t="n"/>
      <c r="N192" s="87" t="n"/>
      <c r="O192" s="87" t="n"/>
    </row>
    <row r="193">
      <c r="A193" s="87" t="n"/>
      <c r="B193" s="87" t="n"/>
      <c r="C193" s="87" t="n"/>
      <c r="D193" s="87" t="n"/>
      <c r="E193" s="87" t="n"/>
      <c r="F193" s="87" t="n"/>
      <c r="G193" s="87" t="n"/>
      <c r="H193" s="87" t="n"/>
      <c r="I193" s="87" t="n"/>
      <c r="J193" s="87" t="n"/>
      <c r="K193" s="87" t="n"/>
      <c r="L193" s="87" t="n"/>
      <c r="M193" s="87" t="n"/>
      <c r="N193" s="87" t="n"/>
      <c r="O193" s="87" t="n"/>
    </row>
    <row r="194">
      <c r="A194" s="87" t="n"/>
      <c r="B194" s="87" t="n"/>
      <c r="C194" s="87" t="n"/>
      <c r="D194" s="87" t="n"/>
      <c r="E194" s="87" t="n"/>
      <c r="F194" s="87" t="n"/>
      <c r="G194" s="87" t="n"/>
      <c r="H194" s="87" t="n"/>
      <c r="I194" s="87" t="n"/>
      <c r="J194" s="87" t="n"/>
      <c r="K194" s="87" t="n"/>
      <c r="L194" s="87" t="n"/>
      <c r="M194" s="87" t="n"/>
      <c r="N194" s="87" t="n"/>
      <c r="O194" s="87" t="n"/>
    </row>
    <row r="195">
      <c r="A195" s="87" t="n"/>
      <c r="B195" s="87" t="n"/>
      <c r="C195" s="87" t="n"/>
      <c r="D195" s="87" t="n"/>
      <c r="E195" s="87" t="n"/>
      <c r="F195" s="87" t="n"/>
      <c r="G195" s="87" t="n"/>
      <c r="H195" s="87" t="n"/>
      <c r="I195" s="87" t="n"/>
      <c r="J195" s="87" t="n"/>
      <c r="K195" s="87" t="n"/>
      <c r="L195" s="87" t="n"/>
      <c r="M195" s="87" t="n"/>
      <c r="N195" s="87" t="n"/>
      <c r="O195" s="87" t="n"/>
    </row>
    <row r="196">
      <c r="A196" s="87" t="n"/>
      <c r="B196" s="87" t="n"/>
      <c r="C196" s="87" t="n"/>
      <c r="D196" s="87" t="n"/>
      <c r="E196" s="87" t="n"/>
      <c r="F196" s="87" t="n"/>
      <c r="G196" s="87" t="n"/>
      <c r="H196" s="87" t="n"/>
      <c r="I196" s="87" t="n"/>
      <c r="J196" s="87" t="n"/>
      <c r="K196" s="87" t="n"/>
      <c r="L196" s="87" t="n"/>
      <c r="M196" s="87" t="n"/>
      <c r="N196" s="87" t="n"/>
      <c r="O196" s="87" t="n"/>
    </row>
    <row r="197">
      <c r="A197" s="87" t="n"/>
      <c r="B197" s="87" t="n"/>
      <c r="C197" s="87" t="n"/>
      <c r="D197" s="87" t="n"/>
      <c r="E197" s="87" t="n"/>
      <c r="F197" s="87" t="n"/>
      <c r="G197" s="87" t="n"/>
      <c r="H197" s="87" t="n"/>
      <c r="I197" s="87" t="n"/>
      <c r="J197" s="87" t="n"/>
      <c r="K197" s="87" t="n"/>
      <c r="L197" s="87" t="n"/>
      <c r="M197" s="87" t="n"/>
      <c r="N197" s="87" t="n"/>
      <c r="O197" s="87" t="n"/>
    </row>
    <row r="198">
      <c r="A198" s="87" t="n"/>
      <c r="B198" s="87" t="n"/>
      <c r="C198" s="87" t="n"/>
      <c r="D198" s="87" t="n"/>
      <c r="E198" s="87" t="n"/>
      <c r="F198" s="87" t="n"/>
      <c r="G198" s="87" t="n"/>
      <c r="H198" s="87" t="n"/>
      <c r="I198" s="87" t="n"/>
      <c r="J198" s="87" t="n"/>
      <c r="K198" s="87" t="n"/>
      <c r="L198" s="87" t="n"/>
      <c r="M198" s="87" t="n"/>
      <c r="N198" s="87" t="n"/>
      <c r="O198" s="87" t="n"/>
    </row>
    <row r="199">
      <c r="A199" s="87" t="n"/>
      <c r="B199" s="87" t="n"/>
      <c r="C199" s="87" t="n"/>
      <c r="D199" s="87" t="n"/>
      <c r="E199" s="87" t="n"/>
      <c r="F199" s="87" t="n"/>
      <c r="G199" s="87" t="n"/>
      <c r="H199" s="87" t="n"/>
      <c r="I199" s="87" t="n"/>
      <c r="J199" s="87" t="n"/>
      <c r="K199" s="87" t="n"/>
      <c r="L199" s="87" t="n"/>
      <c r="M199" s="87" t="n"/>
      <c r="N199" s="87" t="n"/>
      <c r="O199" s="87" t="n"/>
    </row>
    <row r="200">
      <c r="A200" s="87" t="n"/>
      <c r="B200" s="87" t="n"/>
      <c r="C200" s="87" t="n"/>
      <c r="D200" s="87" t="n"/>
      <c r="E200" s="87" t="n"/>
      <c r="F200" s="87" t="n"/>
      <c r="G200" s="87" t="n"/>
      <c r="H200" s="87" t="n"/>
      <c r="I200" s="87" t="n"/>
      <c r="J200" s="87" t="n"/>
      <c r="K200" s="87" t="n"/>
      <c r="L200" s="87" t="n"/>
      <c r="M200" s="87" t="n"/>
      <c r="N200" s="87" t="n"/>
      <c r="O200" s="87" t="n"/>
    </row>
    <row r="201">
      <c r="A201" s="87" t="n"/>
      <c r="B201" s="87" t="n"/>
      <c r="C201" s="87" t="n"/>
      <c r="D201" s="87" t="n"/>
      <c r="E201" s="87" t="n"/>
      <c r="F201" s="87" t="n"/>
      <c r="G201" s="87" t="n"/>
      <c r="H201" s="87" t="n"/>
      <c r="I201" s="87" t="n"/>
      <c r="J201" s="87" t="n"/>
      <c r="K201" s="87" t="n"/>
      <c r="L201" s="87" t="n"/>
      <c r="M201" s="87" t="n"/>
      <c r="N201" s="87" t="n"/>
      <c r="O201" s="87" t="n"/>
    </row>
    <row r="202">
      <c r="A202" s="87" t="inlineStr">
        <is>
          <t>Consolidation Note</t>
        </is>
      </c>
      <c r="B202" s="87" t="inlineStr">
        <is>
          <t>Merged Relationship_Intelligence into Regulator_CRM. Relationship_Intelligence sheet removed.</t>
        </is>
      </c>
      <c r="C202" s="87" t="n"/>
      <c r="D202" s="87" t="n"/>
      <c r="E202" s="87" t="n"/>
      <c r="F202" s="87" t="n"/>
      <c r="G202" s="87" t="n"/>
      <c r="H202" s="87" t="n"/>
      <c r="I202" s="87" t="n"/>
      <c r="J202" s="87" t="n"/>
      <c r="K202" s="87" t="n"/>
      <c r="L202" s="87" t="n"/>
      <c r="M202" s="87" t="n"/>
      <c r="N202" s="87" t="n"/>
      <c r="O202" s="87" t="n"/>
    </row>
  </sheetData>
  <mergeCells count="1">
    <mergeCell ref="A1:J1"/>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cols>
    <col width="35.66999816894531" customWidth="1" style="44" min="1" max="1"/>
    <col width="8.609999656677246" customWidth="1" style="44" min="2" max="2"/>
    <col width="86.26999664306641" customWidth="1" style="44" min="3" max="3"/>
    <col width="87.34999847412109" customWidth="1" style="44" min="4" max="4"/>
    <col width="56.11999893188477" customWidth="1" style="44" min="5" max="5"/>
    <col width="35.66999816894531" customWidth="1" style="44" min="6" max="6"/>
    <col width="61.36999893188477" customWidth="1" style="44" min="7" max="7"/>
    <col width="14.13000011444092" customWidth="1" style="44" min="8" max="8"/>
    <col width="23.01000022888184" customWidth="1" style="44" min="9" max="9"/>
    <col width="17.5" customWidth="1" style="44" min="10" max="10"/>
  </cols>
  <sheetData>
    <row r="1" ht="28" customHeight="1" s="44">
      <c r="A1" s="136" t="inlineStr">
        <is>
          <t>Regulatory Knowledge Base AI-lite</t>
        </is>
      </c>
      <c r="B1" s="1" t="n"/>
      <c r="C1" s="1" t="n"/>
      <c r="D1" s="1" t="n"/>
      <c r="E1" s="1" t="n"/>
      <c r="F1" s="1" t="n"/>
      <c r="G1" s="1" t="n"/>
      <c r="H1" s="1" t="n"/>
      <c r="I1" s="1" t="n"/>
      <c r="J1" s="1" t="n"/>
    </row>
    <row r="2">
      <c r="A2" s="12" t="n"/>
      <c r="B2" s="12" t="n"/>
      <c r="C2" s="12" t="n"/>
      <c r="D2" s="12" t="n"/>
      <c r="E2" s="12" t="n"/>
      <c r="F2" s="12" t="n"/>
      <c r="G2" s="12" t="n"/>
      <c r="H2" s="12" t="n"/>
      <c r="I2" s="12" t="n"/>
      <c r="J2" s="12" t="n"/>
    </row>
    <row r="3">
      <c r="A3" s="69" t="inlineStr">
        <is>
          <t>Topic / Regulation</t>
        </is>
      </c>
      <c r="B3" s="69" t="inlineStr">
        <is>
          <t>Agency</t>
        </is>
      </c>
      <c r="C3" s="69" t="inlineStr">
        <is>
          <t>Summary</t>
        </is>
      </c>
      <c r="D3" s="69" t="inlineStr">
        <is>
          <t>Key Obligations</t>
        </is>
      </c>
      <c r="E3" s="69" t="inlineStr">
        <is>
          <t>Impact on Manulife</t>
        </is>
      </c>
      <c r="F3" s="69" t="inlineStr">
        <is>
          <t>Affected Departments</t>
        </is>
      </c>
      <c r="G3" s="69" t="inlineStr">
        <is>
          <t>Required Actions</t>
        </is>
      </c>
      <c r="H3" s="69" t="inlineStr">
        <is>
          <t>Status</t>
        </is>
      </c>
      <c r="I3" s="69" t="inlineStr">
        <is>
          <t>Owner</t>
        </is>
      </c>
      <c r="J3" s="69" t="inlineStr">
        <is>
          <t>Review Frequency</t>
        </is>
      </c>
    </row>
    <row r="4">
      <c r="A4" s="12" t="inlineStr">
        <is>
          <t>Insurance Law / Amended Insurance Law</t>
        </is>
      </c>
      <c r="B4" s="12" t="inlineStr">
        <is>
          <t>MOF / ISA</t>
        </is>
      </c>
      <c r="C4" s="12" t="inlineStr">
        <is>
          <t>Core legal framework for insurance business, licensing, solvency, distribution and product obligations.</t>
        </is>
      </c>
      <c r="D4" s="12" t="inlineStr">
        <is>
          <t>Maintain licensed activities, solvency discipline, product compliance and market conduct standards.</t>
        </is>
      </c>
      <c r="E4" s="12" t="inlineStr">
        <is>
          <t>High impact on products, capital, reporting and distribution.</t>
        </is>
      </c>
      <c r="F4" s="12" t="inlineStr">
        <is>
          <t>Legal; Compliance; Finance; Product; Agency</t>
        </is>
      </c>
      <c r="G4" s="12" t="inlineStr">
        <is>
          <t>Maintain obligations register; update internal policies; train business owners.</t>
        </is>
      </c>
      <c r="H4" s="12" t="inlineStr">
        <is>
          <t>Active</t>
        </is>
      </c>
      <c r="I4" s="12" t="inlineStr">
        <is>
          <t>Legal + PA</t>
        </is>
      </c>
      <c r="J4" s="12" t="inlineStr">
        <is>
          <t>Quarterly</t>
        </is>
      </c>
    </row>
    <row r="5">
      <c r="A5" s="12" t="inlineStr">
        <is>
          <t>Circular on Product Approval Process</t>
        </is>
      </c>
      <c r="B5" s="12" t="inlineStr">
        <is>
          <t>ISA</t>
        </is>
      </c>
      <c r="C5" s="12" t="inlineStr">
        <is>
          <t>Expected guidance tightening product filing, Q&amp;A, disclosure and customer suitability documentation.</t>
        </is>
      </c>
      <c r="D5" s="12" t="inlineStr">
        <is>
          <t>Provide complete product dossier, customer disclosure evidence and timely responses to regulator questions.</t>
        </is>
      </c>
      <c r="E5" s="12" t="inlineStr">
        <is>
          <t>High impact on product launch timeline and internal approval process.</t>
        </is>
      </c>
      <c r="F5" s="12" t="inlineStr">
        <is>
          <t>Product; Legal; Compliance; PA</t>
        </is>
      </c>
      <c r="G5" s="12" t="inlineStr">
        <is>
          <t>Create product approval checklist and regulator Q&amp;A tracker.</t>
        </is>
      </c>
      <c r="H5" s="12" t="inlineStr">
        <is>
          <t>Monitoring</t>
        </is>
      </c>
      <c r="I5" s="12" t="inlineStr">
        <is>
          <t>Product + PA</t>
        </is>
      </c>
      <c r="J5" s="12" t="inlineStr">
        <is>
          <t>Monthly</t>
        </is>
      </c>
    </row>
    <row r="6">
      <c r="A6" s="12" t="inlineStr">
        <is>
          <t>Bancassurance Conduct Guidance</t>
        </is>
      </c>
      <c r="B6" s="12" t="inlineStr">
        <is>
          <t>SBV / MOF</t>
        </is>
      </c>
      <c r="C6" s="12" t="inlineStr">
        <is>
          <t>Guidance likely focused on sales practices, transparency and customer consent in bank distribution.</t>
        </is>
      </c>
      <c r="D6" s="12" t="inlineStr">
        <is>
          <t>Improve sales governance, disclosure and complaint handling evidence.</t>
        </is>
      </c>
      <c r="E6" s="12" t="inlineStr">
        <is>
          <t>High impact on bancassurance revenue, conduct risk and reputation.</t>
        </is>
      </c>
      <c r="F6" s="12" t="inlineStr">
        <is>
          <t>Bancassurance; Compliance; Legal; PA</t>
        </is>
      </c>
      <c r="G6" s="12" t="inlineStr">
        <is>
          <t>Prepare industry input; strengthen sales conduct monitoring.</t>
        </is>
      </c>
      <c r="H6" s="12" t="inlineStr">
        <is>
          <t>Drafting</t>
        </is>
      </c>
      <c r="I6" s="12" t="inlineStr">
        <is>
          <t>Bancassurance + Compliance</t>
        </is>
      </c>
      <c r="J6" s="12" t="inlineStr">
        <is>
          <t>Monthly</t>
        </is>
      </c>
    </row>
    <row r="7">
      <c r="A7" s="12" t="inlineStr">
        <is>
          <t>Personal Data Protection / Data Localization</t>
        </is>
      </c>
      <c r="B7" s="12" t="inlineStr">
        <is>
          <t>MIC</t>
        </is>
      </c>
      <c r="C7" s="12" t="inlineStr">
        <is>
          <t>Rules on consent, data processing, cross-border transfer and storage obligations.</t>
        </is>
      </c>
      <c r="D7" s="12" t="inlineStr">
        <is>
          <t>Maintain consent records, privacy notices and controls over data sharing.</t>
        </is>
      </c>
      <c r="E7" s="12" t="inlineStr">
        <is>
          <t>Medium-high impact on digital sales and customer data operations.</t>
        </is>
      </c>
      <c r="F7" s="12" t="inlineStr">
        <is>
          <t>IT; Digital; Legal; Compliance; PA</t>
        </is>
      </c>
      <c r="G7" s="12" t="inlineStr">
        <is>
          <t>Map data flows; prepare compliance note for regulator engagement.</t>
        </is>
      </c>
      <c r="H7" s="12" t="inlineStr">
        <is>
          <t>Implementation</t>
        </is>
      </c>
      <c r="I7" s="12" t="inlineStr">
        <is>
          <t>Digital + Legal</t>
        </is>
      </c>
      <c r="J7" s="12" t="inlineStr">
        <is>
          <t>Monthly</t>
        </is>
      </c>
    </row>
    <row r="8">
      <c r="A8" s="12" t="inlineStr">
        <is>
          <t>Consumer Protection Requirements</t>
        </is>
      </c>
      <c r="B8" s="12" t="inlineStr">
        <is>
          <t>VCA / ISA</t>
        </is>
      </c>
      <c r="C8" s="12" t="inlineStr">
        <is>
          <t>Rules and expectations around complaint transparency, mis-selling prevention and fair customer treatment.</t>
        </is>
      </c>
      <c r="D8" s="12" t="inlineStr">
        <is>
          <t>Maintain complaint records, remediation evidence and transparent customer communication.</t>
        </is>
      </c>
      <c r="E8" s="12" t="inlineStr">
        <is>
          <t>High reputation impact and can trigger regulatory scrutiny.</t>
        </is>
      </c>
      <c r="F8" s="12" t="inlineStr">
        <is>
          <t>Compliance; Operations; Agency; PA</t>
        </is>
      </c>
      <c r="G8" s="12" t="inlineStr">
        <is>
          <t>Build customer complaint dashboard and regulator-ready remediation pack.</t>
        </is>
      </c>
      <c r="H8" s="12" t="inlineStr">
        <is>
          <t>Effective soon</t>
        </is>
      </c>
      <c r="I8" s="12" t="inlineStr">
        <is>
          <t>Compliance + PA</t>
        </is>
      </c>
      <c r="J8" s="12" t="inlineStr">
        <is>
          <t>Monthly</t>
        </is>
      </c>
    </row>
    <row r="9">
      <c r="A9" s="12" t="inlineStr">
        <is>
          <t>ESG Disclosure for Insurers</t>
        </is>
      </c>
      <c r="B9" s="12" t="inlineStr">
        <is>
          <t>MOF</t>
        </is>
      </c>
      <c r="C9" s="12" t="inlineStr">
        <is>
          <t>Emerging expectation for sustainability disclosure, responsible investment and social contribution reporting.</t>
        </is>
      </c>
      <c r="D9" s="12" t="inlineStr">
        <is>
          <t>Collect ESG data and align disclosures with group and local expectations.</t>
        </is>
      </c>
      <c r="E9" s="12" t="inlineStr">
        <is>
          <t>Medium impact; opportunity to strengthen legitimacy.</t>
        </is>
      </c>
      <c r="F9" s="12" t="inlineStr">
        <is>
          <t>Finance; Investment; Sustainability; PA</t>
        </is>
      </c>
      <c r="G9" s="12" t="inlineStr">
        <is>
          <t>Prepare baseline ESG disclosure template.</t>
        </is>
      </c>
      <c r="H9" s="12" t="inlineStr">
        <is>
          <t>Early consultation</t>
        </is>
      </c>
      <c r="I9" s="12" t="inlineStr">
        <is>
          <t>Finance + PA</t>
        </is>
      </c>
      <c r="J9" s="12" t="inlineStr">
        <is>
          <t>Quarterly</t>
        </is>
      </c>
    </row>
    <row r="10">
      <c r="A10" s="12" t="n"/>
      <c r="B10" s="12" t="n"/>
      <c r="C10" s="12" t="n"/>
      <c r="D10" s="12" t="n"/>
      <c r="E10" s="12" t="n"/>
      <c r="F10" s="12" t="n"/>
      <c r="G10" s="12" t="n"/>
      <c r="H10" s="12" t="n"/>
      <c r="I10" s="12" t="n"/>
      <c r="J10" s="12" t="n"/>
    </row>
    <row r="11">
      <c r="A11" s="12" t="n"/>
      <c r="B11" s="12" t="n"/>
      <c r="C11" s="12" t="n"/>
      <c r="D11" s="12" t="n"/>
      <c r="E11" s="12" t="n"/>
      <c r="F11" s="12" t="n"/>
      <c r="G11" s="12" t="n"/>
      <c r="H11" s="12" t="n"/>
      <c r="I11" s="12" t="n"/>
      <c r="J11" s="12" t="n"/>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n"/>
      <c r="B14" s="12" t="n"/>
      <c r="C14" s="12" t="n"/>
      <c r="D14" s="12" t="n"/>
      <c r="E14" s="12" t="n"/>
      <c r="F14" s="12" t="n"/>
      <c r="G14" s="12" t="n"/>
      <c r="H14" s="12" t="n"/>
      <c r="I14" s="12" t="n"/>
      <c r="J14" s="12" t="n"/>
    </row>
    <row r="15">
      <c r="A15" s="12" t="n"/>
      <c r="B15" s="12" t="n"/>
      <c r="C15" s="12" t="n"/>
      <c r="D15" s="12" t="n"/>
      <c r="E15" s="12" t="n"/>
      <c r="F15" s="12" t="n"/>
      <c r="G15" s="12" t="n"/>
      <c r="H15" s="12" t="n"/>
      <c r="I15" s="12" t="n"/>
      <c r="J15" s="12" t="n"/>
    </row>
    <row r="16">
      <c r="A16" s="12" t="n"/>
      <c r="B16" s="12" t="n"/>
      <c r="C16" s="12" t="n"/>
      <c r="D16" s="12" t="n"/>
      <c r="E16" s="12" t="n"/>
      <c r="F16" s="12" t="n"/>
      <c r="G16" s="12" t="n"/>
      <c r="H16" s="12" t="n"/>
      <c r="I16" s="12" t="n"/>
      <c r="J16" s="12" t="n"/>
    </row>
    <row r="17">
      <c r="A17" s="12" t="n"/>
      <c r="B17" s="12" t="n"/>
      <c r="C17" s="12" t="n"/>
      <c r="D17" s="12" t="n"/>
      <c r="E17" s="12" t="n"/>
      <c r="F17" s="12" t="n"/>
      <c r="G17" s="12" t="n"/>
      <c r="H17" s="12" t="n"/>
      <c r="I17" s="12" t="n"/>
      <c r="J17" s="12" t="n"/>
    </row>
    <row r="18">
      <c r="A18" s="12" t="n"/>
      <c r="B18" s="12" t="n"/>
      <c r="C18" s="12" t="n"/>
      <c r="D18" s="12" t="n"/>
      <c r="E18" s="12" t="n"/>
      <c r="F18" s="12" t="n"/>
      <c r="G18" s="12" t="n"/>
      <c r="H18" s="12" t="n"/>
      <c r="I18" s="12" t="n"/>
      <c r="J18" s="12" t="n"/>
    </row>
    <row r="19">
      <c r="A19" s="12" t="n"/>
      <c r="B19" s="12" t="n"/>
      <c r="C19" s="12" t="n"/>
      <c r="D19" s="12" t="n"/>
      <c r="E19" s="12" t="n"/>
      <c r="F19" s="12" t="n"/>
      <c r="G19" s="12" t="n"/>
      <c r="H19" s="12" t="n"/>
      <c r="I19" s="12" t="n"/>
      <c r="J19" s="12" t="n"/>
    </row>
    <row r="20">
      <c r="A20" s="12" t="n"/>
      <c r="B20" s="12" t="n"/>
      <c r="C20" s="12" t="n"/>
      <c r="D20" s="12" t="n"/>
      <c r="E20" s="12" t="n"/>
      <c r="F20" s="12" t="n"/>
      <c r="G20" s="12" t="n"/>
      <c r="H20" s="12" t="n"/>
      <c r="I20" s="12" t="n"/>
      <c r="J20" s="12" t="n"/>
    </row>
    <row r="21">
      <c r="A21" s="12" t="n"/>
      <c r="B21" s="12" t="n"/>
      <c r="C21" s="12" t="n"/>
      <c r="D21" s="12" t="n"/>
      <c r="E21" s="12" t="n"/>
      <c r="F21" s="12" t="n"/>
      <c r="G21" s="12" t="n"/>
      <c r="H21" s="12" t="n"/>
      <c r="I21" s="12" t="n"/>
      <c r="J21" s="12" t="n"/>
    </row>
    <row r="22">
      <c r="A22" s="12" t="n"/>
      <c r="B22" s="12" t="n"/>
      <c r="C22" s="12" t="n"/>
      <c r="D22" s="12" t="n"/>
      <c r="E22" s="12" t="n"/>
      <c r="F22" s="12" t="n"/>
      <c r="G22" s="12" t="n"/>
      <c r="H22" s="12" t="n"/>
      <c r="I22" s="12" t="n"/>
      <c r="J22" s="12" t="n"/>
    </row>
    <row r="23">
      <c r="A23" s="12" t="n"/>
      <c r="B23" s="12" t="n"/>
      <c r="C23" s="12" t="n"/>
      <c r="D23" s="12" t="n"/>
      <c r="E23" s="12" t="n"/>
      <c r="F23" s="12" t="n"/>
      <c r="G23" s="12" t="n"/>
      <c r="H23" s="12" t="n"/>
      <c r="I23" s="12" t="n"/>
      <c r="J23" s="12" t="n"/>
    </row>
    <row r="24">
      <c r="A24" s="12" t="n"/>
      <c r="B24" s="12" t="n"/>
      <c r="C24" s="12" t="n"/>
      <c r="D24" s="12" t="n"/>
      <c r="E24" s="12" t="n"/>
      <c r="F24" s="12" t="n"/>
      <c r="G24" s="12" t="n"/>
      <c r="H24" s="12" t="n"/>
      <c r="I24" s="12" t="n"/>
      <c r="J24" s="12" t="n"/>
    </row>
    <row r="25">
      <c r="A25" s="12" t="n"/>
      <c r="B25" s="12" t="n"/>
      <c r="C25" s="12" t="n"/>
      <c r="D25" s="12" t="n"/>
      <c r="E25" s="12" t="n"/>
      <c r="F25" s="12" t="n"/>
      <c r="G25" s="12" t="n"/>
      <c r="H25" s="12" t="n"/>
      <c r="I25" s="12" t="n"/>
      <c r="J25" s="12" t="n"/>
    </row>
    <row r="26">
      <c r="A26" s="12" t="n"/>
      <c r="B26" s="12" t="n"/>
      <c r="C26" s="12" t="n"/>
      <c r="D26" s="12" t="n"/>
      <c r="E26" s="12" t="n"/>
      <c r="F26" s="12" t="n"/>
      <c r="G26" s="12" t="n"/>
      <c r="H26" s="12" t="n"/>
      <c r="I26" s="12" t="n"/>
      <c r="J26" s="12" t="n"/>
    </row>
    <row r="27">
      <c r="A27" s="12" t="n"/>
      <c r="B27" s="12" t="n"/>
      <c r="C27" s="12" t="n"/>
      <c r="D27" s="12" t="n"/>
      <c r="E27" s="12" t="n"/>
      <c r="F27" s="12" t="n"/>
      <c r="G27" s="12" t="n"/>
      <c r="H27" s="12" t="n"/>
      <c r="I27" s="12" t="n"/>
      <c r="J27" s="12" t="n"/>
    </row>
    <row r="28">
      <c r="A28" s="12" t="n"/>
      <c r="B28" s="12" t="n"/>
      <c r="C28" s="12" t="n"/>
      <c r="D28" s="12" t="n"/>
      <c r="E28" s="12" t="n"/>
      <c r="F28" s="12" t="n"/>
      <c r="G28" s="12" t="n"/>
      <c r="H28" s="12" t="n"/>
      <c r="I28" s="12" t="n"/>
      <c r="J28" s="12" t="n"/>
    </row>
    <row r="29">
      <c r="A29" s="12" t="n"/>
      <c r="B29" s="12" t="n"/>
      <c r="C29" s="12" t="n"/>
      <c r="D29" s="12" t="n"/>
      <c r="E29" s="12" t="n"/>
      <c r="F29" s="12" t="n"/>
      <c r="G29" s="12" t="n"/>
      <c r="H29" s="12" t="n"/>
      <c r="I29" s="12" t="n"/>
      <c r="J29" s="12" t="n"/>
    </row>
    <row r="30">
      <c r="A30" s="12" t="n"/>
      <c r="B30" s="12" t="n"/>
      <c r="C30" s="12" t="n"/>
      <c r="D30" s="12" t="n"/>
      <c r="E30" s="12" t="n"/>
      <c r="F30" s="12" t="n"/>
      <c r="G30" s="12" t="n"/>
      <c r="H30" s="12" t="n"/>
      <c r="I30" s="12" t="n"/>
      <c r="J30" s="12" t="n"/>
    </row>
    <row r="31">
      <c r="A31" s="12" t="n"/>
      <c r="B31" s="12" t="n"/>
      <c r="C31" s="12" t="n"/>
      <c r="D31" s="12" t="n"/>
      <c r="E31" s="12" t="n"/>
      <c r="F31" s="12" t="n"/>
      <c r="G31" s="12" t="n"/>
      <c r="H31" s="12" t="n"/>
      <c r="I31" s="12" t="n"/>
      <c r="J31" s="12" t="n"/>
    </row>
    <row r="32">
      <c r="A32" s="12" t="n"/>
      <c r="B32" s="12" t="n"/>
      <c r="C32" s="12" t="n"/>
      <c r="D32" s="12" t="n"/>
      <c r="E32" s="12" t="n"/>
      <c r="F32" s="12" t="n"/>
      <c r="G32" s="12" t="n"/>
      <c r="H32" s="12" t="n"/>
      <c r="I32" s="12" t="n"/>
      <c r="J32" s="12" t="n"/>
    </row>
    <row r="33">
      <c r="A33" s="12" t="n"/>
      <c r="B33" s="12" t="n"/>
      <c r="C33" s="12" t="n"/>
      <c r="D33" s="12" t="n"/>
      <c r="E33" s="12" t="n"/>
      <c r="F33" s="12" t="n"/>
      <c r="G33" s="12" t="n"/>
      <c r="H33" s="12" t="n"/>
      <c r="I33" s="12" t="n"/>
      <c r="J33" s="12" t="n"/>
    </row>
    <row r="34">
      <c r="A34" s="12" t="n"/>
      <c r="B34" s="12" t="n"/>
      <c r="C34" s="12" t="n"/>
      <c r="D34" s="12" t="n"/>
      <c r="E34" s="12" t="n"/>
      <c r="F34" s="12" t="n"/>
      <c r="G34" s="12" t="n"/>
      <c r="H34" s="12" t="n"/>
      <c r="I34" s="12" t="n"/>
      <c r="J34" s="12" t="n"/>
    </row>
    <row r="35">
      <c r="A35" s="12" t="n"/>
      <c r="B35" s="12" t="n"/>
      <c r="C35" s="12" t="n"/>
      <c r="D35" s="12" t="n"/>
      <c r="E35" s="12" t="n"/>
      <c r="F35" s="12" t="n"/>
      <c r="G35" s="12" t="n"/>
      <c r="H35" s="12" t="n"/>
      <c r="I35" s="12" t="n"/>
      <c r="J35" s="12" t="n"/>
    </row>
    <row r="36">
      <c r="A36" s="12" t="n"/>
      <c r="B36" s="12" t="n"/>
      <c r="C36" s="12" t="n"/>
      <c r="D36" s="12" t="n"/>
      <c r="E36" s="12" t="n"/>
      <c r="F36" s="12" t="n"/>
      <c r="G36" s="12" t="n"/>
      <c r="H36" s="12" t="n"/>
      <c r="I36" s="12" t="n"/>
      <c r="J36" s="12" t="n"/>
    </row>
    <row r="37">
      <c r="A37" s="12" t="n"/>
      <c r="B37" s="12" t="n"/>
      <c r="C37" s="12" t="n"/>
      <c r="D37" s="12" t="n"/>
      <c r="E37" s="12" t="n"/>
      <c r="F37" s="12" t="n"/>
      <c r="G37" s="12" t="n"/>
      <c r="H37" s="12" t="n"/>
      <c r="I37" s="12" t="n"/>
      <c r="J37" s="12" t="n"/>
    </row>
    <row r="38">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2" t="n"/>
      <c r="B40" s="12" t="n"/>
      <c r="C40" s="12" t="n"/>
      <c r="D40" s="12" t="n"/>
      <c r="E40" s="12" t="n"/>
      <c r="F40" s="12" t="n"/>
      <c r="G40" s="12" t="n"/>
      <c r="H40" s="12" t="n"/>
      <c r="I40" s="12" t="n"/>
      <c r="J40" s="12" t="n"/>
    </row>
    <row r="41">
      <c r="A41" s="12" t="n"/>
      <c r="B41" s="12" t="n"/>
      <c r="C41" s="12" t="n"/>
      <c r="D41" s="12" t="n"/>
      <c r="E41" s="12" t="n"/>
      <c r="F41" s="12" t="n"/>
      <c r="G41" s="12" t="n"/>
      <c r="H41" s="12" t="n"/>
      <c r="I41" s="12" t="n"/>
      <c r="J41" s="12" t="n"/>
    </row>
    <row r="42">
      <c r="A42" s="12" t="n"/>
      <c r="B42" s="12" t="n"/>
      <c r="C42" s="12" t="n"/>
      <c r="D42" s="12" t="n"/>
      <c r="E42" s="12" t="n"/>
      <c r="F42" s="12" t="n"/>
      <c r="G42" s="12" t="n"/>
      <c r="H42" s="12" t="n"/>
      <c r="I42" s="12" t="n"/>
      <c r="J42" s="12" t="n"/>
    </row>
    <row r="43">
      <c r="A43" s="12" t="n"/>
      <c r="B43" s="12" t="n"/>
      <c r="C43" s="12" t="n"/>
      <c r="D43" s="12" t="n"/>
      <c r="E43" s="12" t="n"/>
      <c r="F43" s="12" t="n"/>
      <c r="G43" s="12" t="n"/>
      <c r="H43" s="12" t="n"/>
      <c r="I43" s="12" t="n"/>
      <c r="J43" s="12" t="n"/>
    </row>
    <row r="44">
      <c r="A44" s="12" t="n"/>
      <c r="B44" s="12" t="n"/>
      <c r="C44" s="12" t="n"/>
      <c r="D44" s="12" t="n"/>
      <c r="E44" s="12" t="n"/>
      <c r="F44" s="12" t="n"/>
      <c r="G44" s="12" t="n"/>
      <c r="H44" s="12" t="n"/>
      <c r="I44" s="12" t="n"/>
      <c r="J44" s="12" t="n"/>
    </row>
    <row r="45">
      <c r="A45" s="12" t="n"/>
      <c r="B45" s="12" t="n"/>
      <c r="C45" s="12" t="n"/>
      <c r="D45" s="12" t="n"/>
      <c r="E45" s="12" t="n"/>
      <c r="F45" s="12" t="n"/>
      <c r="G45" s="12" t="n"/>
      <c r="H45" s="12" t="n"/>
      <c r="I45" s="12" t="n"/>
      <c r="J45" s="12" t="n"/>
    </row>
    <row r="46">
      <c r="A46" s="12" t="n"/>
      <c r="B46" s="12" t="n"/>
      <c r="C46" s="12" t="n"/>
      <c r="D46" s="12" t="n"/>
      <c r="E46" s="12" t="n"/>
      <c r="F46" s="12" t="n"/>
      <c r="G46" s="12" t="n"/>
      <c r="H46" s="12" t="n"/>
      <c r="I46" s="12" t="n"/>
      <c r="J46" s="12" t="n"/>
    </row>
    <row r="47">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row r="49">
      <c r="A49" s="12" t="n"/>
      <c r="B49" s="12" t="n"/>
      <c r="C49" s="12" t="n"/>
      <c r="D49" s="12" t="n"/>
      <c r="E49" s="12" t="n"/>
      <c r="F49" s="12" t="n"/>
      <c r="G49" s="12" t="n"/>
      <c r="H49" s="12" t="n"/>
      <c r="I49" s="12" t="n"/>
      <c r="J49" s="12" t="n"/>
    </row>
    <row r="50">
      <c r="A50" s="12" t="n"/>
      <c r="B50" s="12" t="n"/>
      <c r="C50" s="12" t="n"/>
      <c r="D50" s="12" t="n"/>
      <c r="E50" s="12" t="n"/>
      <c r="F50" s="12" t="n"/>
      <c r="G50" s="12" t="n"/>
      <c r="H50" s="12" t="n"/>
      <c r="I50" s="12" t="n"/>
      <c r="J50" s="12" t="n"/>
    </row>
    <row r="51">
      <c r="A51" s="12" t="n"/>
      <c r="B51" s="12" t="n"/>
      <c r="C51" s="12" t="n"/>
      <c r="D51" s="12" t="n"/>
      <c r="E51" s="12" t="n"/>
      <c r="F51" s="12" t="n"/>
      <c r="G51" s="12" t="n"/>
      <c r="H51" s="12" t="n"/>
      <c r="I51" s="12" t="n"/>
      <c r="J51" s="12" t="n"/>
    </row>
    <row r="52">
      <c r="A52" s="12" t="n"/>
      <c r="B52" s="12" t="n"/>
      <c r="C52" s="12" t="n"/>
      <c r="D52" s="12" t="n"/>
      <c r="E52" s="12" t="n"/>
      <c r="F52" s="12" t="n"/>
      <c r="G52" s="12" t="n"/>
      <c r="H52" s="12" t="n"/>
      <c r="I52" s="12" t="n"/>
      <c r="J52" s="12" t="n"/>
    </row>
    <row r="53">
      <c r="A53" s="12" t="n"/>
      <c r="B53" s="12" t="n"/>
      <c r="C53" s="12" t="n"/>
      <c r="D53" s="12" t="n"/>
      <c r="E53" s="12" t="n"/>
      <c r="F53" s="12" t="n"/>
      <c r="G53" s="12" t="n"/>
      <c r="H53" s="12" t="n"/>
      <c r="I53" s="12" t="n"/>
      <c r="J53" s="12" t="n"/>
    </row>
    <row r="54">
      <c r="A54" s="12" t="n"/>
      <c r="B54" s="12" t="n"/>
      <c r="C54" s="12" t="n"/>
      <c r="D54" s="12" t="n"/>
      <c r="E54" s="12" t="n"/>
      <c r="F54" s="12" t="n"/>
      <c r="G54" s="12" t="n"/>
      <c r="H54" s="12" t="n"/>
      <c r="I54" s="12" t="n"/>
      <c r="J54" s="12" t="n"/>
    </row>
    <row r="55">
      <c r="A55" s="12" t="n"/>
      <c r="B55" s="12" t="n"/>
      <c r="C55" s="12" t="n"/>
      <c r="D55" s="12" t="n"/>
      <c r="E55" s="12" t="n"/>
      <c r="F55" s="12" t="n"/>
      <c r="G55" s="12" t="n"/>
      <c r="H55" s="12" t="n"/>
      <c r="I55" s="12" t="n"/>
      <c r="J55" s="12" t="n"/>
    </row>
    <row r="56">
      <c r="A56" s="12" t="n"/>
      <c r="B56" s="12" t="n"/>
      <c r="C56" s="12" t="n"/>
      <c r="D56" s="12" t="n"/>
      <c r="E56" s="12" t="n"/>
      <c r="F56" s="12" t="n"/>
      <c r="G56" s="12" t="n"/>
      <c r="H56" s="12" t="n"/>
      <c r="I56" s="12" t="n"/>
      <c r="J56" s="12" t="n"/>
    </row>
    <row r="57">
      <c r="A57" s="12" t="n"/>
      <c r="B57" s="12" t="n"/>
      <c r="C57" s="12" t="n"/>
      <c r="D57" s="12" t="n"/>
      <c r="E57" s="12" t="n"/>
      <c r="F57" s="12" t="n"/>
      <c r="G57" s="12" t="n"/>
      <c r="H57" s="12" t="n"/>
      <c r="I57" s="12" t="n"/>
      <c r="J57" s="12" t="n"/>
    </row>
    <row r="58">
      <c r="A58" s="12" t="n"/>
      <c r="B58" s="12" t="n"/>
      <c r="C58" s="12" t="n"/>
      <c r="D58" s="12" t="n"/>
      <c r="E58" s="12" t="n"/>
      <c r="F58" s="12" t="n"/>
      <c r="G58" s="12" t="n"/>
      <c r="H58" s="12" t="n"/>
      <c r="I58" s="12" t="n"/>
      <c r="J58" s="12" t="n"/>
    </row>
    <row r="59">
      <c r="A59" s="12" t="n"/>
      <c r="B59" s="12" t="n"/>
      <c r="C59" s="12" t="n"/>
      <c r="D59" s="12" t="n"/>
      <c r="E59" s="12" t="n"/>
      <c r="F59" s="12" t="n"/>
      <c r="G59" s="12" t="n"/>
      <c r="H59" s="12" t="n"/>
      <c r="I59" s="12" t="n"/>
      <c r="J59" s="12" t="n"/>
    </row>
    <row r="60">
      <c r="A60" s="12" t="n"/>
      <c r="B60" s="12" t="n"/>
      <c r="C60" s="12" t="n"/>
      <c r="D60" s="12" t="n"/>
      <c r="E60" s="12" t="n"/>
      <c r="F60" s="12" t="n"/>
      <c r="G60" s="12" t="n"/>
      <c r="H60" s="12" t="n"/>
      <c r="I60" s="12" t="n"/>
      <c r="J60" s="12" t="n"/>
    </row>
    <row r="61">
      <c r="A61" s="12" t="n"/>
      <c r="B61" s="12" t="n"/>
      <c r="C61" s="12" t="n"/>
      <c r="D61" s="12" t="n"/>
      <c r="E61" s="12" t="n"/>
      <c r="F61" s="12" t="n"/>
      <c r="G61" s="12" t="n"/>
      <c r="H61" s="12" t="n"/>
      <c r="I61" s="12" t="n"/>
      <c r="J61" s="12" t="n"/>
    </row>
    <row r="62">
      <c r="A62" s="12" t="n"/>
      <c r="B62" s="12" t="n"/>
      <c r="C62" s="12" t="n"/>
      <c r="D62" s="12" t="n"/>
      <c r="E62" s="12" t="n"/>
      <c r="F62" s="12" t="n"/>
      <c r="G62" s="12" t="n"/>
      <c r="H62" s="12" t="n"/>
      <c r="I62" s="12" t="n"/>
      <c r="J62" s="12" t="n"/>
    </row>
    <row r="63">
      <c r="A63" s="12" t="n"/>
      <c r="B63" s="12" t="n"/>
      <c r="C63" s="12" t="n"/>
      <c r="D63" s="12" t="n"/>
      <c r="E63" s="12" t="n"/>
      <c r="F63" s="12" t="n"/>
      <c r="G63" s="12" t="n"/>
      <c r="H63" s="12" t="n"/>
      <c r="I63" s="12" t="n"/>
      <c r="J63" s="12" t="n"/>
    </row>
    <row r="64">
      <c r="A64" s="12" t="n"/>
      <c r="B64" s="12" t="n"/>
      <c r="C64" s="12" t="n"/>
      <c r="D64" s="12" t="n"/>
      <c r="E64" s="12" t="n"/>
      <c r="F64" s="12" t="n"/>
      <c r="G64" s="12" t="n"/>
      <c r="H64" s="12" t="n"/>
      <c r="I64" s="12" t="n"/>
      <c r="J64" s="12" t="n"/>
    </row>
    <row r="65">
      <c r="A65" s="12" t="n"/>
      <c r="B65" s="12" t="n"/>
      <c r="C65" s="12" t="n"/>
      <c r="D65" s="12" t="n"/>
      <c r="E65" s="12" t="n"/>
      <c r="F65" s="12" t="n"/>
      <c r="G65" s="12" t="n"/>
      <c r="H65" s="12" t="n"/>
      <c r="I65" s="12" t="n"/>
      <c r="J65" s="12" t="n"/>
    </row>
    <row r="66">
      <c r="A66" s="12" t="n"/>
      <c r="B66" s="12" t="n"/>
      <c r="C66" s="12" t="n"/>
      <c r="D66" s="12" t="n"/>
      <c r="E66" s="12" t="n"/>
      <c r="F66" s="12" t="n"/>
      <c r="G66" s="12" t="n"/>
      <c r="H66" s="12" t="n"/>
      <c r="I66" s="12" t="n"/>
      <c r="J66" s="12" t="n"/>
    </row>
    <row r="67">
      <c r="A67" s="12" t="n"/>
      <c r="B67" s="12" t="n"/>
      <c r="C67" s="12" t="n"/>
      <c r="D67" s="12" t="n"/>
      <c r="E67" s="12" t="n"/>
      <c r="F67" s="12" t="n"/>
      <c r="G67" s="12" t="n"/>
      <c r="H67" s="12" t="n"/>
      <c r="I67" s="12" t="n"/>
      <c r="J67" s="12" t="n"/>
    </row>
    <row r="68">
      <c r="A68" s="12" t="n"/>
      <c r="B68" s="12" t="n"/>
      <c r="C68" s="12" t="n"/>
      <c r="D68" s="12" t="n"/>
      <c r="E68" s="12" t="n"/>
      <c r="F68" s="12" t="n"/>
      <c r="G68" s="12" t="n"/>
      <c r="H68" s="12" t="n"/>
      <c r="I68" s="12" t="n"/>
      <c r="J68" s="12" t="n"/>
    </row>
    <row r="69">
      <c r="A69" s="12" t="n"/>
      <c r="B69" s="12" t="n"/>
      <c r="C69" s="12" t="n"/>
      <c r="D69" s="12" t="n"/>
      <c r="E69" s="12" t="n"/>
      <c r="F69" s="12" t="n"/>
      <c r="G69" s="12" t="n"/>
      <c r="H69" s="12" t="n"/>
      <c r="I69" s="12" t="n"/>
      <c r="J69" s="12" t="n"/>
    </row>
    <row r="70">
      <c r="A70" s="12" t="n"/>
      <c r="B70" s="12" t="n"/>
      <c r="C70" s="12" t="n"/>
      <c r="D70" s="12" t="n"/>
      <c r="E70" s="12" t="n"/>
      <c r="F70" s="12" t="n"/>
      <c r="G70" s="12" t="n"/>
      <c r="H70" s="12" t="n"/>
      <c r="I70" s="12" t="n"/>
      <c r="J70" s="12" t="n"/>
    </row>
    <row r="71">
      <c r="A71" s="12" t="n"/>
      <c r="B71" s="12" t="n"/>
      <c r="C71" s="12" t="n"/>
      <c r="D71" s="12" t="n"/>
      <c r="E71" s="12" t="n"/>
      <c r="F71" s="12" t="n"/>
      <c r="G71" s="12" t="n"/>
      <c r="H71" s="12" t="n"/>
      <c r="I71" s="12" t="n"/>
      <c r="J71" s="12" t="n"/>
    </row>
    <row r="72">
      <c r="A72" s="12" t="n"/>
      <c r="B72" s="12" t="n"/>
      <c r="C72" s="12" t="n"/>
      <c r="D72" s="12" t="n"/>
      <c r="E72" s="12" t="n"/>
      <c r="F72" s="12" t="n"/>
      <c r="G72" s="12" t="n"/>
      <c r="H72" s="12" t="n"/>
      <c r="I72" s="12" t="n"/>
      <c r="J72" s="12" t="n"/>
    </row>
    <row r="73">
      <c r="A73" s="12" t="n"/>
      <c r="B73" s="12" t="n"/>
      <c r="C73" s="12" t="n"/>
      <c r="D73" s="12" t="n"/>
      <c r="E73" s="12" t="n"/>
      <c r="F73" s="12" t="n"/>
      <c r="G73" s="12" t="n"/>
      <c r="H73" s="12" t="n"/>
      <c r="I73" s="12" t="n"/>
      <c r="J73" s="12" t="n"/>
    </row>
    <row r="74">
      <c r="A74" s="12" t="n"/>
      <c r="B74" s="12" t="n"/>
      <c r="C74" s="12" t="n"/>
      <c r="D74" s="12" t="n"/>
      <c r="E74" s="12" t="n"/>
      <c r="F74" s="12" t="n"/>
      <c r="G74" s="12" t="n"/>
      <c r="H74" s="12" t="n"/>
      <c r="I74" s="12" t="n"/>
      <c r="J74" s="12" t="n"/>
    </row>
    <row r="75">
      <c r="A75" s="12" t="n"/>
      <c r="B75" s="12" t="n"/>
      <c r="C75" s="12" t="n"/>
      <c r="D75" s="12" t="n"/>
      <c r="E75" s="12" t="n"/>
      <c r="F75" s="12" t="n"/>
      <c r="G75" s="12" t="n"/>
      <c r="H75" s="12" t="n"/>
      <c r="I75" s="12" t="n"/>
      <c r="J75" s="12" t="n"/>
    </row>
    <row r="76">
      <c r="A76" s="12" t="n"/>
      <c r="B76" s="12" t="n"/>
      <c r="C76" s="12" t="n"/>
      <c r="D76" s="12" t="n"/>
      <c r="E76" s="12" t="n"/>
      <c r="F76" s="12" t="n"/>
      <c r="G76" s="12" t="n"/>
      <c r="H76" s="12" t="n"/>
      <c r="I76" s="12" t="n"/>
      <c r="J76" s="12" t="n"/>
    </row>
    <row r="77">
      <c r="A77" s="12" t="n"/>
      <c r="B77" s="12" t="n"/>
      <c r="C77" s="12" t="n"/>
      <c r="D77" s="12" t="n"/>
      <c r="E77" s="12" t="n"/>
      <c r="F77" s="12" t="n"/>
      <c r="G77" s="12" t="n"/>
      <c r="H77" s="12" t="n"/>
      <c r="I77" s="12" t="n"/>
      <c r="J77" s="12" t="n"/>
    </row>
    <row r="78">
      <c r="A78" s="12" t="n"/>
      <c r="B78" s="12" t="n"/>
      <c r="C78" s="12" t="n"/>
      <c r="D78" s="12" t="n"/>
      <c r="E78" s="12" t="n"/>
      <c r="F78" s="12" t="n"/>
      <c r="G78" s="12" t="n"/>
      <c r="H78" s="12" t="n"/>
      <c r="I78" s="12" t="n"/>
      <c r="J78" s="12" t="n"/>
    </row>
    <row r="79">
      <c r="A79" s="12" t="n"/>
      <c r="B79" s="12" t="n"/>
      <c r="C79" s="12" t="n"/>
      <c r="D79" s="12" t="n"/>
      <c r="E79" s="12" t="n"/>
      <c r="F79" s="12" t="n"/>
      <c r="G79" s="12" t="n"/>
      <c r="H79" s="12" t="n"/>
      <c r="I79" s="12" t="n"/>
      <c r="J79" s="12" t="n"/>
    </row>
    <row r="80">
      <c r="A80" s="12" t="n"/>
      <c r="B80" s="12" t="n"/>
      <c r="C80" s="12" t="n"/>
      <c r="D80" s="12" t="n"/>
      <c r="E80" s="12" t="n"/>
      <c r="F80" s="12" t="n"/>
      <c r="G80" s="12" t="n"/>
      <c r="H80" s="12" t="n"/>
      <c r="I80" s="12" t="n"/>
      <c r="J80" s="12" t="n"/>
    </row>
    <row r="81">
      <c r="A81" s="12" t="n"/>
      <c r="B81" s="12" t="n"/>
      <c r="C81" s="12" t="n"/>
      <c r="D81" s="12" t="n"/>
      <c r="E81" s="12" t="n"/>
      <c r="F81" s="12" t="n"/>
      <c r="G81" s="12" t="n"/>
      <c r="H81" s="12" t="n"/>
      <c r="I81" s="12" t="n"/>
      <c r="J81" s="12" t="n"/>
    </row>
    <row r="82">
      <c r="A82" s="12" t="n"/>
      <c r="B82" s="12" t="n"/>
      <c r="C82" s="12" t="n"/>
      <c r="D82" s="12" t="n"/>
      <c r="E82" s="12" t="n"/>
      <c r="F82" s="12" t="n"/>
      <c r="G82" s="12" t="n"/>
      <c r="H82" s="12" t="n"/>
      <c r="I82" s="12" t="n"/>
      <c r="J82" s="12" t="n"/>
    </row>
    <row r="83">
      <c r="A83" s="12" t="n"/>
      <c r="B83" s="12" t="n"/>
      <c r="C83" s="12" t="n"/>
      <c r="D83" s="12" t="n"/>
      <c r="E83" s="12" t="n"/>
      <c r="F83" s="12" t="n"/>
      <c r="G83" s="12" t="n"/>
      <c r="H83" s="12" t="n"/>
      <c r="I83" s="12" t="n"/>
      <c r="J83" s="12" t="n"/>
    </row>
    <row r="84">
      <c r="A84" s="12" t="n"/>
      <c r="B84" s="12" t="n"/>
      <c r="C84" s="12" t="n"/>
      <c r="D84" s="12" t="n"/>
      <c r="E84" s="12" t="n"/>
      <c r="F84" s="12" t="n"/>
      <c r="G84" s="12" t="n"/>
      <c r="H84" s="12" t="n"/>
      <c r="I84" s="12" t="n"/>
      <c r="J84" s="12" t="n"/>
    </row>
    <row r="85">
      <c r="A85" s="12" t="n"/>
      <c r="B85" s="12" t="n"/>
      <c r="C85" s="12" t="n"/>
      <c r="D85" s="12" t="n"/>
      <c r="E85" s="12" t="n"/>
      <c r="F85" s="12" t="n"/>
      <c r="G85" s="12" t="n"/>
      <c r="H85" s="12" t="n"/>
      <c r="I85" s="12" t="n"/>
      <c r="J85" s="12" t="n"/>
    </row>
    <row r="86">
      <c r="A86" s="12" t="n"/>
      <c r="B86" s="12" t="n"/>
      <c r="C86" s="12" t="n"/>
      <c r="D86" s="12" t="n"/>
      <c r="E86" s="12" t="n"/>
      <c r="F86" s="12" t="n"/>
      <c r="G86" s="12" t="n"/>
      <c r="H86" s="12" t="n"/>
      <c r="I86" s="12" t="n"/>
      <c r="J86" s="12" t="n"/>
    </row>
    <row r="87">
      <c r="A87" s="12" t="n"/>
      <c r="B87" s="12" t="n"/>
      <c r="C87" s="12" t="n"/>
      <c r="D87" s="12" t="n"/>
      <c r="E87" s="12" t="n"/>
      <c r="F87" s="12" t="n"/>
      <c r="G87" s="12" t="n"/>
      <c r="H87" s="12" t="n"/>
      <c r="I87" s="12" t="n"/>
      <c r="J87" s="12" t="n"/>
    </row>
    <row r="88">
      <c r="A88" s="12" t="n"/>
      <c r="B88" s="12" t="n"/>
      <c r="C88" s="12" t="n"/>
      <c r="D88" s="12" t="n"/>
      <c r="E88" s="12" t="n"/>
      <c r="F88" s="12" t="n"/>
      <c r="G88" s="12" t="n"/>
      <c r="H88" s="12" t="n"/>
      <c r="I88" s="12" t="n"/>
      <c r="J88" s="12" t="n"/>
    </row>
    <row r="89">
      <c r="A89" s="12" t="n"/>
      <c r="B89" s="12" t="n"/>
      <c r="C89" s="12" t="n"/>
      <c r="D89" s="12" t="n"/>
      <c r="E89" s="12" t="n"/>
      <c r="F89" s="12" t="n"/>
      <c r="G89" s="12" t="n"/>
      <c r="H89" s="12" t="n"/>
      <c r="I89" s="12" t="n"/>
      <c r="J89" s="12" t="n"/>
    </row>
    <row r="90">
      <c r="A90" s="12" t="n"/>
      <c r="B90" s="12" t="n"/>
      <c r="C90" s="12" t="n"/>
      <c r="D90" s="12" t="n"/>
      <c r="E90" s="12" t="n"/>
      <c r="F90" s="12" t="n"/>
      <c r="G90" s="12" t="n"/>
      <c r="H90" s="12" t="n"/>
      <c r="I90" s="12" t="n"/>
      <c r="J90" s="12" t="n"/>
    </row>
    <row r="91">
      <c r="A91" s="12" t="n"/>
      <c r="B91" s="12" t="n"/>
      <c r="C91" s="12" t="n"/>
      <c r="D91" s="12" t="n"/>
      <c r="E91" s="12" t="n"/>
      <c r="F91" s="12" t="n"/>
      <c r="G91" s="12" t="n"/>
      <c r="H91" s="12" t="n"/>
      <c r="I91" s="12" t="n"/>
      <c r="J91" s="12" t="n"/>
    </row>
    <row r="92">
      <c r="A92" s="12" t="n"/>
      <c r="B92" s="12" t="n"/>
      <c r="C92" s="12" t="n"/>
      <c r="D92" s="12" t="n"/>
      <c r="E92" s="12" t="n"/>
      <c r="F92" s="12" t="n"/>
      <c r="G92" s="12" t="n"/>
      <c r="H92" s="12" t="n"/>
      <c r="I92" s="12" t="n"/>
      <c r="J92" s="12" t="n"/>
    </row>
    <row r="93">
      <c r="A93" s="12" t="n"/>
      <c r="B93" s="12" t="n"/>
      <c r="C93" s="12" t="n"/>
      <c r="D93" s="12" t="n"/>
      <c r="E93" s="12" t="n"/>
      <c r="F93" s="12" t="n"/>
      <c r="G93" s="12" t="n"/>
      <c r="H93" s="12" t="n"/>
      <c r="I93" s="12" t="n"/>
      <c r="J93" s="12" t="n"/>
    </row>
    <row r="94">
      <c r="A94" s="12" t="n"/>
      <c r="B94" s="12" t="n"/>
      <c r="C94" s="12" t="n"/>
      <c r="D94" s="12" t="n"/>
      <c r="E94" s="12" t="n"/>
      <c r="F94" s="12" t="n"/>
      <c r="G94" s="12" t="n"/>
      <c r="H94" s="12" t="n"/>
      <c r="I94" s="12" t="n"/>
      <c r="J94" s="12" t="n"/>
    </row>
    <row r="95">
      <c r="A95" s="12" t="n"/>
      <c r="B95" s="12" t="n"/>
      <c r="C95" s="12" t="n"/>
      <c r="D95" s="12" t="n"/>
      <c r="E95" s="12" t="n"/>
      <c r="F95" s="12" t="n"/>
      <c r="G95" s="12" t="n"/>
      <c r="H95" s="12" t="n"/>
      <c r="I95" s="12" t="n"/>
      <c r="J95" s="12" t="n"/>
    </row>
    <row r="96">
      <c r="A96" s="12" t="n"/>
      <c r="B96" s="12" t="n"/>
      <c r="C96" s="12" t="n"/>
      <c r="D96" s="12" t="n"/>
      <c r="E96" s="12" t="n"/>
      <c r="F96" s="12" t="n"/>
      <c r="G96" s="12" t="n"/>
      <c r="H96" s="12" t="n"/>
      <c r="I96" s="12" t="n"/>
      <c r="J96" s="12" t="n"/>
    </row>
    <row r="97">
      <c r="A97" s="12" t="n"/>
      <c r="B97" s="12" t="n"/>
      <c r="C97" s="12" t="n"/>
      <c r="D97" s="12" t="n"/>
      <c r="E97" s="12" t="n"/>
      <c r="F97" s="12" t="n"/>
      <c r="G97" s="12" t="n"/>
      <c r="H97" s="12" t="n"/>
      <c r="I97" s="12" t="n"/>
      <c r="J97" s="12" t="n"/>
    </row>
    <row r="98">
      <c r="A98" s="12" t="n"/>
      <c r="B98" s="12" t="n"/>
      <c r="C98" s="12" t="n"/>
      <c r="D98" s="12" t="n"/>
      <c r="E98" s="12" t="n"/>
      <c r="F98" s="12" t="n"/>
      <c r="G98" s="12" t="n"/>
      <c r="H98" s="12" t="n"/>
      <c r="I98" s="12" t="n"/>
      <c r="J98" s="12" t="n"/>
    </row>
    <row r="99">
      <c r="A99" s="12" t="n"/>
      <c r="B99" s="12" t="n"/>
      <c r="C99" s="12" t="n"/>
      <c r="D99" s="12" t="n"/>
      <c r="E99" s="12" t="n"/>
      <c r="F99" s="12" t="n"/>
      <c r="G99" s="12" t="n"/>
      <c r="H99" s="12" t="n"/>
      <c r="I99" s="12" t="n"/>
      <c r="J99" s="12" t="n"/>
    </row>
    <row r="100">
      <c r="A100" s="12" t="n"/>
      <c r="B100" s="12" t="n"/>
      <c r="C100" s="12" t="n"/>
      <c r="D100" s="12" t="n"/>
      <c r="E100" s="12" t="n"/>
      <c r="F100" s="12" t="n"/>
      <c r="G100" s="12" t="n"/>
      <c r="H100" s="12" t="n"/>
      <c r="I100" s="12" t="n"/>
      <c r="J100" s="12" t="n"/>
    </row>
    <row r="101">
      <c r="A101" s="12" t="n"/>
      <c r="B101" s="12" t="n"/>
      <c r="C101" s="12" t="n"/>
      <c r="D101" s="12" t="n"/>
      <c r="E101" s="12" t="n"/>
      <c r="F101" s="12" t="n"/>
      <c r="G101" s="12" t="n"/>
      <c r="H101" s="12" t="n"/>
      <c r="I101" s="12" t="n"/>
      <c r="J101" s="12" t="n"/>
    </row>
    <row r="102">
      <c r="A102" s="12" t="n"/>
      <c r="B102" s="12" t="n"/>
      <c r="C102" s="12" t="n"/>
      <c r="D102" s="12" t="n"/>
      <c r="E102" s="12" t="n"/>
      <c r="F102" s="12" t="n"/>
      <c r="G102" s="12" t="n"/>
      <c r="H102" s="12" t="n"/>
      <c r="I102" s="12" t="n"/>
      <c r="J102" s="12" t="n"/>
    </row>
    <row r="103">
      <c r="A103" s="12" t="n"/>
      <c r="B103" s="12" t="n"/>
      <c r="C103" s="12" t="n"/>
      <c r="D103" s="12" t="n"/>
      <c r="E103" s="12" t="n"/>
      <c r="F103" s="12" t="n"/>
      <c r="G103" s="12" t="n"/>
      <c r="H103" s="12" t="n"/>
      <c r="I103" s="12" t="n"/>
      <c r="J103" s="12" t="n"/>
    </row>
    <row r="104">
      <c r="A104" s="12" t="n"/>
      <c r="B104" s="12" t="n"/>
      <c r="C104" s="12" t="n"/>
      <c r="D104" s="12" t="n"/>
      <c r="E104" s="12" t="n"/>
      <c r="F104" s="12" t="n"/>
      <c r="G104" s="12" t="n"/>
      <c r="H104" s="12" t="n"/>
      <c r="I104" s="12" t="n"/>
      <c r="J104" s="12" t="n"/>
    </row>
    <row r="105">
      <c r="A105" s="12" t="n"/>
      <c r="B105" s="12" t="n"/>
      <c r="C105" s="12" t="n"/>
      <c r="D105" s="12" t="n"/>
      <c r="E105" s="12" t="n"/>
      <c r="F105" s="12" t="n"/>
      <c r="G105" s="12" t="n"/>
      <c r="H105" s="12" t="n"/>
      <c r="I105" s="12" t="n"/>
      <c r="J105" s="12" t="n"/>
    </row>
    <row r="106">
      <c r="A106" s="12" t="n"/>
      <c r="B106" s="12" t="n"/>
      <c r="C106" s="12" t="n"/>
      <c r="D106" s="12" t="n"/>
      <c r="E106" s="12" t="n"/>
      <c r="F106" s="12" t="n"/>
      <c r="G106" s="12" t="n"/>
      <c r="H106" s="12" t="n"/>
      <c r="I106" s="12" t="n"/>
      <c r="J106" s="12" t="n"/>
    </row>
    <row r="107">
      <c r="A107" s="12" t="n"/>
      <c r="B107" s="12" t="n"/>
      <c r="C107" s="12" t="n"/>
      <c r="D107" s="12" t="n"/>
      <c r="E107" s="12" t="n"/>
      <c r="F107" s="12" t="n"/>
      <c r="G107" s="12" t="n"/>
      <c r="H107" s="12" t="n"/>
      <c r="I107" s="12" t="n"/>
      <c r="J107" s="12" t="n"/>
    </row>
    <row r="108">
      <c r="A108" s="12" t="n"/>
      <c r="B108" s="12" t="n"/>
      <c r="C108" s="12" t="n"/>
      <c r="D108" s="12" t="n"/>
      <c r="E108" s="12" t="n"/>
      <c r="F108" s="12" t="n"/>
      <c r="G108" s="12" t="n"/>
      <c r="H108" s="12" t="n"/>
      <c r="I108" s="12" t="n"/>
      <c r="J108" s="12" t="n"/>
    </row>
    <row r="109">
      <c r="A109" s="12" t="n"/>
      <c r="B109" s="12" t="n"/>
      <c r="C109" s="12" t="n"/>
      <c r="D109" s="12" t="n"/>
      <c r="E109" s="12" t="n"/>
      <c r="F109" s="12" t="n"/>
      <c r="G109" s="12" t="n"/>
      <c r="H109" s="12" t="n"/>
      <c r="I109" s="12" t="n"/>
      <c r="J109" s="12" t="n"/>
    </row>
    <row r="110">
      <c r="A110" s="12" t="n"/>
      <c r="B110" s="12" t="n"/>
      <c r="C110" s="12" t="n"/>
      <c r="D110" s="12" t="n"/>
      <c r="E110" s="12" t="n"/>
      <c r="F110" s="12" t="n"/>
      <c r="G110" s="12" t="n"/>
      <c r="H110" s="12" t="n"/>
      <c r="I110" s="12" t="n"/>
      <c r="J110" s="12" t="n"/>
    </row>
    <row r="111">
      <c r="A111" s="12" t="n"/>
      <c r="B111" s="12" t="n"/>
      <c r="C111" s="12" t="n"/>
      <c r="D111" s="12" t="n"/>
      <c r="E111" s="12" t="n"/>
      <c r="F111" s="12" t="n"/>
      <c r="G111" s="12" t="n"/>
      <c r="H111" s="12" t="n"/>
      <c r="I111" s="12" t="n"/>
      <c r="J111" s="12" t="n"/>
    </row>
    <row r="112">
      <c r="A112" s="12" t="n"/>
      <c r="B112" s="12" t="n"/>
      <c r="C112" s="12" t="n"/>
      <c r="D112" s="12" t="n"/>
      <c r="E112" s="12" t="n"/>
      <c r="F112" s="12" t="n"/>
      <c r="G112" s="12" t="n"/>
      <c r="H112" s="12" t="n"/>
      <c r="I112" s="12" t="n"/>
      <c r="J112" s="12" t="n"/>
    </row>
    <row r="113">
      <c r="A113" s="12" t="n"/>
      <c r="B113" s="12" t="n"/>
      <c r="C113" s="12" t="n"/>
      <c r="D113" s="12" t="n"/>
      <c r="E113" s="12" t="n"/>
      <c r="F113" s="12" t="n"/>
      <c r="G113" s="12" t="n"/>
      <c r="H113" s="12" t="n"/>
      <c r="I113" s="12" t="n"/>
      <c r="J113" s="12" t="n"/>
    </row>
    <row r="114">
      <c r="A114" s="12" t="n"/>
      <c r="B114" s="12" t="n"/>
      <c r="C114" s="12" t="n"/>
      <c r="D114" s="12" t="n"/>
      <c r="E114" s="12" t="n"/>
      <c r="F114" s="12" t="n"/>
      <c r="G114" s="12" t="n"/>
      <c r="H114" s="12" t="n"/>
      <c r="I114" s="12" t="n"/>
      <c r="J114" s="12" t="n"/>
    </row>
    <row r="115">
      <c r="A115" s="12" t="n"/>
      <c r="B115" s="12" t="n"/>
      <c r="C115" s="12" t="n"/>
      <c r="D115" s="12" t="n"/>
      <c r="E115" s="12" t="n"/>
      <c r="F115" s="12" t="n"/>
      <c r="G115" s="12" t="n"/>
      <c r="H115" s="12" t="n"/>
      <c r="I115" s="12" t="n"/>
      <c r="J115" s="12" t="n"/>
    </row>
    <row r="116">
      <c r="A116" s="12" t="n"/>
      <c r="B116" s="12" t="n"/>
      <c r="C116" s="12" t="n"/>
      <c r="D116" s="12" t="n"/>
      <c r="E116" s="12" t="n"/>
      <c r="F116" s="12" t="n"/>
      <c r="G116" s="12" t="n"/>
      <c r="H116" s="12" t="n"/>
      <c r="I116" s="12" t="n"/>
      <c r="J116" s="12" t="n"/>
    </row>
    <row r="117">
      <c r="A117" s="12" t="n"/>
      <c r="B117" s="12" t="n"/>
      <c r="C117" s="12" t="n"/>
      <c r="D117" s="12" t="n"/>
      <c r="E117" s="12" t="n"/>
      <c r="F117" s="12" t="n"/>
      <c r="G117" s="12" t="n"/>
      <c r="H117" s="12" t="n"/>
      <c r="I117" s="12" t="n"/>
      <c r="J117" s="12" t="n"/>
    </row>
    <row r="118">
      <c r="A118" s="12" t="n"/>
      <c r="B118" s="12" t="n"/>
      <c r="C118" s="12" t="n"/>
      <c r="D118" s="12" t="n"/>
      <c r="E118" s="12" t="n"/>
      <c r="F118" s="12" t="n"/>
      <c r="G118" s="12" t="n"/>
      <c r="H118" s="12" t="n"/>
      <c r="I118" s="12" t="n"/>
      <c r="J118" s="12" t="n"/>
    </row>
    <row r="119">
      <c r="A119" s="12" t="n"/>
      <c r="B119" s="12" t="n"/>
      <c r="C119" s="12" t="n"/>
      <c r="D119" s="12" t="n"/>
      <c r="E119" s="12" t="n"/>
      <c r="F119" s="12" t="n"/>
      <c r="G119" s="12" t="n"/>
      <c r="H119" s="12" t="n"/>
      <c r="I119" s="12" t="n"/>
      <c r="J119" s="12" t="n"/>
    </row>
    <row r="120">
      <c r="A120" s="12" t="n"/>
      <c r="B120" s="12" t="n"/>
      <c r="C120" s="12" t="n"/>
      <c r="D120" s="12" t="n"/>
      <c r="E120" s="12" t="n"/>
      <c r="F120" s="12" t="n"/>
      <c r="G120" s="12" t="n"/>
      <c r="H120" s="12" t="n"/>
      <c r="I120" s="12" t="n"/>
      <c r="J120" s="12" t="n"/>
    </row>
    <row r="121">
      <c r="A121" s="12" t="n"/>
      <c r="B121" s="12" t="n"/>
      <c r="C121" s="12" t="n"/>
      <c r="D121" s="12" t="n"/>
      <c r="E121" s="12" t="n"/>
      <c r="F121" s="12" t="n"/>
      <c r="G121" s="12" t="n"/>
      <c r="H121" s="12" t="n"/>
      <c r="I121" s="12" t="n"/>
      <c r="J121" s="12" t="n"/>
    </row>
    <row r="122">
      <c r="A122" s="12" t="n"/>
      <c r="B122" s="12" t="n"/>
      <c r="C122" s="12" t="n"/>
      <c r="D122" s="12" t="n"/>
      <c r="E122" s="12" t="n"/>
      <c r="F122" s="12" t="n"/>
      <c r="G122" s="12" t="n"/>
      <c r="H122" s="12" t="n"/>
      <c r="I122" s="12" t="n"/>
      <c r="J122" s="12" t="n"/>
    </row>
    <row r="123">
      <c r="A123" s="12" t="n"/>
      <c r="B123" s="12" t="n"/>
      <c r="C123" s="12" t="n"/>
      <c r="D123" s="12" t="n"/>
      <c r="E123" s="12" t="n"/>
      <c r="F123" s="12" t="n"/>
      <c r="G123" s="12" t="n"/>
      <c r="H123" s="12" t="n"/>
      <c r="I123" s="12" t="n"/>
      <c r="J123" s="12" t="n"/>
    </row>
    <row r="124">
      <c r="A124" s="12" t="n"/>
      <c r="B124" s="12" t="n"/>
      <c r="C124" s="12" t="n"/>
      <c r="D124" s="12" t="n"/>
      <c r="E124" s="12" t="n"/>
      <c r="F124" s="12" t="n"/>
      <c r="G124" s="12" t="n"/>
      <c r="H124" s="12" t="n"/>
      <c r="I124" s="12" t="n"/>
      <c r="J124" s="12" t="n"/>
    </row>
    <row r="125">
      <c r="A125" s="12" t="n"/>
      <c r="B125" s="12" t="n"/>
      <c r="C125" s="12" t="n"/>
      <c r="D125" s="12" t="n"/>
      <c r="E125" s="12" t="n"/>
      <c r="F125" s="12" t="n"/>
      <c r="G125" s="12" t="n"/>
      <c r="H125" s="12" t="n"/>
      <c r="I125" s="12" t="n"/>
      <c r="J125" s="12" t="n"/>
    </row>
    <row r="126">
      <c r="A126" s="12" t="n"/>
      <c r="B126" s="12" t="n"/>
      <c r="C126" s="12" t="n"/>
      <c r="D126" s="12" t="n"/>
      <c r="E126" s="12" t="n"/>
      <c r="F126" s="12" t="n"/>
      <c r="G126" s="12" t="n"/>
      <c r="H126" s="12" t="n"/>
      <c r="I126" s="12" t="n"/>
      <c r="J126" s="12" t="n"/>
    </row>
    <row r="127">
      <c r="A127" s="12" t="n"/>
      <c r="B127" s="12" t="n"/>
      <c r="C127" s="12" t="n"/>
      <c r="D127" s="12" t="n"/>
      <c r="E127" s="12" t="n"/>
      <c r="F127" s="12" t="n"/>
      <c r="G127" s="12" t="n"/>
      <c r="H127" s="12" t="n"/>
      <c r="I127" s="12" t="n"/>
      <c r="J127" s="12" t="n"/>
    </row>
    <row r="128">
      <c r="A128" s="12" t="n"/>
      <c r="B128" s="12" t="n"/>
      <c r="C128" s="12" t="n"/>
      <c r="D128" s="12" t="n"/>
      <c r="E128" s="12" t="n"/>
      <c r="F128" s="12" t="n"/>
      <c r="G128" s="12" t="n"/>
      <c r="H128" s="12" t="n"/>
      <c r="I128" s="12" t="n"/>
      <c r="J128" s="12" t="n"/>
    </row>
    <row r="129">
      <c r="A129" s="12" t="n"/>
      <c r="B129" s="12" t="n"/>
      <c r="C129" s="12" t="n"/>
      <c r="D129" s="12" t="n"/>
      <c r="E129" s="12" t="n"/>
      <c r="F129" s="12" t="n"/>
      <c r="G129" s="12" t="n"/>
      <c r="H129" s="12" t="n"/>
      <c r="I129" s="12" t="n"/>
      <c r="J129" s="12" t="n"/>
    </row>
    <row r="130">
      <c r="A130" s="12" t="n"/>
      <c r="B130" s="12" t="n"/>
      <c r="C130" s="12" t="n"/>
      <c r="D130" s="12" t="n"/>
      <c r="E130" s="12" t="n"/>
      <c r="F130" s="12" t="n"/>
      <c r="G130" s="12" t="n"/>
      <c r="H130" s="12" t="n"/>
      <c r="I130" s="12" t="n"/>
      <c r="J130" s="12" t="n"/>
    </row>
    <row r="131">
      <c r="A131" s="12" t="n"/>
      <c r="B131" s="12" t="n"/>
      <c r="C131" s="12" t="n"/>
      <c r="D131" s="12" t="n"/>
      <c r="E131" s="12" t="n"/>
      <c r="F131" s="12" t="n"/>
      <c r="G131" s="12" t="n"/>
      <c r="H131" s="12" t="n"/>
      <c r="I131" s="12" t="n"/>
      <c r="J131" s="12" t="n"/>
    </row>
    <row r="132">
      <c r="A132" s="12" t="n"/>
      <c r="B132" s="12" t="n"/>
      <c r="C132" s="12" t="n"/>
      <c r="D132" s="12" t="n"/>
      <c r="E132" s="12" t="n"/>
      <c r="F132" s="12" t="n"/>
      <c r="G132" s="12" t="n"/>
      <c r="H132" s="12" t="n"/>
      <c r="I132" s="12" t="n"/>
      <c r="J132" s="12" t="n"/>
    </row>
    <row r="133">
      <c r="A133" s="12" t="n"/>
      <c r="B133" s="12" t="n"/>
      <c r="C133" s="12" t="n"/>
      <c r="D133" s="12" t="n"/>
      <c r="E133" s="12" t="n"/>
      <c r="F133" s="12" t="n"/>
      <c r="G133" s="12" t="n"/>
      <c r="H133" s="12" t="n"/>
      <c r="I133" s="12" t="n"/>
      <c r="J133" s="12" t="n"/>
    </row>
    <row r="134">
      <c r="A134" s="12" t="n"/>
      <c r="B134" s="12" t="n"/>
      <c r="C134" s="12" t="n"/>
      <c r="D134" s="12" t="n"/>
      <c r="E134" s="12" t="n"/>
      <c r="F134" s="12" t="n"/>
      <c r="G134" s="12" t="n"/>
      <c r="H134" s="12" t="n"/>
      <c r="I134" s="12" t="n"/>
      <c r="J134" s="12" t="n"/>
    </row>
    <row r="135">
      <c r="A135" s="12" t="n"/>
      <c r="B135" s="12" t="n"/>
      <c r="C135" s="12" t="n"/>
      <c r="D135" s="12" t="n"/>
      <c r="E135" s="12" t="n"/>
      <c r="F135" s="12" t="n"/>
      <c r="G135" s="12" t="n"/>
      <c r="H135" s="12" t="n"/>
      <c r="I135" s="12" t="n"/>
      <c r="J135" s="12" t="n"/>
    </row>
    <row r="136">
      <c r="A136" s="12" t="n"/>
      <c r="B136" s="12" t="n"/>
      <c r="C136" s="12" t="n"/>
      <c r="D136" s="12" t="n"/>
      <c r="E136" s="12" t="n"/>
      <c r="F136" s="12" t="n"/>
      <c r="G136" s="12" t="n"/>
      <c r="H136" s="12" t="n"/>
      <c r="I136" s="12" t="n"/>
      <c r="J136" s="12" t="n"/>
    </row>
    <row r="137">
      <c r="A137" s="12" t="n"/>
      <c r="B137" s="12" t="n"/>
      <c r="C137" s="12" t="n"/>
      <c r="D137" s="12" t="n"/>
      <c r="E137" s="12" t="n"/>
      <c r="F137" s="12" t="n"/>
      <c r="G137" s="12" t="n"/>
      <c r="H137" s="12" t="n"/>
      <c r="I137" s="12" t="n"/>
      <c r="J137" s="12" t="n"/>
    </row>
    <row r="138">
      <c r="A138" s="12" t="n"/>
      <c r="B138" s="12" t="n"/>
      <c r="C138" s="12" t="n"/>
      <c r="D138" s="12" t="n"/>
      <c r="E138" s="12" t="n"/>
      <c r="F138" s="12" t="n"/>
      <c r="G138" s="12" t="n"/>
      <c r="H138" s="12" t="n"/>
      <c r="I138" s="12" t="n"/>
      <c r="J138" s="12" t="n"/>
    </row>
    <row r="139">
      <c r="A139" s="12" t="n"/>
      <c r="B139" s="12" t="n"/>
      <c r="C139" s="12" t="n"/>
      <c r="D139" s="12" t="n"/>
      <c r="E139" s="12" t="n"/>
      <c r="F139" s="12" t="n"/>
      <c r="G139" s="12" t="n"/>
      <c r="H139" s="12" t="n"/>
      <c r="I139" s="12" t="n"/>
      <c r="J139" s="12" t="n"/>
    </row>
    <row r="140">
      <c r="A140" s="12" t="n"/>
      <c r="B140" s="12" t="n"/>
      <c r="C140" s="12" t="n"/>
      <c r="D140" s="12" t="n"/>
      <c r="E140" s="12" t="n"/>
      <c r="F140" s="12" t="n"/>
      <c r="G140" s="12" t="n"/>
      <c r="H140" s="12" t="n"/>
      <c r="I140" s="12" t="n"/>
      <c r="J140" s="12" t="n"/>
    </row>
    <row r="141">
      <c r="A141" s="12" t="n"/>
      <c r="B141" s="12" t="n"/>
      <c r="C141" s="12" t="n"/>
      <c r="D141" s="12" t="n"/>
      <c r="E141" s="12" t="n"/>
      <c r="F141" s="12" t="n"/>
      <c r="G141" s="12" t="n"/>
      <c r="H141" s="12" t="n"/>
      <c r="I141" s="12" t="n"/>
      <c r="J141" s="12" t="n"/>
    </row>
    <row r="142">
      <c r="A142" s="12" t="n"/>
      <c r="B142" s="12" t="n"/>
      <c r="C142" s="12" t="n"/>
      <c r="D142" s="12" t="n"/>
      <c r="E142" s="12" t="n"/>
      <c r="F142" s="12" t="n"/>
      <c r="G142" s="12" t="n"/>
      <c r="H142" s="12" t="n"/>
      <c r="I142" s="12" t="n"/>
      <c r="J142" s="12" t="n"/>
    </row>
    <row r="143">
      <c r="A143" s="12" t="n"/>
      <c r="B143" s="12" t="n"/>
      <c r="C143" s="12" t="n"/>
      <c r="D143" s="12" t="n"/>
      <c r="E143" s="12" t="n"/>
      <c r="F143" s="12" t="n"/>
      <c r="G143" s="12" t="n"/>
      <c r="H143" s="12" t="n"/>
      <c r="I143" s="12" t="n"/>
      <c r="J143" s="12" t="n"/>
    </row>
    <row r="144">
      <c r="A144" s="12" t="n"/>
      <c r="B144" s="12" t="n"/>
      <c r="C144" s="12" t="n"/>
      <c r="D144" s="12" t="n"/>
      <c r="E144" s="12" t="n"/>
      <c r="F144" s="12" t="n"/>
      <c r="G144" s="12" t="n"/>
      <c r="H144" s="12" t="n"/>
      <c r="I144" s="12" t="n"/>
      <c r="J144" s="12" t="n"/>
    </row>
    <row r="145">
      <c r="A145" s="12" t="n"/>
      <c r="B145" s="12" t="n"/>
      <c r="C145" s="12" t="n"/>
      <c r="D145" s="12" t="n"/>
      <c r="E145" s="12" t="n"/>
      <c r="F145" s="12" t="n"/>
      <c r="G145" s="12" t="n"/>
      <c r="H145" s="12" t="n"/>
      <c r="I145" s="12" t="n"/>
      <c r="J145" s="12" t="n"/>
    </row>
    <row r="146">
      <c r="A146" s="12" t="n"/>
      <c r="B146" s="12" t="n"/>
      <c r="C146" s="12" t="n"/>
      <c r="D146" s="12" t="n"/>
      <c r="E146" s="12" t="n"/>
      <c r="F146" s="12" t="n"/>
      <c r="G146" s="12" t="n"/>
      <c r="H146" s="12" t="n"/>
      <c r="I146" s="12" t="n"/>
      <c r="J146" s="12" t="n"/>
    </row>
    <row r="147">
      <c r="A147" s="12" t="n"/>
      <c r="B147" s="12" t="n"/>
      <c r="C147" s="12" t="n"/>
      <c r="D147" s="12" t="n"/>
      <c r="E147" s="12" t="n"/>
      <c r="F147" s="12" t="n"/>
      <c r="G147" s="12" t="n"/>
      <c r="H147" s="12" t="n"/>
      <c r="I147" s="12" t="n"/>
      <c r="J147" s="12" t="n"/>
    </row>
    <row r="148">
      <c r="A148" s="12" t="n"/>
      <c r="B148" s="12" t="n"/>
      <c r="C148" s="12" t="n"/>
      <c r="D148" s="12" t="n"/>
      <c r="E148" s="12" t="n"/>
      <c r="F148" s="12" t="n"/>
      <c r="G148" s="12" t="n"/>
      <c r="H148" s="12" t="n"/>
      <c r="I148" s="12" t="n"/>
      <c r="J148" s="12" t="n"/>
    </row>
    <row r="149">
      <c r="A149" s="12" t="n"/>
      <c r="B149" s="12" t="n"/>
      <c r="C149" s="12" t="n"/>
      <c r="D149" s="12" t="n"/>
      <c r="E149" s="12" t="n"/>
      <c r="F149" s="12" t="n"/>
      <c r="G149" s="12" t="n"/>
      <c r="H149" s="12" t="n"/>
      <c r="I149" s="12" t="n"/>
      <c r="J149" s="12" t="n"/>
    </row>
    <row r="150">
      <c r="A150" s="12" t="n"/>
      <c r="B150" s="12" t="n"/>
      <c r="C150" s="12" t="n"/>
      <c r="D150" s="12" t="n"/>
      <c r="E150" s="12" t="n"/>
      <c r="F150" s="12" t="n"/>
      <c r="G150" s="12" t="n"/>
      <c r="H150" s="12" t="n"/>
      <c r="I150" s="12" t="n"/>
      <c r="J150" s="12" t="n"/>
    </row>
    <row r="151">
      <c r="A151" s="12" t="n"/>
      <c r="B151" s="12" t="n"/>
      <c r="C151" s="12" t="n"/>
      <c r="D151" s="12" t="n"/>
      <c r="E151" s="12" t="n"/>
      <c r="F151" s="12" t="n"/>
      <c r="G151" s="12" t="n"/>
      <c r="H151" s="12" t="n"/>
      <c r="I151" s="12" t="n"/>
      <c r="J151" s="12" t="n"/>
    </row>
    <row r="152">
      <c r="A152" s="12" t="n"/>
      <c r="B152" s="12" t="n"/>
      <c r="C152" s="12" t="n"/>
      <c r="D152" s="12" t="n"/>
      <c r="E152" s="12" t="n"/>
      <c r="F152" s="12" t="n"/>
      <c r="G152" s="12" t="n"/>
      <c r="H152" s="12" t="n"/>
      <c r="I152" s="12" t="n"/>
      <c r="J152" s="12" t="n"/>
    </row>
    <row r="153">
      <c r="A153" s="12" t="n"/>
      <c r="B153" s="12" t="n"/>
      <c r="C153" s="12" t="n"/>
      <c r="D153" s="12" t="n"/>
      <c r="E153" s="12" t="n"/>
      <c r="F153" s="12" t="n"/>
      <c r="G153" s="12" t="n"/>
      <c r="H153" s="12" t="n"/>
      <c r="I153" s="12" t="n"/>
      <c r="J153" s="12" t="n"/>
    </row>
    <row r="154">
      <c r="A154" s="12" t="n"/>
      <c r="B154" s="12" t="n"/>
      <c r="C154" s="12" t="n"/>
      <c r="D154" s="12" t="n"/>
      <c r="E154" s="12" t="n"/>
      <c r="F154" s="12" t="n"/>
      <c r="G154" s="12" t="n"/>
      <c r="H154" s="12" t="n"/>
      <c r="I154" s="12" t="n"/>
      <c r="J154" s="12" t="n"/>
    </row>
    <row r="155">
      <c r="A155" s="12" t="n"/>
      <c r="B155" s="12" t="n"/>
      <c r="C155" s="12" t="n"/>
      <c r="D155" s="12" t="n"/>
      <c r="E155" s="12" t="n"/>
      <c r="F155" s="12" t="n"/>
      <c r="G155" s="12" t="n"/>
      <c r="H155" s="12" t="n"/>
      <c r="I155" s="12" t="n"/>
      <c r="J155" s="12" t="n"/>
    </row>
    <row r="156">
      <c r="A156" s="12" t="n"/>
      <c r="B156" s="12" t="n"/>
      <c r="C156" s="12" t="n"/>
      <c r="D156" s="12" t="n"/>
      <c r="E156" s="12" t="n"/>
      <c r="F156" s="12" t="n"/>
      <c r="G156" s="12" t="n"/>
      <c r="H156" s="12" t="n"/>
      <c r="I156" s="12" t="n"/>
      <c r="J156" s="12" t="n"/>
    </row>
    <row r="157">
      <c r="A157" s="12" t="n"/>
      <c r="B157" s="12" t="n"/>
      <c r="C157" s="12" t="n"/>
      <c r="D157" s="12" t="n"/>
      <c r="E157" s="12" t="n"/>
      <c r="F157" s="12" t="n"/>
      <c r="G157" s="12" t="n"/>
      <c r="H157" s="12" t="n"/>
      <c r="I157" s="12" t="n"/>
      <c r="J157" s="12" t="n"/>
    </row>
    <row r="158">
      <c r="A158" s="12" t="n"/>
      <c r="B158" s="12" t="n"/>
      <c r="C158" s="12" t="n"/>
      <c r="D158" s="12" t="n"/>
      <c r="E158" s="12" t="n"/>
      <c r="F158" s="12" t="n"/>
      <c r="G158" s="12" t="n"/>
      <c r="H158" s="12" t="n"/>
      <c r="I158" s="12" t="n"/>
      <c r="J158" s="12" t="n"/>
    </row>
    <row r="159">
      <c r="A159" s="12" t="n"/>
      <c r="B159" s="12" t="n"/>
      <c r="C159" s="12" t="n"/>
      <c r="D159" s="12" t="n"/>
      <c r="E159" s="12" t="n"/>
      <c r="F159" s="12" t="n"/>
      <c r="G159" s="12" t="n"/>
      <c r="H159" s="12" t="n"/>
      <c r="I159" s="12" t="n"/>
      <c r="J159" s="12" t="n"/>
    </row>
    <row r="160">
      <c r="A160" s="12" t="n"/>
      <c r="B160" s="12" t="n"/>
      <c r="C160" s="12" t="n"/>
      <c r="D160" s="12" t="n"/>
      <c r="E160" s="12" t="n"/>
      <c r="F160" s="12" t="n"/>
      <c r="G160" s="12" t="n"/>
      <c r="H160" s="12" t="n"/>
      <c r="I160" s="12" t="n"/>
      <c r="J160" s="12" t="n"/>
    </row>
    <row r="161">
      <c r="A161" s="12" t="n"/>
      <c r="B161" s="12" t="n"/>
      <c r="C161" s="12" t="n"/>
      <c r="D161" s="12" t="n"/>
      <c r="E161" s="12" t="n"/>
      <c r="F161" s="12" t="n"/>
      <c r="G161" s="12" t="n"/>
      <c r="H161" s="12" t="n"/>
      <c r="I161" s="12" t="n"/>
      <c r="J161" s="12" t="n"/>
    </row>
    <row r="162">
      <c r="A162" s="12" t="n"/>
      <c r="B162" s="12" t="n"/>
      <c r="C162" s="12" t="n"/>
      <c r="D162" s="12" t="n"/>
      <c r="E162" s="12" t="n"/>
      <c r="F162" s="12" t="n"/>
      <c r="G162" s="12" t="n"/>
      <c r="H162" s="12" t="n"/>
      <c r="I162" s="12" t="n"/>
      <c r="J162" s="12" t="n"/>
    </row>
    <row r="163">
      <c r="A163" s="12" t="n"/>
      <c r="B163" s="12" t="n"/>
      <c r="C163" s="12" t="n"/>
      <c r="D163" s="12" t="n"/>
      <c r="E163" s="12" t="n"/>
      <c r="F163" s="12" t="n"/>
      <c r="G163" s="12" t="n"/>
      <c r="H163" s="12" t="n"/>
      <c r="I163" s="12" t="n"/>
      <c r="J163" s="12" t="n"/>
    </row>
    <row r="164">
      <c r="A164" s="12" t="n"/>
      <c r="B164" s="12" t="n"/>
      <c r="C164" s="12" t="n"/>
      <c r="D164" s="12" t="n"/>
      <c r="E164" s="12" t="n"/>
      <c r="F164" s="12" t="n"/>
      <c r="G164" s="12" t="n"/>
      <c r="H164" s="12" t="n"/>
      <c r="I164" s="12" t="n"/>
      <c r="J164" s="12" t="n"/>
    </row>
    <row r="165">
      <c r="A165" s="12" t="n"/>
      <c r="B165" s="12" t="n"/>
      <c r="C165" s="12" t="n"/>
      <c r="D165" s="12" t="n"/>
      <c r="E165" s="12" t="n"/>
      <c r="F165" s="12" t="n"/>
      <c r="G165" s="12" t="n"/>
      <c r="H165" s="12" t="n"/>
      <c r="I165" s="12" t="n"/>
      <c r="J165" s="12" t="n"/>
    </row>
    <row r="166">
      <c r="A166" s="12" t="n"/>
      <c r="B166" s="12" t="n"/>
      <c r="C166" s="12" t="n"/>
      <c r="D166" s="12" t="n"/>
      <c r="E166" s="12" t="n"/>
      <c r="F166" s="12" t="n"/>
      <c r="G166" s="12" t="n"/>
      <c r="H166" s="12" t="n"/>
      <c r="I166" s="12" t="n"/>
      <c r="J166" s="12" t="n"/>
    </row>
    <row r="167">
      <c r="A167" s="12" t="n"/>
      <c r="B167" s="12" t="n"/>
      <c r="C167" s="12" t="n"/>
      <c r="D167" s="12" t="n"/>
      <c r="E167" s="12" t="n"/>
      <c r="F167" s="12" t="n"/>
      <c r="G167" s="12" t="n"/>
      <c r="H167" s="12" t="n"/>
      <c r="I167" s="12" t="n"/>
      <c r="J167" s="12" t="n"/>
    </row>
    <row r="168">
      <c r="A168" s="12" t="n"/>
      <c r="B168" s="12" t="n"/>
      <c r="C168" s="12" t="n"/>
      <c r="D168" s="12" t="n"/>
      <c r="E168" s="12" t="n"/>
      <c r="F168" s="12" t="n"/>
      <c r="G168" s="12" t="n"/>
      <c r="H168" s="12" t="n"/>
      <c r="I168" s="12" t="n"/>
      <c r="J168" s="12" t="n"/>
    </row>
    <row r="169">
      <c r="A169" s="12" t="n"/>
      <c r="B169" s="12" t="n"/>
      <c r="C169" s="12" t="n"/>
      <c r="D169" s="12" t="n"/>
      <c r="E169" s="12" t="n"/>
      <c r="F169" s="12" t="n"/>
      <c r="G169" s="12" t="n"/>
      <c r="H169" s="12" t="n"/>
      <c r="I169" s="12" t="n"/>
      <c r="J169" s="12" t="n"/>
    </row>
    <row r="170">
      <c r="A170" s="12" t="n"/>
      <c r="B170" s="12" t="n"/>
      <c r="C170" s="12" t="n"/>
      <c r="D170" s="12" t="n"/>
      <c r="E170" s="12" t="n"/>
      <c r="F170" s="12" t="n"/>
      <c r="G170" s="12" t="n"/>
      <c r="H170" s="12" t="n"/>
      <c r="I170" s="12" t="n"/>
      <c r="J170" s="12" t="n"/>
    </row>
    <row r="171">
      <c r="A171" s="12" t="n"/>
      <c r="B171" s="12" t="n"/>
      <c r="C171" s="12" t="n"/>
      <c r="D171" s="12" t="n"/>
      <c r="E171" s="12" t="n"/>
      <c r="F171" s="12" t="n"/>
      <c r="G171" s="12" t="n"/>
      <c r="H171" s="12" t="n"/>
      <c r="I171" s="12" t="n"/>
      <c r="J171" s="12" t="n"/>
    </row>
    <row r="172">
      <c r="A172" s="12" t="n"/>
      <c r="B172" s="12" t="n"/>
      <c r="C172" s="12" t="n"/>
      <c r="D172" s="12" t="n"/>
      <c r="E172" s="12" t="n"/>
      <c r="F172" s="12" t="n"/>
      <c r="G172" s="12" t="n"/>
      <c r="H172" s="12" t="n"/>
      <c r="I172" s="12" t="n"/>
      <c r="J172" s="12" t="n"/>
    </row>
    <row r="173">
      <c r="A173" s="12" t="n"/>
      <c r="B173" s="12" t="n"/>
      <c r="C173" s="12" t="n"/>
      <c r="D173" s="12" t="n"/>
      <c r="E173" s="12" t="n"/>
      <c r="F173" s="12" t="n"/>
      <c r="G173" s="12" t="n"/>
      <c r="H173" s="12" t="n"/>
      <c r="I173" s="12" t="n"/>
      <c r="J173" s="12" t="n"/>
    </row>
    <row r="174">
      <c r="A174" s="12" t="n"/>
      <c r="B174" s="12" t="n"/>
      <c r="C174" s="12" t="n"/>
      <c r="D174" s="12" t="n"/>
      <c r="E174" s="12" t="n"/>
      <c r="F174" s="12" t="n"/>
      <c r="G174" s="12" t="n"/>
      <c r="H174" s="12" t="n"/>
      <c r="I174" s="12" t="n"/>
      <c r="J174" s="12" t="n"/>
    </row>
    <row r="175">
      <c r="A175" s="12" t="n"/>
      <c r="B175" s="12" t="n"/>
      <c r="C175" s="12" t="n"/>
      <c r="D175" s="12" t="n"/>
      <c r="E175" s="12" t="n"/>
      <c r="F175" s="12" t="n"/>
      <c r="G175" s="12" t="n"/>
      <c r="H175" s="12" t="n"/>
      <c r="I175" s="12" t="n"/>
      <c r="J175" s="12" t="n"/>
    </row>
    <row r="176">
      <c r="A176" s="12" t="n"/>
      <c r="B176" s="12" t="n"/>
      <c r="C176" s="12" t="n"/>
      <c r="D176" s="12" t="n"/>
      <c r="E176" s="12" t="n"/>
      <c r="F176" s="12" t="n"/>
      <c r="G176" s="12" t="n"/>
      <c r="H176" s="12" t="n"/>
      <c r="I176" s="12" t="n"/>
      <c r="J176" s="12" t="n"/>
    </row>
    <row r="177">
      <c r="A177" s="12" t="n"/>
      <c r="B177" s="12" t="n"/>
      <c r="C177" s="12" t="n"/>
      <c r="D177" s="12" t="n"/>
      <c r="E177" s="12" t="n"/>
      <c r="F177" s="12" t="n"/>
      <c r="G177" s="12" t="n"/>
      <c r="H177" s="12" t="n"/>
      <c r="I177" s="12" t="n"/>
      <c r="J177" s="12" t="n"/>
    </row>
    <row r="178">
      <c r="A178" s="12" t="n"/>
      <c r="B178" s="12" t="n"/>
      <c r="C178" s="12" t="n"/>
      <c r="D178" s="12" t="n"/>
      <c r="E178" s="12" t="n"/>
      <c r="F178" s="12" t="n"/>
      <c r="G178" s="12" t="n"/>
      <c r="H178" s="12" t="n"/>
      <c r="I178" s="12" t="n"/>
      <c r="J178" s="12" t="n"/>
    </row>
    <row r="179">
      <c r="A179" s="12" t="n"/>
      <c r="B179" s="12" t="n"/>
      <c r="C179" s="12" t="n"/>
      <c r="D179" s="12" t="n"/>
      <c r="E179" s="12" t="n"/>
      <c r="F179" s="12" t="n"/>
      <c r="G179" s="12" t="n"/>
      <c r="H179" s="12" t="n"/>
      <c r="I179" s="12" t="n"/>
      <c r="J179" s="12" t="n"/>
    </row>
    <row r="180">
      <c r="A180" s="12" t="n"/>
      <c r="B180" s="12" t="n"/>
      <c r="C180" s="12" t="n"/>
      <c r="D180" s="12" t="n"/>
      <c r="E180" s="12" t="n"/>
      <c r="F180" s="12" t="n"/>
      <c r="G180" s="12" t="n"/>
      <c r="H180" s="12" t="n"/>
      <c r="I180" s="12" t="n"/>
      <c r="J180" s="12" t="n"/>
    </row>
    <row r="181">
      <c r="A181" s="12" t="n"/>
      <c r="B181" s="12" t="n"/>
      <c r="C181" s="12" t="n"/>
      <c r="D181" s="12" t="n"/>
      <c r="E181" s="12" t="n"/>
      <c r="F181" s="12" t="n"/>
      <c r="G181" s="12" t="n"/>
      <c r="H181" s="12" t="n"/>
      <c r="I181" s="12" t="n"/>
      <c r="J181" s="12" t="n"/>
    </row>
    <row r="182">
      <c r="A182" s="12" t="n"/>
      <c r="B182" s="12" t="n"/>
      <c r="C182" s="12" t="n"/>
      <c r="D182" s="12" t="n"/>
      <c r="E182" s="12" t="n"/>
      <c r="F182" s="12" t="n"/>
      <c r="G182" s="12" t="n"/>
      <c r="H182" s="12" t="n"/>
      <c r="I182" s="12" t="n"/>
      <c r="J182" s="12" t="n"/>
    </row>
    <row r="183">
      <c r="A183" s="12" t="n"/>
      <c r="B183" s="12" t="n"/>
      <c r="C183" s="12" t="n"/>
      <c r="D183" s="12" t="n"/>
      <c r="E183" s="12" t="n"/>
      <c r="F183" s="12" t="n"/>
      <c r="G183" s="12" t="n"/>
      <c r="H183" s="12" t="n"/>
      <c r="I183" s="12" t="n"/>
      <c r="J183" s="12" t="n"/>
    </row>
    <row r="184">
      <c r="A184" s="12" t="n"/>
      <c r="B184" s="12" t="n"/>
      <c r="C184" s="12" t="n"/>
      <c r="D184" s="12" t="n"/>
      <c r="E184" s="12" t="n"/>
      <c r="F184" s="12" t="n"/>
      <c r="G184" s="12" t="n"/>
      <c r="H184" s="12" t="n"/>
      <c r="I184" s="12" t="n"/>
      <c r="J184" s="12" t="n"/>
    </row>
    <row r="185">
      <c r="A185" s="12" t="n"/>
      <c r="B185" s="12" t="n"/>
      <c r="C185" s="12" t="n"/>
      <c r="D185" s="12" t="n"/>
      <c r="E185" s="12" t="n"/>
      <c r="F185" s="12" t="n"/>
      <c r="G185" s="12" t="n"/>
      <c r="H185" s="12" t="n"/>
      <c r="I185" s="12" t="n"/>
      <c r="J185" s="12" t="n"/>
    </row>
    <row r="186">
      <c r="A186" s="12" t="n"/>
      <c r="B186" s="12" t="n"/>
      <c r="C186" s="12" t="n"/>
      <c r="D186" s="12" t="n"/>
      <c r="E186" s="12" t="n"/>
      <c r="F186" s="12" t="n"/>
      <c r="G186" s="12" t="n"/>
      <c r="H186" s="12" t="n"/>
      <c r="I186" s="12" t="n"/>
      <c r="J186" s="12" t="n"/>
    </row>
    <row r="187">
      <c r="A187" s="12" t="n"/>
      <c r="B187" s="12" t="n"/>
      <c r="C187" s="12" t="n"/>
      <c r="D187" s="12" t="n"/>
      <c r="E187" s="12" t="n"/>
      <c r="F187" s="12" t="n"/>
      <c r="G187" s="12" t="n"/>
      <c r="H187" s="12" t="n"/>
      <c r="I187" s="12" t="n"/>
      <c r="J187" s="12" t="n"/>
    </row>
    <row r="188">
      <c r="A188" s="12" t="n"/>
      <c r="B188" s="12" t="n"/>
      <c r="C188" s="12" t="n"/>
      <c r="D188" s="12" t="n"/>
      <c r="E188" s="12" t="n"/>
      <c r="F188" s="12" t="n"/>
      <c r="G188" s="12" t="n"/>
      <c r="H188" s="12" t="n"/>
      <c r="I188" s="12" t="n"/>
      <c r="J188" s="12" t="n"/>
    </row>
    <row r="189">
      <c r="A189" s="12" t="n"/>
      <c r="B189" s="12" t="n"/>
      <c r="C189" s="12" t="n"/>
      <c r="D189" s="12" t="n"/>
      <c r="E189" s="12" t="n"/>
      <c r="F189" s="12" t="n"/>
      <c r="G189" s="12" t="n"/>
      <c r="H189" s="12" t="n"/>
      <c r="I189" s="12" t="n"/>
      <c r="J189" s="12" t="n"/>
    </row>
    <row r="190">
      <c r="A190" s="12" t="n"/>
      <c r="B190" s="12" t="n"/>
      <c r="C190" s="12" t="n"/>
      <c r="D190" s="12" t="n"/>
      <c r="E190" s="12" t="n"/>
      <c r="F190" s="12" t="n"/>
      <c r="G190" s="12" t="n"/>
      <c r="H190" s="12" t="n"/>
      <c r="I190" s="12" t="n"/>
      <c r="J190" s="12" t="n"/>
    </row>
    <row r="191">
      <c r="A191" s="12" t="n"/>
      <c r="B191" s="12" t="n"/>
      <c r="C191" s="12" t="n"/>
      <c r="D191" s="12" t="n"/>
      <c r="E191" s="12" t="n"/>
      <c r="F191" s="12" t="n"/>
      <c r="G191" s="12" t="n"/>
      <c r="H191" s="12" t="n"/>
      <c r="I191" s="12" t="n"/>
      <c r="J191" s="12" t="n"/>
    </row>
    <row r="192">
      <c r="A192" s="12" t="n"/>
      <c r="B192" s="12" t="n"/>
      <c r="C192" s="12" t="n"/>
      <c r="D192" s="12" t="n"/>
      <c r="E192" s="12" t="n"/>
      <c r="F192" s="12" t="n"/>
      <c r="G192" s="12" t="n"/>
      <c r="H192" s="12" t="n"/>
      <c r="I192" s="12" t="n"/>
      <c r="J192" s="12" t="n"/>
    </row>
    <row r="193">
      <c r="A193" s="12" t="n"/>
      <c r="B193" s="12" t="n"/>
      <c r="C193" s="12" t="n"/>
      <c r="D193" s="12" t="n"/>
      <c r="E193" s="12" t="n"/>
      <c r="F193" s="12" t="n"/>
      <c r="G193" s="12" t="n"/>
      <c r="H193" s="12" t="n"/>
      <c r="I193" s="12" t="n"/>
      <c r="J193" s="12" t="n"/>
    </row>
    <row r="194">
      <c r="A194" s="12" t="n"/>
      <c r="B194" s="12" t="n"/>
      <c r="C194" s="12" t="n"/>
      <c r="D194" s="12" t="n"/>
      <c r="E194" s="12" t="n"/>
      <c r="F194" s="12" t="n"/>
      <c r="G194" s="12" t="n"/>
      <c r="H194" s="12" t="n"/>
      <c r="I194" s="12" t="n"/>
      <c r="J194" s="12" t="n"/>
    </row>
    <row r="195">
      <c r="A195" s="12" t="n"/>
      <c r="B195" s="12" t="n"/>
      <c r="C195" s="12" t="n"/>
      <c r="D195" s="12" t="n"/>
      <c r="E195" s="12" t="n"/>
      <c r="F195" s="12" t="n"/>
      <c r="G195" s="12" t="n"/>
      <c r="H195" s="12" t="n"/>
      <c r="I195" s="12" t="n"/>
      <c r="J195" s="12" t="n"/>
    </row>
    <row r="196">
      <c r="A196" s="12" t="n"/>
      <c r="B196" s="12" t="n"/>
      <c r="C196" s="12" t="n"/>
      <c r="D196" s="12" t="n"/>
      <c r="E196" s="12" t="n"/>
      <c r="F196" s="12" t="n"/>
      <c r="G196" s="12" t="n"/>
      <c r="H196" s="12" t="n"/>
      <c r="I196" s="12" t="n"/>
      <c r="J196" s="12" t="n"/>
    </row>
    <row r="197">
      <c r="A197" s="12" t="n"/>
      <c r="B197" s="12" t="n"/>
      <c r="C197" s="12" t="n"/>
      <c r="D197" s="12" t="n"/>
      <c r="E197" s="12" t="n"/>
      <c r="F197" s="12" t="n"/>
      <c r="G197" s="12" t="n"/>
      <c r="H197" s="12" t="n"/>
      <c r="I197" s="12" t="n"/>
      <c r="J197" s="12" t="n"/>
    </row>
    <row r="198">
      <c r="A198" s="12" t="n"/>
      <c r="B198" s="12" t="n"/>
      <c r="C198" s="12" t="n"/>
      <c r="D198" s="12" t="n"/>
      <c r="E198" s="12" t="n"/>
      <c r="F198" s="12" t="n"/>
      <c r="G198" s="12" t="n"/>
      <c r="H198" s="12" t="n"/>
      <c r="I198" s="12" t="n"/>
      <c r="J198" s="12" t="n"/>
    </row>
    <row r="199">
      <c r="A199" s="12" t="n"/>
      <c r="B199" s="12" t="n"/>
      <c r="C199" s="12" t="n"/>
      <c r="D199" s="12" t="n"/>
      <c r="E199" s="12" t="n"/>
      <c r="F199" s="12" t="n"/>
      <c r="G199" s="12" t="n"/>
      <c r="H199" s="12" t="n"/>
      <c r="I199" s="12" t="n"/>
      <c r="J199" s="12" t="n"/>
    </row>
    <row r="200">
      <c r="A200" s="12" t="n"/>
      <c r="B200" s="12" t="n"/>
      <c r="C200" s="12" t="n"/>
      <c r="D200" s="12" t="n"/>
      <c r="E200" s="12" t="n"/>
      <c r="F200" s="12" t="n"/>
      <c r="G200" s="12" t="n"/>
      <c r="H200" s="12" t="n"/>
      <c r="I200" s="12" t="n"/>
      <c r="J200" s="12" t="n"/>
    </row>
  </sheetData>
  <mergeCells count="1">
    <mergeCell ref="A1:J1"/>
  </mergeCell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cols>
    <col width="29.61000061035156" customWidth="1" style="44" min="1" max="1"/>
    <col width="26.78000068664551" customWidth="1" style="44" min="2" max="2"/>
    <col width="18.29999923706055" customWidth="1" style="44" min="3" max="3"/>
    <col width="12.64999961853027" customWidth="1" style="44" min="4" max="4"/>
    <col width="9.960000038146973" customWidth="1" style="44" min="5" max="5"/>
    <col width="9.149999618530273" customWidth="1" style="44" min="6" max="6"/>
    <col width="27.19000053405762" customWidth="1" style="44" min="7" max="7"/>
    <col width="45.4900016784668" customWidth="1" style="44" min="8" max="8"/>
    <col width="19.92000007629395" customWidth="1" style="44" min="9" max="9"/>
    <col width="22.8799991607666" customWidth="1" style="44" min="10" max="10"/>
  </cols>
  <sheetData>
    <row r="1" ht="28" customHeight="1" s="44">
      <c r="A1" s="136" t="inlineStr">
        <is>
          <t>Regulatory Workflow Engine</t>
        </is>
      </c>
      <c r="B1" s="1" t="n"/>
      <c r="C1" s="1" t="n"/>
      <c r="D1" s="1" t="n"/>
      <c r="E1" s="1" t="n"/>
      <c r="F1" s="1" t="n"/>
      <c r="G1" s="1" t="n"/>
      <c r="H1" s="1" t="n"/>
      <c r="I1" s="1" t="n"/>
      <c r="J1" s="1" t="n"/>
    </row>
    <row r="2">
      <c r="A2" s="12" t="n"/>
      <c r="B2" s="12" t="n"/>
      <c r="C2" s="12" t="n"/>
      <c r="D2" s="12" t="n"/>
      <c r="E2" s="12" t="n"/>
      <c r="F2" s="12" t="n"/>
      <c r="G2" s="12" t="n"/>
      <c r="H2" s="12" t="n"/>
      <c r="I2" s="12" t="n"/>
      <c r="J2" s="12" t="n"/>
    </row>
    <row r="3">
      <c r="A3" s="69" t="inlineStr">
        <is>
          <t>Workflow ID</t>
        </is>
      </c>
      <c r="B3" s="69" t="inlineStr">
        <is>
          <t>Workflow Name</t>
        </is>
      </c>
      <c r="C3" s="69" t="inlineStr">
        <is>
          <t>Stage</t>
        </is>
      </c>
      <c r="D3" s="69" t="inlineStr">
        <is>
          <t>Owner</t>
        </is>
      </c>
      <c r="E3" s="69" t="inlineStr">
        <is>
          <t>SLA Days</t>
        </is>
      </c>
      <c r="F3" s="69" t="inlineStr">
        <is>
          <t>Status</t>
        </is>
      </c>
      <c r="G3" s="69" t="inlineStr">
        <is>
          <t>Bottleneck</t>
        </is>
      </c>
      <c r="H3" s="69" t="inlineStr">
        <is>
          <t>Next Action</t>
        </is>
      </c>
      <c r="I3" s="69" t="inlineStr">
        <is>
          <t>Regulator / Audience</t>
        </is>
      </c>
      <c r="J3" s="69" t="inlineStr">
        <is>
          <t>Control Point</t>
        </is>
      </c>
    </row>
    <row r="4">
      <c r="A4" s="12" t="inlineStr">
        <is>
          <t>WF-001</t>
        </is>
      </c>
      <c r="B4" s="12" t="inlineStr">
        <is>
          <t>MOF official letter submission</t>
        </is>
      </c>
      <c r="C4" s="12" t="inlineStr">
        <is>
          <t>Request received</t>
        </is>
      </c>
      <c r="D4" s="12" t="inlineStr">
        <is>
          <t>Public Affairs</t>
        </is>
      </c>
      <c r="E4" s="12" t="n">
        <v>1</v>
      </c>
      <c r="F4" s="12" t="inlineStr">
        <is>
          <t>Completed</t>
        </is>
      </c>
      <c r="G4" s="12" t="inlineStr">
        <is>
          <t>None</t>
        </is>
      </c>
      <c r="H4" s="12" t="inlineStr">
        <is>
          <t>Log request and confirm scope</t>
        </is>
      </c>
      <c r="I4" s="12" t="inlineStr">
        <is>
          <t>MOF</t>
        </is>
      </c>
      <c r="J4" s="12" t="inlineStr">
        <is>
          <t>Request scope confirmation</t>
        </is>
      </c>
    </row>
    <row r="5">
      <c r="A5" s="12" t="inlineStr">
        <is>
          <t>WF-001</t>
        </is>
      </c>
      <c r="B5" s="12" t="inlineStr">
        <is>
          <t>MOF official letter submission</t>
        </is>
      </c>
      <c r="C5" s="12" t="inlineStr">
        <is>
          <t>Data collection</t>
        </is>
      </c>
      <c r="D5" s="12" t="inlineStr">
        <is>
          <t>Business Owner</t>
        </is>
      </c>
      <c r="E5" s="12" t="n">
        <v>3</v>
      </c>
      <c r="F5" s="12" t="inlineStr">
        <is>
          <t>In Progress</t>
        </is>
      </c>
      <c r="G5" s="12" t="inlineStr">
        <is>
          <t>Delayed supporting data</t>
        </is>
      </c>
      <c r="H5" s="12" t="inlineStr">
        <is>
          <t>Escalate to Product by noon</t>
        </is>
      </c>
      <c r="I5" s="12" t="inlineStr">
        <is>
          <t>MOF</t>
        </is>
      </c>
      <c r="J5" s="12" t="inlineStr">
        <is>
          <t>Data completeness check</t>
        </is>
      </c>
    </row>
    <row r="6">
      <c r="A6" s="12" t="inlineStr">
        <is>
          <t>WF-001</t>
        </is>
      </c>
      <c r="B6" s="12" t="inlineStr">
        <is>
          <t>MOF official letter submission</t>
        </is>
      </c>
      <c r="C6" s="12" t="inlineStr">
        <is>
          <t>Legal review</t>
        </is>
      </c>
      <c r="D6" s="12" t="inlineStr">
        <is>
          <t>Legal</t>
        </is>
      </c>
      <c r="E6" s="12" t="n">
        <v>2</v>
      </c>
      <c r="F6" s="12" t="inlineStr">
        <is>
          <t>Pending</t>
        </is>
      </c>
      <c r="G6" s="12" t="inlineStr">
        <is>
          <t>Awaiting draft</t>
        </is>
      </c>
      <c r="H6" s="12" t="inlineStr">
        <is>
          <t>Send version-controlled draft</t>
        </is>
      </c>
      <c r="I6" s="12" t="inlineStr">
        <is>
          <t>MOF</t>
        </is>
      </c>
      <c r="J6" s="12" t="inlineStr">
        <is>
          <t>Legal sign-off</t>
        </is>
      </c>
    </row>
    <row r="7">
      <c r="A7" s="12" t="inlineStr">
        <is>
          <t>WF-001</t>
        </is>
      </c>
      <c r="B7" s="12" t="inlineStr">
        <is>
          <t>MOF official letter submission</t>
        </is>
      </c>
      <c r="C7" s="12" t="inlineStr">
        <is>
          <t>Compliance review</t>
        </is>
      </c>
      <c r="D7" s="12" t="inlineStr">
        <is>
          <t>Compliance</t>
        </is>
      </c>
      <c r="E7" s="12" t="n">
        <v>2</v>
      </c>
      <c r="F7" s="12" t="inlineStr">
        <is>
          <t>Pending</t>
        </is>
      </c>
      <c r="G7" s="12" t="inlineStr">
        <is>
          <t>Awaiting Legal comments</t>
        </is>
      </c>
      <c r="H7" s="12" t="inlineStr">
        <is>
          <t>Review once legal draft locked</t>
        </is>
      </c>
      <c r="I7" s="12" t="inlineStr">
        <is>
          <t>MOF</t>
        </is>
      </c>
      <c r="J7" s="12" t="inlineStr">
        <is>
          <t>Compliance sign-off</t>
        </is>
      </c>
    </row>
    <row r="8">
      <c r="A8" s="12" t="inlineStr">
        <is>
          <t>WF-001</t>
        </is>
      </c>
      <c r="B8" s="12" t="inlineStr">
        <is>
          <t>MOF official letter submission</t>
        </is>
      </c>
      <c r="C8" s="12" t="inlineStr">
        <is>
          <t>Management approval</t>
        </is>
      </c>
      <c r="D8" s="12" t="inlineStr">
        <is>
          <t>CEO Office</t>
        </is>
      </c>
      <c r="E8" s="12" t="n">
        <v>2</v>
      </c>
      <c r="F8" s="12" t="inlineStr">
        <is>
          <t>Not Started</t>
        </is>
      </c>
      <c r="G8" s="12" t="inlineStr">
        <is>
          <t>Signature authority not confirmed</t>
        </is>
      </c>
      <c r="H8" s="12" t="inlineStr">
        <is>
          <t>Confirm signer and delegation matrix</t>
        </is>
      </c>
      <c r="I8" s="12" t="inlineStr">
        <is>
          <t>MOF</t>
        </is>
      </c>
      <c r="J8" s="12" t="inlineStr">
        <is>
          <t>Signature authority check</t>
        </is>
      </c>
    </row>
    <row r="9">
      <c r="A9" s="12" t="inlineStr">
        <is>
          <t>WF-001</t>
        </is>
      </c>
      <c r="B9" s="12" t="inlineStr">
        <is>
          <t>MOF official letter submission</t>
        </is>
      </c>
      <c r="C9" s="12" t="inlineStr">
        <is>
          <t>Submission</t>
        </is>
      </c>
      <c r="D9" s="12" t="inlineStr">
        <is>
          <t>Public Affairs</t>
        </is>
      </c>
      <c r="E9" s="12" t="n">
        <v>1</v>
      </c>
      <c r="F9" s="12" t="inlineStr">
        <is>
          <t>Not Started</t>
        </is>
      </c>
      <c r="G9" s="12" t="inlineStr">
        <is>
          <t>Hard copy not prepared</t>
        </is>
      </c>
      <c r="H9" s="12" t="inlineStr">
        <is>
          <t>Prepare cover letter, attachments and submission receipt</t>
        </is>
      </c>
      <c r="I9" s="12" t="inlineStr">
        <is>
          <t>MOF</t>
        </is>
      </c>
      <c r="J9" s="12" t="inlineStr">
        <is>
          <t>Submission evidence archive</t>
        </is>
      </c>
    </row>
    <row r="10">
      <c r="A10" s="12" t="inlineStr">
        <is>
          <t>WF-001</t>
        </is>
      </c>
      <c r="B10" s="12" t="inlineStr">
        <is>
          <t>MOF official letter submission</t>
        </is>
      </c>
      <c r="C10" s="12" t="inlineStr">
        <is>
          <t>Response tracking</t>
        </is>
      </c>
      <c r="D10" s="12" t="inlineStr">
        <is>
          <t>Public Affairs</t>
        </is>
      </c>
      <c r="E10" s="12" t="n">
        <v>5</v>
      </c>
      <c r="F10" s="12" t="inlineStr">
        <is>
          <t>Not Started</t>
        </is>
      </c>
      <c r="G10" s="12" t="inlineStr">
        <is>
          <t>No response yet</t>
        </is>
      </c>
      <c r="H10" s="12" t="inlineStr">
        <is>
          <t>Track receipt and expected feedback date</t>
        </is>
      </c>
      <c r="I10" s="12" t="inlineStr">
        <is>
          <t>MOF</t>
        </is>
      </c>
      <c r="J10" s="12" t="inlineStr">
        <is>
          <t>Regulator response log</t>
        </is>
      </c>
    </row>
    <row r="11">
      <c r="A11" s="12" t="inlineStr">
        <is>
          <t>WF-002</t>
        </is>
      </c>
      <c r="B11" s="12" t="inlineStr">
        <is>
          <t>ISA product approval dossier</t>
        </is>
      </c>
      <c r="C11" s="12" t="inlineStr">
        <is>
          <t>Draft dossier</t>
        </is>
      </c>
      <c r="D11" s="12" t="inlineStr">
        <is>
          <t>Product</t>
        </is>
      </c>
      <c r="E11" s="12" t="n">
        <v>5</v>
      </c>
      <c r="F11" s="12" t="inlineStr">
        <is>
          <t>Completed</t>
        </is>
      </c>
      <c r="G11" s="12" t="inlineStr">
        <is>
          <t>None</t>
        </is>
      </c>
      <c r="H11" s="12" t="inlineStr">
        <is>
          <t>Send to Legal/Compliance</t>
        </is>
      </c>
      <c r="I11" s="12" t="inlineStr">
        <is>
          <t>ISA</t>
        </is>
      </c>
      <c r="J11" s="12" t="inlineStr">
        <is>
          <t>Product dossier checklist</t>
        </is>
      </c>
    </row>
    <row r="12">
      <c r="A12" s="12" t="inlineStr">
        <is>
          <t>WF-002</t>
        </is>
      </c>
      <c r="B12" s="12" t="inlineStr">
        <is>
          <t>ISA product approval dossier</t>
        </is>
      </c>
      <c r="C12" s="12" t="inlineStr">
        <is>
          <t>Regulator Q&amp;A</t>
        </is>
      </c>
      <c r="D12" s="12" t="inlineStr">
        <is>
          <t>Product + PA</t>
        </is>
      </c>
      <c r="E12" s="12" t="n">
        <v>7</v>
      </c>
      <c r="F12" s="12" t="inlineStr">
        <is>
          <t>In Progress</t>
        </is>
      </c>
      <c r="G12" s="12" t="inlineStr">
        <is>
          <t>Technical answers incomplete</t>
        </is>
      </c>
      <c r="H12" s="12" t="inlineStr">
        <is>
          <t>Prepare Q&amp;A table with evidence</t>
        </is>
      </c>
      <c r="I12" s="12" t="inlineStr">
        <is>
          <t>ISA</t>
        </is>
      </c>
      <c r="J12" s="12" t="inlineStr">
        <is>
          <t>Q&amp;A response quality check</t>
        </is>
      </c>
    </row>
    <row r="13">
      <c r="A13" s="12" t="inlineStr">
        <is>
          <t>WF-003</t>
        </is>
      </c>
      <c r="B13" s="12" t="inlineStr">
        <is>
          <t>Regional Office regulatory update</t>
        </is>
      </c>
      <c r="C13" s="12" t="inlineStr">
        <is>
          <t>Collect weekly updates</t>
        </is>
      </c>
      <c r="D13" s="12" t="inlineStr">
        <is>
          <t>Public Affairs</t>
        </is>
      </c>
      <c r="E13" s="12" t="n">
        <v>2</v>
      </c>
      <c r="F13" s="12" t="inlineStr">
        <is>
          <t>In Progress</t>
        </is>
      </c>
      <c r="G13" s="12" t="inlineStr">
        <is>
          <t>Inputs from functions late</t>
        </is>
      </c>
      <c r="H13" s="12" t="inlineStr">
        <is>
          <t>Send Friday reminder</t>
        </is>
      </c>
      <c r="I13" s="12" t="inlineStr">
        <is>
          <t>Regional Office</t>
        </is>
      </c>
      <c r="J13" s="12" t="inlineStr">
        <is>
          <t>One source of truth tracker</t>
        </is>
      </c>
    </row>
    <row r="14">
      <c r="A14" s="12" t="n"/>
      <c r="B14" s="12" t="n"/>
      <c r="C14" s="12" t="n"/>
      <c r="D14" s="12" t="n"/>
      <c r="E14" s="12" t="n"/>
      <c r="F14" s="12" t="n"/>
      <c r="G14" s="12" t="n"/>
      <c r="H14" s="12" t="n"/>
      <c r="I14" s="12" t="n"/>
      <c r="J14" s="12" t="n"/>
    </row>
    <row r="15">
      <c r="A15" s="12" t="n"/>
      <c r="B15" s="12" t="n"/>
      <c r="C15" s="12" t="n"/>
      <c r="D15" s="12" t="n"/>
      <c r="E15" s="12" t="n"/>
      <c r="F15" s="12" t="n"/>
      <c r="G15" s="12" t="n"/>
      <c r="H15" s="12" t="n"/>
      <c r="I15" s="12" t="n"/>
      <c r="J15" s="12" t="n"/>
    </row>
    <row r="16">
      <c r="A16" s="12" t="n"/>
      <c r="B16" s="12" t="n"/>
      <c r="C16" s="12" t="n"/>
      <c r="D16" s="12" t="n"/>
      <c r="E16" s="12" t="n"/>
      <c r="F16" s="12" t="n"/>
      <c r="G16" s="12" t="n"/>
      <c r="H16" s="12" t="n"/>
      <c r="I16" s="12" t="n"/>
      <c r="J16" s="12" t="n"/>
    </row>
    <row r="17">
      <c r="A17" s="12" t="n"/>
      <c r="B17" s="12" t="n"/>
      <c r="C17" s="12" t="n"/>
      <c r="D17" s="12" t="n"/>
      <c r="E17" s="12" t="n"/>
      <c r="F17" s="12" t="n"/>
      <c r="G17" s="12" t="n"/>
      <c r="H17" s="12" t="n"/>
      <c r="I17" s="12" t="n"/>
      <c r="J17" s="12" t="n"/>
    </row>
    <row r="18">
      <c r="A18" s="12" t="n"/>
      <c r="B18" s="12" t="n"/>
      <c r="C18" s="12" t="n"/>
      <c r="D18" s="12" t="n"/>
      <c r="E18" s="12" t="n"/>
      <c r="F18" s="12" t="n"/>
      <c r="G18" s="12" t="n"/>
      <c r="H18" s="12" t="n"/>
      <c r="I18" s="12" t="n"/>
      <c r="J18" s="12" t="n"/>
    </row>
    <row r="19">
      <c r="A19" s="12" t="n"/>
      <c r="B19" s="12" t="n"/>
      <c r="C19" s="12" t="n"/>
      <c r="D19" s="12" t="n"/>
      <c r="E19" s="12" t="n"/>
      <c r="F19" s="12" t="n"/>
      <c r="G19" s="12" t="n"/>
      <c r="H19" s="12" t="n"/>
      <c r="I19" s="12" t="n"/>
      <c r="J19" s="12" t="n"/>
    </row>
    <row r="20">
      <c r="A20" s="12" t="n"/>
      <c r="B20" s="12" t="n"/>
      <c r="C20" s="12" t="n"/>
      <c r="D20" s="12" t="n"/>
      <c r="E20" s="12" t="n"/>
      <c r="F20" s="12" t="n"/>
      <c r="G20" s="12" t="n"/>
      <c r="H20" s="12" t="n"/>
      <c r="I20" s="12" t="n"/>
      <c r="J20" s="12" t="n"/>
    </row>
    <row r="21">
      <c r="A21" s="12" t="n"/>
      <c r="B21" s="12" t="n"/>
      <c r="C21" s="12" t="n"/>
      <c r="D21" s="12" t="n"/>
      <c r="E21" s="12" t="n"/>
      <c r="F21" s="12" t="n"/>
      <c r="G21" s="12" t="n"/>
      <c r="H21" s="12" t="n"/>
      <c r="I21" s="12" t="n"/>
      <c r="J21" s="12" t="n"/>
    </row>
    <row r="22">
      <c r="A22" s="12" t="n"/>
      <c r="B22" s="12" t="n"/>
      <c r="C22" s="12" t="n"/>
      <c r="D22" s="12" t="n"/>
      <c r="E22" s="12" t="n"/>
      <c r="F22" s="12" t="n"/>
      <c r="G22" s="12" t="n"/>
      <c r="H22" s="12" t="n"/>
      <c r="I22" s="12" t="n"/>
      <c r="J22" s="12" t="n"/>
    </row>
    <row r="23">
      <c r="A23" s="12" t="n"/>
      <c r="B23" s="12" t="n"/>
      <c r="C23" s="12" t="n"/>
      <c r="D23" s="12" t="n"/>
      <c r="E23" s="12" t="n"/>
      <c r="F23" s="12" t="n"/>
      <c r="G23" s="12" t="n"/>
      <c r="H23" s="12" t="n"/>
      <c r="I23" s="12" t="n"/>
      <c r="J23" s="12" t="n"/>
    </row>
    <row r="24">
      <c r="A24" s="12" t="n"/>
      <c r="B24" s="12" t="n"/>
      <c r="C24" s="12" t="n"/>
      <c r="D24" s="12" t="n"/>
      <c r="E24" s="12" t="n"/>
      <c r="F24" s="12" t="n"/>
      <c r="G24" s="12" t="n"/>
      <c r="H24" s="12" t="n"/>
      <c r="I24" s="12" t="n"/>
      <c r="J24" s="12" t="n"/>
    </row>
    <row r="25">
      <c r="A25" s="12" t="n"/>
      <c r="B25" s="12" t="n"/>
      <c r="C25" s="12" t="n"/>
      <c r="D25" s="12" t="n"/>
      <c r="E25" s="12" t="n"/>
      <c r="F25" s="12" t="n"/>
      <c r="G25" s="12" t="n"/>
      <c r="H25" s="12" t="n"/>
      <c r="I25" s="12" t="n"/>
      <c r="J25" s="12" t="n"/>
    </row>
    <row r="26">
      <c r="A26" s="12" t="n"/>
      <c r="B26" s="12" t="n"/>
      <c r="C26" s="12" t="n"/>
      <c r="D26" s="12" t="n"/>
      <c r="E26" s="12" t="n"/>
      <c r="F26" s="12" t="n"/>
      <c r="G26" s="12" t="n"/>
      <c r="H26" s="12" t="n"/>
      <c r="I26" s="12" t="n"/>
      <c r="J26" s="12" t="n"/>
    </row>
    <row r="27">
      <c r="A27" s="12" t="n"/>
      <c r="B27" s="12" t="n"/>
      <c r="C27" s="12" t="n"/>
      <c r="D27" s="12" t="n"/>
      <c r="E27" s="12" t="n"/>
      <c r="F27" s="12" t="n"/>
      <c r="G27" s="12" t="n"/>
      <c r="H27" s="12" t="n"/>
      <c r="I27" s="12" t="n"/>
      <c r="J27" s="12" t="n"/>
    </row>
    <row r="28">
      <c r="A28" s="12" t="n"/>
      <c r="B28" s="12" t="n"/>
      <c r="C28" s="12" t="n"/>
      <c r="D28" s="12" t="n"/>
      <c r="E28" s="12" t="n"/>
      <c r="F28" s="12" t="n"/>
      <c r="G28" s="12" t="n"/>
      <c r="H28" s="12" t="n"/>
      <c r="I28" s="12" t="n"/>
      <c r="J28" s="12" t="n"/>
    </row>
    <row r="29">
      <c r="A29" s="12" t="n"/>
      <c r="B29" s="12" t="n"/>
      <c r="C29" s="12" t="n"/>
      <c r="D29" s="12" t="n"/>
      <c r="E29" s="12" t="n"/>
      <c r="F29" s="12" t="n"/>
      <c r="G29" s="12" t="n"/>
      <c r="H29" s="12" t="n"/>
      <c r="I29" s="12" t="n"/>
      <c r="J29" s="12" t="n"/>
    </row>
    <row r="30">
      <c r="A30" s="12" t="n"/>
      <c r="B30" s="12" t="n"/>
      <c r="C30" s="12" t="n"/>
      <c r="D30" s="12" t="n"/>
      <c r="E30" s="12" t="n"/>
      <c r="F30" s="12" t="n"/>
      <c r="G30" s="12" t="n"/>
      <c r="H30" s="12" t="n"/>
      <c r="I30" s="12" t="n"/>
      <c r="J30" s="12" t="n"/>
    </row>
    <row r="31">
      <c r="A31" s="12" t="n"/>
      <c r="B31" s="12" t="n"/>
      <c r="C31" s="12" t="n"/>
      <c r="D31" s="12" t="n"/>
      <c r="E31" s="12" t="n"/>
      <c r="F31" s="12" t="n"/>
      <c r="G31" s="12" t="n"/>
      <c r="H31" s="12" t="n"/>
      <c r="I31" s="12" t="n"/>
      <c r="J31" s="12" t="n"/>
    </row>
    <row r="32">
      <c r="A32" s="12" t="n"/>
      <c r="B32" s="12" t="n"/>
      <c r="C32" s="12" t="n"/>
      <c r="D32" s="12" t="n"/>
      <c r="E32" s="12" t="n"/>
      <c r="F32" s="12" t="n"/>
      <c r="G32" s="12" t="n"/>
      <c r="H32" s="12" t="n"/>
      <c r="I32" s="12" t="n"/>
      <c r="J32" s="12" t="n"/>
    </row>
    <row r="33">
      <c r="A33" s="12" t="n"/>
      <c r="B33" s="12" t="n"/>
      <c r="C33" s="12" t="n"/>
      <c r="D33" s="12" t="n"/>
      <c r="E33" s="12" t="n"/>
      <c r="F33" s="12" t="n"/>
      <c r="G33" s="12" t="n"/>
      <c r="H33" s="12" t="n"/>
      <c r="I33" s="12" t="n"/>
      <c r="J33" s="12" t="n"/>
    </row>
    <row r="34">
      <c r="A34" s="12" t="n"/>
      <c r="B34" s="12" t="n"/>
      <c r="C34" s="12" t="n"/>
      <c r="D34" s="12" t="n"/>
      <c r="E34" s="12" t="n"/>
      <c r="F34" s="12" t="n"/>
      <c r="G34" s="12" t="n"/>
      <c r="H34" s="12" t="n"/>
      <c r="I34" s="12" t="n"/>
      <c r="J34" s="12" t="n"/>
    </row>
    <row r="35">
      <c r="A35" s="12" t="n"/>
      <c r="B35" s="12" t="n"/>
      <c r="C35" s="12" t="n"/>
      <c r="D35" s="12" t="n"/>
      <c r="E35" s="12" t="n"/>
      <c r="F35" s="12" t="n"/>
      <c r="G35" s="12" t="n"/>
      <c r="H35" s="12" t="n"/>
      <c r="I35" s="12" t="n"/>
      <c r="J35" s="12" t="n"/>
    </row>
    <row r="36">
      <c r="A36" s="12" t="n"/>
      <c r="B36" s="12" t="n"/>
      <c r="C36" s="12" t="n"/>
      <c r="D36" s="12" t="n"/>
      <c r="E36" s="12" t="n"/>
      <c r="F36" s="12" t="n"/>
      <c r="G36" s="12" t="n"/>
      <c r="H36" s="12" t="n"/>
      <c r="I36" s="12" t="n"/>
      <c r="J36" s="12" t="n"/>
    </row>
    <row r="37">
      <c r="A37" s="12" t="n"/>
      <c r="B37" s="12" t="n"/>
      <c r="C37" s="12" t="n"/>
      <c r="D37" s="12" t="n"/>
      <c r="E37" s="12" t="n"/>
      <c r="F37" s="12" t="n"/>
      <c r="G37" s="12" t="n"/>
      <c r="H37" s="12" t="n"/>
      <c r="I37" s="12" t="n"/>
      <c r="J37" s="12" t="n"/>
    </row>
    <row r="38">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2" t="n"/>
      <c r="B40" s="12" t="n"/>
      <c r="C40" s="12" t="n"/>
      <c r="D40" s="12" t="n"/>
      <c r="E40" s="12" t="n"/>
      <c r="F40" s="12" t="n"/>
      <c r="G40" s="12" t="n"/>
      <c r="H40" s="12" t="n"/>
      <c r="I40" s="12" t="n"/>
      <c r="J40" s="12" t="n"/>
    </row>
    <row r="41">
      <c r="A41" s="12" t="n"/>
      <c r="B41" s="12" t="n"/>
      <c r="C41" s="12" t="n"/>
      <c r="D41" s="12" t="n"/>
      <c r="E41" s="12" t="n"/>
      <c r="F41" s="12" t="n"/>
      <c r="G41" s="12" t="n"/>
      <c r="H41" s="12" t="n"/>
      <c r="I41" s="12" t="n"/>
      <c r="J41" s="12" t="n"/>
    </row>
    <row r="42">
      <c r="A42" s="12" t="n"/>
      <c r="B42" s="12" t="n"/>
      <c r="C42" s="12" t="n"/>
      <c r="D42" s="12" t="n"/>
      <c r="E42" s="12" t="n"/>
      <c r="F42" s="12" t="n"/>
      <c r="G42" s="12" t="n"/>
      <c r="H42" s="12" t="n"/>
      <c r="I42" s="12" t="n"/>
      <c r="J42" s="12" t="n"/>
    </row>
    <row r="43">
      <c r="A43" s="12" t="n"/>
      <c r="B43" s="12" t="n"/>
      <c r="C43" s="12" t="n"/>
      <c r="D43" s="12" t="n"/>
      <c r="E43" s="12" t="n"/>
      <c r="F43" s="12" t="n"/>
      <c r="G43" s="12" t="n"/>
      <c r="H43" s="12" t="n"/>
      <c r="I43" s="12" t="n"/>
      <c r="J43" s="12" t="n"/>
    </row>
    <row r="44">
      <c r="A44" s="12" t="n"/>
      <c r="B44" s="12" t="n"/>
      <c r="C44" s="12" t="n"/>
      <c r="D44" s="12" t="n"/>
      <c r="E44" s="12" t="n"/>
      <c r="F44" s="12" t="n"/>
      <c r="G44" s="12" t="n"/>
      <c r="H44" s="12" t="n"/>
      <c r="I44" s="12" t="n"/>
      <c r="J44" s="12" t="n"/>
    </row>
    <row r="45">
      <c r="A45" s="12" t="n"/>
      <c r="B45" s="12" t="n"/>
      <c r="C45" s="12" t="n"/>
      <c r="D45" s="12" t="n"/>
      <c r="E45" s="12" t="n"/>
      <c r="F45" s="12" t="n"/>
      <c r="G45" s="12" t="n"/>
      <c r="H45" s="12" t="n"/>
      <c r="I45" s="12" t="n"/>
      <c r="J45" s="12" t="n"/>
    </row>
    <row r="46">
      <c r="A46" s="12" t="n"/>
      <c r="B46" s="12" t="n"/>
      <c r="C46" s="12" t="n"/>
      <c r="D46" s="12" t="n"/>
      <c r="E46" s="12" t="n"/>
      <c r="F46" s="12" t="n"/>
      <c r="G46" s="12" t="n"/>
      <c r="H46" s="12" t="n"/>
      <c r="I46" s="12" t="n"/>
      <c r="J46" s="12" t="n"/>
    </row>
    <row r="47">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row r="49">
      <c r="A49" s="12" t="n"/>
      <c r="B49" s="12" t="n"/>
      <c r="C49" s="12" t="n"/>
      <c r="D49" s="12" t="n"/>
      <c r="E49" s="12" t="n"/>
      <c r="F49" s="12" t="n"/>
      <c r="G49" s="12" t="n"/>
      <c r="H49" s="12" t="n"/>
      <c r="I49" s="12" t="n"/>
      <c r="J49" s="12" t="n"/>
    </row>
    <row r="50">
      <c r="A50" s="12" t="n"/>
      <c r="B50" s="12" t="n"/>
      <c r="C50" s="12" t="n"/>
      <c r="D50" s="12" t="n"/>
      <c r="E50" s="12" t="n"/>
      <c r="F50" s="12" t="n"/>
      <c r="G50" s="12" t="n"/>
      <c r="H50" s="12" t="n"/>
      <c r="I50" s="12" t="n"/>
      <c r="J50" s="12" t="n"/>
    </row>
    <row r="51">
      <c r="A51" s="12" t="n"/>
      <c r="B51" s="12" t="n"/>
      <c r="C51" s="12" t="n"/>
      <c r="D51" s="12" t="n"/>
      <c r="E51" s="12" t="n"/>
      <c r="F51" s="12" t="n"/>
      <c r="G51" s="12" t="n"/>
      <c r="H51" s="12" t="n"/>
      <c r="I51" s="12" t="n"/>
      <c r="J51" s="12" t="n"/>
    </row>
    <row r="52">
      <c r="A52" s="12" t="n"/>
      <c r="B52" s="12" t="n"/>
      <c r="C52" s="12" t="n"/>
      <c r="D52" s="12" t="n"/>
      <c r="E52" s="12" t="n"/>
      <c r="F52" s="12" t="n"/>
      <c r="G52" s="12" t="n"/>
      <c r="H52" s="12" t="n"/>
      <c r="I52" s="12" t="n"/>
      <c r="J52" s="12" t="n"/>
    </row>
    <row r="53">
      <c r="A53" s="12" t="n"/>
      <c r="B53" s="12" t="n"/>
      <c r="C53" s="12" t="n"/>
      <c r="D53" s="12" t="n"/>
      <c r="E53" s="12" t="n"/>
      <c r="F53" s="12" t="n"/>
      <c r="G53" s="12" t="n"/>
      <c r="H53" s="12" t="n"/>
      <c r="I53" s="12" t="n"/>
      <c r="J53" s="12" t="n"/>
    </row>
    <row r="54">
      <c r="A54" s="12" t="n"/>
      <c r="B54" s="12" t="n"/>
      <c r="C54" s="12" t="n"/>
      <c r="D54" s="12" t="n"/>
      <c r="E54" s="12" t="n"/>
      <c r="F54" s="12" t="n"/>
      <c r="G54" s="12" t="n"/>
      <c r="H54" s="12" t="n"/>
      <c r="I54" s="12" t="n"/>
      <c r="J54" s="12" t="n"/>
    </row>
    <row r="55">
      <c r="A55" s="12" t="n"/>
      <c r="B55" s="12" t="n"/>
      <c r="C55" s="12" t="n"/>
      <c r="D55" s="12" t="n"/>
      <c r="E55" s="12" t="n"/>
      <c r="F55" s="12" t="n"/>
      <c r="G55" s="12" t="n"/>
      <c r="H55" s="12" t="n"/>
      <c r="I55" s="12" t="n"/>
      <c r="J55" s="12" t="n"/>
    </row>
    <row r="56">
      <c r="A56" s="12" t="n"/>
      <c r="B56" s="12" t="n"/>
      <c r="C56" s="12" t="n"/>
      <c r="D56" s="12" t="n"/>
      <c r="E56" s="12" t="n"/>
      <c r="F56" s="12" t="n"/>
      <c r="G56" s="12" t="n"/>
      <c r="H56" s="12" t="n"/>
      <c r="I56" s="12" t="n"/>
      <c r="J56" s="12" t="n"/>
    </row>
    <row r="57">
      <c r="A57" s="12" t="n"/>
      <c r="B57" s="12" t="n"/>
      <c r="C57" s="12" t="n"/>
      <c r="D57" s="12" t="n"/>
      <c r="E57" s="12" t="n"/>
      <c r="F57" s="12" t="n"/>
      <c r="G57" s="12" t="n"/>
      <c r="H57" s="12" t="n"/>
      <c r="I57" s="12" t="n"/>
      <c r="J57" s="12" t="n"/>
    </row>
    <row r="58">
      <c r="A58" s="12" t="n"/>
      <c r="B58" s="12" t="n"/>
      <c r="C58" s="12" t="n"/>
      <c r="D58" s="12" t="n"/>
      <c r="E58" s="12" t="n"/>
      <c r="F58" s="12" t="n"/>
      <c r="G58" s="12" t="n"/>
      <c r="H58" s="12" t="n"/>
      <c r="I58" s="12" t="n"/>
      <c r="J58" s="12" t="n"/>
    </row>
    <row r="59">
      <c r="A59" s="12" t="n"/>
      <c r="B59" s="12" t="n"/>
      <c r="C59" s="12" t="n"/>
      <c r="D59" s="12" t="n"/>
      <c r="E59" s="12" t="n"/>
      <c r="F59" s="12" t="n"/>
      <c r="G59" s="12" t="n"/>
      <c r="H59" s="12" t="n"/>
      <c r="I59" s="12" t="n"/>
      <c r="J59" s="12" t="n"/>
    </row>
    <row r="60">
      <c r="A60" s="12" t="n"/>
      <c r="B60" s="12" t="n"/>
      <c r="C60" s="12" t="n"/>
      <c r="D60" s="12" t="n"/>
      <c r="E60" s="12" t="n"/>
      <c r="F60" s="12" t="n"/>
      <c r="G60" s="12" t="n"/>
      <c r="H60" s="12" t="n"/>
      <c r="I60" s="12" t="n"/>
      <c r="J60" s="12" t="n"/>
    </row>
    <row r="61">
      <c r="A61" s="12" t="n"/>
      <c r="B61" s="12" t="n"/>
      <c r="C61" s="12" t="n"/>
      <c r="D61" s="12" t="n"/>
      <c r="E61" s="12" t="n"/>
      <c r="F61" s="12" t="n"/>
      <c r="G61" s="12" t="n"/>
      <c r="H61" s="12" t="n"/>
      <c r="I61" s="12" t="n"/>
      <c r="J61" s="12" t="n"/>
    </row>
    <row r="62">
      <c r="A62" s="12" t="n"/>
      <c r="B62" s="12" t="n"/>
      <c r="C62" s="12" t="n"/>
      <c r="D62" s="12" t="n"/>
      <c r="E62" s="12" t="n"/>
      <c r="F62" s="12" t="n"/>
      <c r="G62" s="12" t="n"/>
      <c r="H62" s="12" t="n"/>
      <c r="I62" s="12" t="n"/>
      <c r="J62" s="12" t="n"/>
    </row>
    <row r="63">
      <c r="A63" s="12" t="n"/>
      <c r="B63" s="12" t="n"/>
      <c r="C63" s="12" t="n"/>
      <c r="D63" s="12" t="n"/>
      <c r="E63" s="12" t="n"/>
      <c r="F63" s="12" t="n"/>
      <c r="G63" s="12" t="n"/>
      <c r="H63" s="12" t="n"/>
      <c r="I63" s="12" t="n"/>
      <c r="J63" s="12" t="n"/>
    </row>
    <row r="64">
      <c r="A64" s="12" t="n"/>
      <c r="B64" s="12" t="n"/>
      <c r="C64" s="12" t="n"/>
      <c r="D64" s="12" t="n"/>
      <c r="E64" s="12" t="n"/>
      <c r="F64" s="12" t="n"/>
      <c r="G64" s="12" t="n"/>
      <c r="H64" s="12" t="n"/>
      <c r="I64" s="12" t="n"/>
      <c r="J64" s="12" t="n"/>
    </row>
    <row r="65">
      <c r="A65" s="12" t="n"/>
      <c r="B65" s="12" t="n"/>
      <c r="C65" s="12" t="n"/>
      <c r="D65" s="12" t="n"/>
      <c r="E65" s="12" t="n"/>
      <c r="F65" s="12" t="n"/>
      <c r="G65" s="12" t="n"/>
      <c r="H65" s="12" t="n"/>
      <c r="I65" s="12" t="n"/>
      <c r="J65" s="12" t="n"/>
    </row>
    <row r="66">
      <c r="A66" s="12" t="n"/>
      <c r="B66" s="12" t="n"/>
      <c r="C66" s="12" t="n"/>
      <c r="D66" s="12" t="n"/>
      <c r="E66" s="12" t="n"/>
      <c r="F66" s="12" t="n"/>
      <c r="G66" s="12" t="n"/>
      <c r="H66" s="12" t="n"/>
      <c r="I66" s="12" t="n"/>
      <c r="J66" s="12" t="n"/>
    </row>
    <row r="67">
      <c r="A67" s="12" t="n"/>
      <c r="B67" s="12" t="n"/>
      <c r="C67" s="12" t="n"/>
      <c r="D67" s="12" t="n"/>
      <c r="E67" s="12" t="n"/>
      <c r="F67" s="12" t="n"/>
      <c r="G67" s="12" t="n"/>
      <c r="H67" s="12" t="n"/>
      <c r="I67" s="12" t="n"/>
      <c r="J67" s="12" t="n"/>
    </row>
    <row r="68">
      <c r="A68" s="12" t="n"/>
      <c r="B68" s="12" t="n"/>
      <c r="C68" s="12" t="n"/>
      <c r="D68" s="12" t="n"/>
      <c r="E68" s="12" t="n"/>
      <c r="F68" s="12" t="n"/>
      <c r="G68" s="12" t="n"/>
      <c r="H68" s="12" t="n"/>
      <c r="I68" s="12" t="n"/>
      <c r="J68" s="12" t="n"/>
    </row>
    <row r="69">
      <c r="A69" s="12" t="n"/>
      <c r="B69" s="12" t="n"/>
      <c r="C69" s="12" t="n"/>
      <c r="D69" s="12" t="n"/>
      <c r="E69" s="12" t="n"/>
      <c r="F69" s="12" t="n"/>
      <c r="G69" s="12" t="n"/>
      <c r="H69" s="12" t="n"/>
      <c r="I69" s="12" t="n"/>
      <c r="J69" s="12" t="n"/>
    </row>
    <row r="70">
      <c r="A70" s="12" t="n"/>
      <c r="B70" s="12" t="n"/>
      <c r="C70" s="12" t="n"/>
      <c r="D70" s="12" t="n"/>
      <c r="E70" s="12" t="n"/>
      <c r="F70" s="12" t="n"/>
      <c r="G70" s="12" t="n"/>
      <c r="H70" s="12" t="n"/>
      <c r="I70" s="12" t="n"/>
      <c r="J70" s="12" t="n"/>
    </row>
    <row r="71">
      <c r="A71" s="12" t="n"/>
      <c r="B71" s="12" t="n"/>
      <c r="C71" s="12" t="n"/>
      <c r="D71" s="12" t="n"/>
      <c r="E71" s="12" t="n"/>
      <c r="F71" s="12" t="n"/>
      <c r="G71" s="12" t="n"/>
      <c r="H71" s="12" t="n"/>
      <c r="I71" s="12" t="n"/>
      <c r="J71" s="12" t="n"/>
    </row>
    <row r="72">
      <c r="A72" s="12" t="n"/>
      <c r="B72" s="12" t="n"/>
      <c r="C72" s="12" t="n"/>
      <c r="D72" s="12" t="n"/>
      <c r="E72" s="12" t="n"/>
      <c r="F72" s="12" t="n"/>
      <c r="G72" s="12" t="n"/>
      <c r="H72" s="12" t="n"/>
      <c r="I72" s="12" t="n"/>
      <c r="J72" s="12" t="n"/>
    </row>
    <row r="73">
      <c r="A73" s="12" t="n"/>
      <c r="B73" s="12" t="n"/>
      <c r="C73" s="12" t="n"/>
      <c r="D73" s="12" t="n"/>
      <c r="E73" s="12" t="n"/>
      <c r="F73" s="12" t="n"/>
      <c r="G73" s="12" t="n"/>
      <c r="H73" s="12" t="n"/>
      <c r="I73" s="12" t="n"/>
      <c r="J73" s="12" t="n"/>
    </row>
    <row r="74">
      <c r="A74" s="12" t="n"/>
      <c r="B74" s="12" t="n"/>
      <c r="C74" s="12" t="n"/>
      <c r="D74" s="12" t="n"/>
      <c r="E74" s="12" t="n"/>
      <c r="F74" s="12" t="n"/>
      <c r="G74" s="12" t="n"/>
      <c r="H74" s="12" t="n"/>
      <c r="I74" s="12" t="n"/>
      <c r="J74" s="12" t="n"/>
    </row>
    <row r="75">
      <c r="A75" s="12" t="n"/>
      <c r="B75" s="12" t="n"/>
      <c r="C75" s="12" t="n"/>
      <c r="D75" s="12" t="n"/>
      <c r="E75" s="12" t="n"/>
      <c r="F75" s="12" t="n"/>
      <c r="G75" s="12" t="n"/>
      <c r="H75" s="12" t="n"/>
      <c r="I75" s="12" t="n"/>
      <c r="J75" s="12" t="n"/>
    </row>
    <row r="76">
      <c r="A76" s="12" t="n"/>
      <c r="B76" s="12" t="n"/>
      <c r="C76" s="12" t="n"/>
      <c r="D76" s="12" t="n"/>
      <c r="E76" s="12" t="n"/>
      <c r="F76" s="12" t="n"/>
      <c r="G76" s="12" t="n"/>
      <c r="H76" s="12" t="n"/>
      <c r="I76" s="12" t="n"/>
      <c r="J76" s="12" t="n"/>
    </row>
    <row r="77">
      <c r="A77" s="12" t="n"/>
      <c r="B77" s="12" t="n"/>
      <c r="C77" s="12" t="n"/>
      <c r="D77" s="12" t="n"/>
      <c r="E77" s="12" t="n"/>
      <c r="F77" s="12" t="n"/>
      <c r="G77" s="12" t="n"/>
      <c r="H77" s="12" t="n"/>
      <c r="I77" s="12" t="n"/>
      <c r="J77" s="12" t="n"/>
    </row>
    <row r="78">
      <c r="A78" s="12" t="n"/>
      <c r="B78" s="12" t="n"/>
      <c r="C78" s="12" t="n"/>
      <c r="D78" s="12" t="n"/>
      <c r="E78" s="12" t="n"/>
      <c r="F78" s="12" t="n"/>
      <c r="G78" s="12" t="n"/>
      <c r="H78" s="12" t="n"/>
      <c r="I78" s="12" t="n"/>
      <c r="J78" s="12" t="n"/>
    </row>
    <row r="79">
      <c r="A79" s="12" t="n"/>
      <c r="B79" s="12" t="n"/>
      <c r="C79" s="12" t="n"/>
      <c r="D79" s="12" t="n"/>
      <c r="E79" s="12" t="n"/>
      <c r="F79" s="12" t="n"/>
      <c r="G79" s="12" t="n"/>
      <c r="H79" s="12" t="n"/>
      <c r="I79" s="12" t="n"/>
      <c r="J79" s="12" t="n"/>
    </row>
    <row r="80">
      <c r="A80" s="12" t="n"/>
      <c r="B80" s="12" t="n"/>
      <c r="C80" s="12" t="n"/>
      <c r="D80" s="12" t="n"/>
      <c r="E80" s="12" t="n"/>
      <c r="F80" s="12" t="n"/>
      <c r="G80" s="12" t="n"/>
      <c r="H80" s="12" t="n"/>
      <c r="I80" s="12" t="n"/>
      <c r="J80" s="12" t="n"/>
    </row>
    <row r="81">
      <c r="A81" s="12" t="n"/>
      <c r="B81" s="12" t="n"/>
      <c r="C81" s="12" t="n"/>
      <c r="D81" s="12" t="n"/>
      <c r="E81" s="12" t="n"/>
      <c r="F81" s="12" t="n"/>
      <c r="G81" s="12" t="n"/>
      <c r="H81" s="12" t="n"/>
      <c r="I81" s="12" t="n"/>
      <c r="J81" s="12" t="n"/>
    </row>
    <row r="82">
      <c r="A82" s="12" t="n"/>
      <c r="B82" s="12" t="n"/>
      <c r="C82" s="12" t="n"/>
      <c r="D82" s="12" t="n"/>
      <c r="E82" s="12" t="n"/>
      <c r="F82" s="12" t="n"/>
      <c r="G82" s="12" t="n"/>
      <c r="H82" s="12" t="n"/>
      <c r="I82" s="12" t="n"/>
      <c r="J82" s="12" t="n"/>
    </row>
    <row r="83">
      <c r="A83" s="12" t="n"/>
      <c r="B83" s="12" t="n"/>
      <c r="C83" s="12" t="n"/>
      <c r="D83" s="12" t="n"/>
      <c r="E83" s="12" t="n"/>
      <c r="F83" s="12" t="n"/>
      <c r="G83" s="12" t="n"/>
      <c r="H83" s="12" t="n"/>
      <c r="I83" s="12" t="n"/>
      <c r="J83" s="12" t="n"/>
    </row>
    <row r="84">
      <c r="A84" s="12" t="n"/>
      <c r="B84" s="12" t="n"/>
      <c r="C84" s="12" t="n"/>
      <c r="D84" s="12" t="n"/>
      <c r="E84" s="12" t="n"/>
      <c r="F84" s="12" t="n"/>
      <c r="G84" s="12" t="n"/>
      <c r="H84" s="12" t="n"/>
      <c r="I84" s="12" t="n"/>
      <c r="J84" s="12" t="n"/>
    </row>
    <row r="85">
      <c r="A85" s="12" t="n"/>
      <c r="B85" s="12" t="n"/>
      <c r="C85" s="12" t="n"/>
      <c r="D85" s="12" t="n"/>
      <c r="E85" s="12" t="n"/>
      <c r="F85" s="12" t="n"/>
      <c r="G85" s="12" t="n"/>
      <c r="H85" s="12" t="n"/>
      <c r="I85" s="12" t="n"/>
      <c r="J85" s="12" t="n"/>
    </row>
    <row r="86">
      <c r="A86" s="12" t="n"/>
      <c r="B86" s="12" t="n"/>
      <c r="C86" s="12" t="n"/>
      <c r="D86" s="12" t="n"/>
      <c r="E86" s="12" t="n"/>
      <c r="F86" s="12" t="n"/>
      <c r="G86" s="12" t="n"/>
      <c r="H86" s="12" t="n"/>
      <c r="I86" s="12" t="n"/>
      <c r="J86" s="12" t="n"/>
    </row>
    <row r="87">
      <c r="A87" s="12" t="n"/>
      <c r="B87" s="12" t="n"/>
      <c r="C87" s="12" t="n"/>
      <c r="D87" s="12" t="n"/>
      <c r="E87" s="12" t="n"/>
      <c r="F87" s="12" t="n"/>
      <c r="G87" s="12" t="n"/>
      <c r="H87" s="12" t="n"/>
      <c r="I87" s="12" t="n"/>
      <c r="J87" s="12" t="n"/>
    </row>
    <row r="88">
      <c r="A88" s="12" t="n"/>
      <c r="B88" s="12" t="n"/>
      <c r="C88" s="12" t="n"/>
      <c r="D88" s="12" t="n"/>
      <c r="E88" s="12" t="n"/>
      <c r="F88" s="12" t="n"/>
      <c r="G88" s="12" t="n"/>
      <c r="H88" s="12" t="n"/>
      <c r="I88" s="12" t="n"/>
      <c r="J88" s="12" t="n"/>
    </row>
    <row r="89">
      <c r="A89" s="12" t="n"/>
      <c r="B89" s="12" t="n"/>
      <c r="C89" s="12" t="n"/>
      <c r="D89" s="12" t="n"/>
      <c r="E89" s="12" t="n"/>
      <c r="F89" s="12" t="n"/>
      <c r="G89" s="12" t="n"/>
      <c r="H89" s="12" t="n"/>
      <c r="I89" s="12" t="n"/>
      <c r="J89" s="12" t="n"/>
    </row>
    <row r="90">
      <c r="A90" s="12" t="n"/>
      <c r="B90" s="12" t="n"/>
      <c r="C90" s="12" t="n"/>
      <c r="D90" s="12" t="n"/>
      <c r="E90" s="12" t="n"/>
      <c r="F90" s="12" t="n"/>
      <c r="G90" s="12" t="n"/>
      <c r="H90" s="12" t="n"/>
      <c r="I90" s="12" t="n"/>
      <c r="J90" s="12" t="n"/>
    </row>
    <row r="91">
      <c r="A91" s="12" t="n"/>
      <c r="B91" s="12" t="n"/>
      <c r="C91" s="12" t="n"/>
      <c r="D91" s="12" t="n"/>
      <c r="E91" s="12" t="n"/>
      <c r="F91" s="12" t="n"/>
      <c r="G91" s="12" t="n"/>
      <c r="H91" s="12" t="n"/>
      <c r="I91" s="12" t="n"/>
      <c r="J91" s="12" t="n"/>
    </row>
    <row r="92">
      <c r="A92" s="12" t="n"/>
      <c r="B92" s="12" t="n"/>
      <c r="C92" s="12" t="n"/>
      <c r="D92" s="12" t="n"/>
      <c r="E92" s="12" t="n"/>
      <c r="F92" s="12" t="n"/>
      <c r="G92" s="12" t="n"/>
      <c r="H92" s="12" t="n"/>
      <c r="I92" s="12" t="n"/>
      <c r="J92" s="12" t="n"/>
    </row>
    <row r="93">
      <c r="A93" s="12" t="n"/>
      <c r="B93" s="12" t="n"/>
      <c r="C93" s="12" t="n"/>
      <c r="D93" s="12" t="n"/>
      <c r="E93" s="12" t="n"/>
      <c r="F93" s="12" t="n"/>
      <c r="G93" s="12" t="n"/>
      <c r="H93" s="12" t="n"/>
      <c r="I93" s="12" t="n"/>
      <c r="J93" s="12" t="n"/>
    </row>
    <row r="94">
      <c r="A94" s="12" t="n"/>
      <c r="B94" s="12" t="n"/>
      <c r="C94" s="12" t="n"/>
      <c r="D94" s="12" t="n"/>
      <c r="E94" s="12" t="n"/>
      <c r="F94" s="12" t="n"/>
      <c r="G94" s="12" t="n"/>
      <c r="H94" s="12" t="n"/>
      <c r="I94" s="12" t="n"/>
      <c r="J94" s="12" t="n"/>
    </row>
    <row r="95">
      <c r="A95" s="12" t="n"/>
      <c r="B95" s="12" t="n"/>
      <c r="C95" s="12" t="n"/>
      <c r="D95" s="12" t="n"/>
      <c r="E95" s="12" t="n"/>
      <c r="F95" s="12" t="n"/>
      <c r="G95" s="12" t="n"/>
      <c r="H95" s="12" t="n"/>
      <c r="I95" s="12" t="n"/>
      <c r="J95" s="12" t="n"/>
    </row>
    <row r="96">
      <c r="A96" s="12" t="n"/>
      <c r="B96" s="12" t="n"/>
      <c r="C96" s="12" t="n"/>
      <c r="D96" s="12" t="n"/>
      <c r="E96" s="12" t="n"/>
      <c r="F96" s="12" t="n"/>
      <c r="G96" s="12" t="n"/>
      <c r="H96" s="12" t="n"/>
      <c r="I96" s="12" t="n"/>
      <c r="J96" s="12" t="n"/>
    </row>
    <row r="97">
      <c r="A97" s="12" t="n"/>
      <c r="B97" s="12" t="n"/>
      <c r="C97" s="12" t="n"/>
      <c r="D97" s="12" t="n"/>
      <c r="E97" s="12" t="n"/>
      <c r="F97" s="12" t="n"/>
      <c r="G97" s="12" t="n"/>
      <c r="H97" s="12" t="n"/>
      <c r="I97" s="12" t="n"/>
      <c r="J97" s="12" t="n"/>
    </row>
    <row r="98">
      <c r="A98" s="12" t="n"/>
      <c r="B98" s="12" t="n"/>
      <c r="C98" s="12" t="n"/>
      <c r="D98" s="12" t="n"/>
      <c r="E98" s="12" t="n"/>
      <c r="F98" s="12" t="n"/>
      <c r="G98" s="12" t="n"/>
      <c r="H98" s="12" t="n"/>
      <c r="I98" s="12" t="n"/>
      <c r="J98" s="12" t="n"/>
    </row>
    <row r="99">
      <c r="A99" s="12" t="n"/>
      <c r="B99" s="12" t="n"/>
      <c r="C99" s="12" t="n"/>
      <c r="D99" s="12" t="n"/>
      <c r="E99" s="12" t="n"/>
      <c r="F99" s="12" t="n"/>
      <c r="G99" s="12" t="n"/>
      <c r="H99" s="12" t="n"/>
      <c r="I99" s="12" t="n"/>
      <c r="J99" s="12" t="n"/>
    </row>
    <row r="100">
      <c r="A100" s="12" t="n"/>
      <c r="B100" s="12" t="n"/>
      <c r="C100" s="12" t="n"/>
      <c r="D100" s="12" t="n"/>
      <c r="E100" s="12" t="n"/>
      <c r="F100" s="12" t="n"/>
      <c r="G100" s="12" t="n"/>
      <c r="H100" s="12" t="n"/>
      <c r="I100" s="12" t="n"/>
      <c r="J100" s="12" t="n"/>
    </row>
    <row r="101">
      <c r="A101" s="12" t="n"/>
      <c r="B101" s="12" t="n"/>
      <c r="C101" s="12" t="n"/>
      <c r="D101" s="12" t="n"/>
      <c r="E101" s="12" t="n"/>
      <c r="F101" s="12" t="n"/>
      <c r="G101" s="12" t="n"/>
      <c r="H101" s="12" t="n"/>
      <c r="I101" s="12" t="n"/>
      <c r="J101" s="12" t="n"/>
    </row>
    <row r="102">
      <c r="A102" s="12" t="n"/>
      <c r="B102" s="12" t="n"/>
      <c r="C102" s="12" t="n"/>
      <c r="D102" s="12" t="n"/>
      <c r="E102" s="12" t="n"/>
      <c r="F102" s="12" t="n"/>
      <c r="G102" s="12" t="n"/>
      <c r="H102" s="12" t="n"/>
      <c r="I102" s="12" t="n"/>
      <c r="J102" s="12" t="n"/>
    </row>
    <row r="103">
      <c r="A103" s="12" t="n"/>
      <c r="B103" s="12" t="n"/>
      <c r="C103" s="12" t="n"/>
      <c r="D103" s="12" t="n"/>
      <c r="E103" s="12" t="n"/>
      <c r="F103" s="12" t="n"/>
      <c r="G103" s="12" t="n"/>
      <c r="H103" s="12" t="n"/>
      <c r="I103" s="12" t="n"/>
      <c r="J103" s="12" t="n"/>
    </row>
    <row r="104">
      <c r="A104" s="12" t="n"/>
      <c r="B104" s="12" t="n"/>
      <c r="C104" s="12" t="n"/>
      <c r="D104" s="12" t="n"/>
      <c r="E104" s="12" t="n"/>
      <c r="F104" s="12" t="n"/>
      <c r="G104" s="12" t="n"/>
      <c r="H104" s="12" t="n"/>
      <c r="I104" s="12" t="n"/>
      <c r="J104" s="12" t="n"/>
    </row>
    <row r="105">
      <c r="A105" s="12" t="n"/>
      <c r="B105" s="12" t="n"/>
      <c r="C105" s="12" t="n"/>
      <c r="D105" s="12" t="n"/>
      <c r="E105" s="12" t="n"/>
      <c r="F105" s="12" t="n"/>
      <c r="G105" s="12" t="n"/>
      <c r="H105" s="12" t="n"/>
      <c r="I105" s="12" t="n"/>
      <c r="J105" s="12" t="n"/>
    </row>
    <row r="106">
      <c r="A106" s="12" t="n"/>
      <c r="B106" s="12" t="n"/>
      <c r="C106" s="12" t="n"/>
      <c r="D106" s="12" t="n"/>
      <c r="E106" s="12" t="n"/>
      <c r="F106" s="12" t="n"/>
      <c r="G106" s="12" t="n"/>
      <c r="H106" s="12" t="n"/>
      <c r="I106" s="12" t="n"/>
      <c r="J106" s="12" t="n"/>
    </row>
    <row r="107">
      <c r="A107" s="12" t="n"/>
      <c r="B107" s="12" t="n"/>
      <c r="C107" s="12" t="n"/>
      <c r="D107" s="12" t="n"/>
      <c r="E107" s="12" t="n"/>
      <c r="F107" s="12" t="n"/>
      <c r="G107" s="12" t="n"/>
      <c r="H107" s="12" t="n"/>
      <c r="I107" s="12" t="n"/>
      <c r="J107" s="12" t="n"/>
    </row>
    <row r="108">
      <c r="A108" s="12" t="n"/>
      <c r="B108" s="12" t="n"/>
      <c r="C108" s="12" t="n"/>
      <c r="D108" s="12" t="n"/>
      <c r="E108" s="12" t="n"/>
      <c r="F108" s="12" t="n"/>
      <c r="G108" s="12" t="n"/>
      <c r="H108" s="12" t="n"/>
      <c r="I108" s="12" t="n"/>
      <c r="J108" s="12" t="n"/>
    </row>
    <row r="109">
      <c r="A109" s="12" t="n"/>
      <c r="B109" s="12" t="n"/>
      <c r="C109" s="12" t="n"/>
      <c r="D109" s="12" t="n"/>
      <c r="E109" s="12" t="n"/>
      <c r="F109" s="12" t="n"/>
      <c r="G109" s="12" t="n"/>
      <c r="H109" s="12" t="n"/>
      <c r="I109" s="12" t="n"/>
      <c r="J109" s="12" t="n"/>
    </row>
    <row r="110">
      <c r="A110" s="12" t="n"/>
      <c r="B110" s="12" t="n"/>
      <c r="C110" s="12" t="n"/>
      <c r="D110" s="12" t="n"/>
      <c r="E110" s="12" t="n"/>
      <c r="F110" s="12" t="n"/>
      <c r="G110" s="12" t="n"/>
      <c r="H110" s="12" t="n"/>
      <c r="I110" s="12" t="n"/>
      <c r="J110" s="12" t="n"/>
    </row>
    <row r="111">
      <c r="A111" s="12" t="n"/>
      <c r="B111" s="12" t="n"/>
      <c r="C111" s="12" t="n"/>
      <c r="D111" s="12" t="n"/>
      <c r="E111" s="12" t="n"/>
      <c r="F111" s="12" t="n"/>
      <c r="G111" s="12" t="n"/>
      <c r="H111" s="12" t="n"/>
      <c r="I111" s="12" t="n"/>
      <c r="J111" s="12" t="n"/>
    </row>
    <row r="112">
      <c r="A112" s="12" t="n"/>
      <c r="B112" s="12" t="n"/>
      <c r="C112" s="12" t="n"/>
      <c r="D112" s="12" t="n"/>
      <c r="E112" s="12" t="n"/>
      <c r="F112" s="12" t="n"/>
      <c r="G112" s="12" t="n"/>
      <c r="H112" s="12" t="n"/>
      <c r="I112" s="12" t="n"/>
      <c r="J112" s="12" t="n"/>
    </row>
    <row r="113">
      <c r="A113" s="12" t="n"/>
      <c r="B113" s="12" t="n"/>
      <c r="C113" s="12" t="n"/>
      <c r="D113" s="12" t="n"/>
      <c r="E113" s="12" t="n"/>
      <c r="F113" s="12" t="n"/>
      <c r="G113" s="12" t="n"/>
      <c r="H113" s="12" t="n"/>
      <c r="I113" s="12" t="n"/>
      <c r="J113" s="12" t="n"/>
    </row>
    <row r="114">
      <c r="A114" s="12" t="n"/>
      <c r="B114" s="12" t="n"/>
      <c r="C114" s="12" t="n"/>
      <c r="D114" s="12" t="n"/>
      <c r="E114" s="12" t="n"/>
      <c r="F114" s="12" t="n"/>
      <c r="G114" s="12" t="n"/>
      <c r="H114" s="12" t="n"/>
      <c r="I114" s="12" t="n"/>
      <c r="J114" s="12" t="n"/>
    </row>
    <row r="115">
      <c r="A115" s="12" t="n"/>
      <c r="B115" s="12" t="n"/>
      <c r="C115" s="12" t="n"/>
      <c r="D115" s="12" t="n"/>
      <c r="E115" s="12" t="n"/>
      <c r="F115" s="12" t="n"/>
      <c r="G115" s="12" t="n"/>
      <c r="H115" s="12" t="n"/>
      <c r="I115" s="12" t="n"/>
      <c r="J115" s="12" t="n"/>
    </row>
    <row r="116">
      <c r="A116" s="12" t="n"/>
      <c r="B116" s="12" t="n"/>
      <c r="C116" s="12" t="n"/>
      <c r="D116" s="12" t="n"/>
      <c r="E116" s="12" t="n"/>
      <c r="F116" s="12" t="n"/>
      <c r="G116" s="12" t="n"/>
      <c r="H116" s="12" t="n"/>
      <c r="I116" s="12" t="n"/>
      <c r="J116" s="12" t="n"/>
    </row>
    <row r="117">
      <c r="A117" s="12" t="n"/>
      <c r="B117" s="12" t="n"/>
      <c r="C117" s="12" t="n"/>
      <c r="D117" s="12" t="n"/>
      <c r="E117" s="12" t="n"/>
      <c r="F117" s="12" t="n"/>
      <c r="G117" s="12" t="n"/>
      <c r="H117" s="12" t="n"/>
      <c r="I117" s="12" t="n"/>
      <c r="J117" s="12" t="n"/>
    </row>
    <row r="118">
      <c r="A118" s="12" t="n"/>
      <c r="B118" s="12" t="n"/>
      <c r="C118" s="12" t="n"/>
      <c r="D118" s="12" t="n"/>
      <c r="E118" s="12" t="n"/>
      <c r="F118" s="12" t="n"/>
      <c r="G118" s="12" t="n"/>
      <c r="H118" s="12" t="n"/>
      <c r="I118" s="12" t="n"/>
      <c r="J118" s="12" t="n"/>
    </row>
    <row r="119">
      <c r="A119" s="12" t="n"/>
      <c r="B119" s="12" t="n"/>
      <c r="C119" s="12" t="n"/>
      <c r="D119" s="12" t="n"/>
      <c r="E119" s="12" t="n"/>
      <c r="F119" s="12" t="n"/>
      <c r="G119" s="12" t="n"/>
      <c r="H119" s="12" t="n"/>
      <c r="I119" s="12" t="n"/>
      <c r="J119" s="12" t="n"/>
    </row>
    <row r="120">
      <c r="A120" s="12" t="n"/>
      <c r="B120" s="12" t="n"/>
      <c r="C120" s="12" t="n"/>
      <c r="D120" s="12" t="n"/>
      <c r="E120" s="12" t="n"/>
      <c r="F120" s="12" t="n"/>
      <c r="G120" s="12" t="n"/>
      <c r="H120" s="12" t="n"/>
      <c r="I120" s="12" t="n"/>
      <c r="J120" s="12" t="n"/>
    </row>
    <row r="121">
      <c r="A121" s="12" t="n"/>
      <c r="B121" s="12" t="n"/>
      <c r="C121" s="12" t="n"/>
      <c r="D121" s="12" t="n"/>
      <c r="E121" s="12" t="n"/>
      <c r="F121" s="12" t="n"/>
      <c r="G121" s="12" t="n"/>
      <c r="H121" s="12" t="n"/>
      <c r="I121" s="12" t="n"/>
      <c r="J121" s="12" t="n"/>
    </row>
    <row r="122">
      <c r="A122" s="12" t="n"/>
      <c r="B122" s="12" t="n"/>
      <c r="C122" s="12" t="n"/>
      <c r="D122" s="12" t="n"/>
      <c r="E122" s="12" t="n"/>
      <c r="F122" s="12" t="n"/>
      <c r="G122" s="12" t="n"/>
      <c r="H122" s="12" t="n"/>
      <c r="I122" s="12" t="n"/>
      <c r="J122" s="12" t="n"/>
    </row>
    <row r="123">
      <c r="A123" s="12" t="n"/>
      <c r="B123" s="12" t="n"/>
      <c r="C123" s="12" t="n"/>
      <c r="D123" s="12" t="n"/>
      <c r="E123" s="12" t="n"/>
      <c r="F123" s="12" t="n"/>
      <c r="G123" s="12" t="n"/>
      <c r="H123" s="12" t="n"/>
      <c r="I123" s="12" t="n"/>
      <c r="J123" s="12" t="n"/>
    </row>
    <row r="124">
      <c r="A124" s="12" t="n"/>
      <c r="B124" s="12" t="n"/>
      <c r="C124" s="12" t="n"/>
      <c r="D124" s="12" t="n"/>
      <c r="E124" s="12" t="n"/>
      <c r="F124" s="12" t="n"/>
      <c r="G124" s="12" t="n"/>
      <c r="H124" s="12" t="n"/>
      <c r="I124" s="12" t="n"/>
      <c r="J124" s="12" t="n"/>
    </row>
    <row r="125">
      <c r="A125" s="12" t="n"/>
      <c r="B125" s="12" t="n"/>
      <c r="C125" s="12" t="n"/>
      <c r="D125" s="12" t="n"/>
      <c r="E125" s="12" t="n"/>
      <c r="F125" s="12" t="n"/>
      <c r="G125" s="12" t="n"/>
      <c r="H125" s="12" t="n"/>
      <c r="I125" s="12" t="n"/>
      <c r="J125" s="12" t="n"/>
    </row>
    <row r="126">
      <c r="A126" s="12" t="n"/>
      <c r="B126" s="12" t="n"/>
      <c r="C126" s="12" t="n"/>
      <c r="D126" s="12" t="n"/>
      <c r="E126" s="12" t="n"/>
      <c r="F126" s="12" t="n"/>
      <c r="G126" s="12" t="n"/>
      <c r="H126" s="12" t="n"/>
      <c r="I126" s="12" t="n"/>
      <c r="J126" s="12" t="n"/>
    </row>
    <row r="127">
      <c r="A127" s="12" t="n"/>
      <c r="B127" s="12" t="n"/>
      <c r="C127" s="12" t="n"/>
      <c r="D127" s="12" t="n"/>
      <c r="E127" s="12" t="n"/>
      <c r="F127" s="12" t="n"/>
      <c r="G127" s="12" t="n"/>
      <c r="H127" s="12" t="n"/>
      <c r="I127" s="12" t="n"/>
      <c r="J127" s="12" t="n"/>
    </row>
    <row r="128">
      <c r="A128" s="12" t="n"/>
      <c r="B128" s="12" t="n"/>
      <c r="C128" s="12" t="n"/>
      <c r="D128" s="12" t="n"/>
      <c r="E128" s="12" t="n"/>
      <c r="F128" s="12" t="n"/>
      <c r="G128" s="12" t="n"/>
      <c r="H128" s="12" t="n"/>
      <c r="I128" s="12" t="n"/>
      <c r="J128" s="12" t="n"/>
    </row>
    <row r="129">
      <c r="A129" s="12" t="n"/>
      <c r="B129" s="12" t="n"/>
      <c r="C129" s="12" t="n"/>
      <c r="D129" s="12" t="n"/>
      <c r="E129" s="12" t="n"/>
      <c r="F129" s="12" t="n"/>
      <c r="G129" s="12" t="n"/>
      <c r="H129" s="12" t="n"/>
      <c r="I129" s="12" t="n"/>
      <c r="J129" s="12" t="n"/>
    </row>
    <row r="130">
      <c r="A130" s="12" t="n"/>
      <c r="B130" s="12" t="n"/>
      <c r="C130" s="12" t="n"/>
      <c r="D130" s="12" t="n"/>
      <c r="E130" s="12" t="n"/>
      <c r="F130" s="12" t="n"/>
      <c r="G130" s="12" t="n"/>
      <c r="H130" s="12" t="n"/>
      <c r="I130" s="12" t="n"/>
      <c r="J130" s="12" t="n"/>
    </row>
    <row r="131">
      <c r="A131" s="12" t="n"/>
      <c r="B131" s="12" t="n"/>
      <c r="C131" s="12" t="n"/>
      <c r="D131" s="12" t="n"/>
      <c r="E131" s="12" t="n"/>
      <c r="F131" s="12" t="n"/>
      <c r="G131" s="12" t="n"/>
      <c r="H131" s="12" t="n"/>
      <c r="I131" s="12" t="n"/>
      <c r="J131" s="12" t="n"/>
    </row>
    <row r="132">
      <c r="A132" s="12" t="n"/>
      <c r="B132" s="12" t="n"/>
      <c r="C132" s="12" t="n"/>
      <c r="D132" s="12" t="n"/>
      <c r="E132" s="12" t="n"/>
      <c r="F132" s="12" t="n"/>
      <c r="G132" s="12" t="n"/>
      <c r="H132" s="12" t="n"/>
      <c r="I132" s="12" t="n"/>
      <c r="J132" s="12" t="n"/>
    </row>
    <row r="133">
      <c r="A133" s="12" t="n"/>
      <c r="B133" s="12" t="n"/>
      <c r="C133" s="12" t="n"/>
      <c r="D133" s="12" t="n"/>
      <c r="E133" s="12" t="n"/>
      <c r="F133" s="12" t="n"/>
      <c r="G133" s="12" t="n"/>
      <c r="H133" s="12" t="n"/>
      <c r="I133" s="12" t="n"/>
      <c r="J133" s="12" t="n"/>
    </row>
    <row r="134">
      <c r="A134" s="12" t="n"/>
      <c r="B134" s="12" t="n"/>
      <c r="C134" s="12" t="n"/>
      <c r="D134" s="12" t="n"/>
      <c r="E134" s="12" t="n"/>
      <c r="F134" s="12" t="n"/>
      <c r="G134" s="12" t="n"/>
      <c r="H134" s="12" t="n"/>
      <c r="I134" s="12" t="n"/>
      <c r="J134" s="12" t="n"/>
    </row>
    <row r="135">
      <c r="A135" s="12" t="n"/>
      <c r="B135" s="12" t="n"/>
      <c r="C135" s="12" t="n"/>
      <c r="D135" s="12" t="n"/>
      <c r="E135" s="12" t="n"/>
      <c r="F135" s="12" t="n"/>
      <c r="G135" s="12" t="n"/>
      <c r="H135" s="12" t="n"/>
      <c r="I135" s="12" t="n"/>
      <c r="J135" s="12" t="n"/>
    </row>
    <row r="136">
      <c r="A136" s="12" t="n"/>
      <c r="B136" s="12" t="n"/>
      <c r="C136" s="12" t="n"/>
      <c r="D136" s="12" t="n"/>
      <c r="E136" s="12" t="n"/>
      <c r="F136" s="12" t="n"/>
      <c r="G136" s="12" t="n"/>
      <c r="H136" s="12" t="n"/>
      <c r="I136" s="12" t="n"/>
      <c r="J136" s="12" t="n"/>
    </row>
    <row r="137">
      <c r="A137" s="12" t="n"/>
      <c r="B137" s="12" t="n"/>
      <c r="C137" s="12" t="n"/>
      <c r="D137" s="12" t="n"/>
      <c r="E137" s="12" t="n"/>
      <c r="F137" s="12" t="n"/>
      <c r="G137" s="12" t="n"/>
      <c r="H137" s="12" t="n"/>
      <c r="I137" s="12" t="n"/>
      <c r="J137" s="12" t="n"/>
    </row>
    <row r="138">
      <c r="A138" s="12" t="n"/>
      <c r="B138" s="12" t="n"/>
      <c r="C138" s="12" t="n"/>
      <c r="D138" s="12" t="n"/>
      <c r="E138" s="12" t="n"/>
      <c r="F138" s="12" t="n"/>
      <c r="G138" s="12" t="n"/>
      <c r="H138" s="12" t="n"/>
      <c r="I138" s="12" t="n"/>
      <c r="J138" s="12" t="n"/>
    </row>
    <row r="139">
      <c r="A139" s="12" t="n"/>
      <c r="B139" s="12" t="n"/>
      <c r="C139" s="12" t="n"/>
      <c r="D139" s="12" t="n"/>
      <c r="E139" s="12" t="n"/>
      <c r="F139" s="12" t="n"/>
      <c r="G139" s="12" t="n"/>
      <c r="H139" s="12" t="n"/>
      <c r="I139" s="12" t="n"/>
      <c r="J139" s="12" t="n"/>
    </row>
    <row r="140">
      <c r="A140" s="12" t="n"/>
      <c r="B140" s="12" t="n"/>
      <c r="C140" s="12" t="n"/>
      <c r="D140" s="12" t="n"/>
      <c r="E140" s="12" t="n"/>
      <c r="F140" s="12" t="n"/>
      <c r="G140" s="12" t="n"/>
      <c r="H140" s="12" t="n"/>
      <c r="I140" s="12" t="n"/>
      <c r="J140" s="12" t="n"/>
    </row>
    <row r="141">
      <c r="A141" s="12" t="n"/>
      <c r="B141" s="12" t="n"/>
      <c r="C141" s="12" t="n"/>
      <c r="D141" s="12" t="n"/>
      <c r="E141" s="12" t="n"/>
      <c r="F141" s="12" t="n"/>
      <c r="G141" s="12" t="n"/>
      <c r="H141" s="12" t="n"/>
      <c r="I141" s="12" t="n"/>
      <c r="J141" s="12" t="n"/>
    </row>
    <row r="142">
      <c r="A142" s="12" t="n"/>
      <c r="B142" s="12" t="n"/>
      <c r="C142" s="12" t="n"/>
      <c r="D142" s="12" t="n"/>
      <c r="E142" s="12" t="n"/>
      <c r="F142" s="12" t="n"/>
      <c r="G142" s="12" t="n"/>
      <c r="H142" s="12" t="n"/>
      <c r="I142" s="12" t="n"/>
      <c r="J142" s="12" t="n"/>
    </row>
    <row r="143">
      <c r="A143" s="12" t="n"/>
      <c r="B143" s="12" t="n"/>
      <c r="C143" s="12" t="n"/>
      <c r="D143" s="12" t="n"/>
      <c r="E143" s="12" t="n"/>
      <c r="F143" s="12" t="n"/>
      <c r="G143" s="12" t="n"/>
      <c r="H143" s="12" t="n"/>
      <c r="I143" s="12" t="n"/>
      <c r="J143" s="12" t="n"/>
    </row>
    <row r="144">
      <c r="A144" s="12" t="n"/>
      <c r="B144" s="12" t="n"/>
      <c r="C144" s="12" t="n"/>
      <c r="D144" s="12" t="n"/>
      <c r="E144" s="12" t="n"/>
      <c r="F144" s="12" t="n"/>
      <c r="G144" s="12" t="n"/>
      <c r="H144" s="12" t="n"/>
      <c r="I144" s="12" t="n"/>
      <c r="J144" s="12" t="n"/>
    </row>
    <row r="145">
      <c r="A145" s="12" t="n"/>
      <c r="B145" s="12" t="n"/>
      <c r="C145" s="12" t="n"/>
      <c r="D145" s="12" t="n"/>
      <c r="E145" s="12" t="n"/>
      <c r="F145" s="12" t="n"/>
      <c r="G145" s="12" t="n"/>
      <c r="H145" s="12" t="n"/>
      <c r="I145" s="12" t="n"/>
      <c r="J145" s="12" t="n"/>
    </row>
    <row r="146">
      <c r="A146" s="12" t="n"/>
      <c r="B146" s="12" t="n"/>
      <c r="C146" s="12" t="n"/>
      <c r="D146" s="12" t="n"/>
      <c r="E146" s="12" t="n"/>
      <c r="F146" s="12" t="n"/>
      <c r="G146" s="12" t="n"/>
      <c r="H146" s="12" t="n"/>
      <c r="I146" s="12" t="n"/>
      <c r="J146" s="12" t="n"/>
    </row>
    <row r="147">
      <c r="A147" s="12" t="n"/>
      <c r="B147" s="12" t="n"/>
      <c r="C147" s="12" t="n"/>
      <c r="D147" s="12" t="n"/>
      <c r="E147" s="12" t="n"/>
      <c r="F147" s="12" t="n"/>
      <c r="G147" s="12" t="n"/>
      <c r="H147" s="12" t="n"/>
      <c r="I147" s="12" t="n"/>
      <c r="J147" s="12" t="n"/>
    </row>
    <row r="148">
      <c r="A148" s="12" t="n"/>
      <c r="B148" s="12" t="n"/>
      <c r="C148" s="12" t="n"/>
      <c r="D148" s="12" t="n"/>
      <c r="E148" s="12" t="n"/>
      <c r="F148" s="12" t="n"/>
      <c r="G148" s="12" t="n"/>
      <c r="H148" s="12" t="n"/>
      <c r="I148" s="12" t="n"/>
      <c r="J148" s="12" t="n"/>
    </row>
    <row r="149">
      <c r="A149" s="12" t="n"/>
      <c r="B149" s="12" t="n"/>
      <c r="C149" s="12" t="n"/>
      <c r="D149" s="12" t="n"/>
      <c r="E149" s="12" t="n"/>
      <c r="F149" s="12" t="n"/>
      <c r="G149" s="12" t="n"/>
      <c r="H149" s="12" t="n"/>
      <c r="I149" s="12" t="n"/>
      <c r="J149" s="12" t="n"/>
    </row>
    <row r="150">
      <c r="A150" s="12" t="n"/>
      <c r="B150" s="12" t="n"/>
      <c r="C150" s="12" t="n"/>
      <c r="D150" s="12" t="n"/>
      <c r="E150" s="12" t="n"/>
      <c r="F150" s="12" t="n"/>
      <c r="G150" s="12" t="n"/>
      <c r="H150" s="12" t="n"/>
      <c r="I150" s="12" t="n"/>
      <c r="J150" s="12" t="n"/>
    </row>
    <row r="151">
      <c r="A151" s="12" t="n"/>
      <c r="B151" s="12" t="n"/>
      <c r="C151" s="12" t="n"/>
      <c r="D151" s="12" t="n"/>
      <c r="E151" s="12" t="n"/>
      <c r="F151" s="12" t="n"/>
      <c r="G151" s="12" t="n"/>
      <c r="H151" s="12" t="n"/>
      <c r="I151" s="12" t="n"/>
      <c r="J151" s="12" t="n"/>
    </row>
    <row r="152">
      <c r="A152" s="12" t="n"/>
      <c r="B152" s="12" t="n"/>
      <c r="C152" s="12" t="n"/>
      <c r="D152" s="12" t="n"/>
      <c r="E152" s="12" t="n"/>
      <c r="F152" s="12" t="n"/>
      <c r="G152" s="12" t="n"/>
      <c r="H152" s="12" t="n"/>
      <c r="I152" s="12" t="n"/>
      <c r="J152" s="12" t="n"/>
    </row>
    <row r="153">
      <c r="A153" s="12" t="n"/>
      <c r="B153" s="12" t="n"/>
      <c r="C153" s="12" t="n"/>
      <c r="D153" s="12" t="n"/>
      <c r="E153" s="12" t="n"/>
      <c r="F153" s="12" t="n"/>
      <c r="G153" s="12" t="n"/>
      <c r="H153" s="12" t="n"/>
      <c r="I153" s="12" t="n"/>
      <c r="J153" s="12" t="n"/>
    </row>
    <row r="154">
      <c r="A154" s="12" t="n"/>
      <c r="B154" s="12" t="n"/>
      <c r="C154" s="12" t="n"/>
      <c r="D154" s="12" t="n"/>
      <c r="E154" s="12" t="n"/>
      <c r="F154" s="12" t="n"/>
      <c r="G154" s="12" t="n"/>
      <c r="H154" s="12" t="n"/>
      <c r="I154" s="12" t="n"/>
      <c r="J154" s="12" t="n"/>
    </row>
    <row r="155">
      <c r="A155" s="12" t="n"/>
      <c r="B155" s="12" t="n"/>
      <c r="C155" s="12" t="n"/>
      <c r="D155" s="12" t="n"/>
      <c r="E155" s="12" t="n"/>
      <c r="F155" s="12" t="n"/>
      <c r="G155" s="12" t="n"/>
      <c r="H155" s="12" t="n"/>
      <c r="I155" s="12" t="n"/>
      <c r="J155" s="12" t="n"/>
    </row>
    <row r="156">
      <c r="A156" s="12" t="n"/>
      <c r="B156" s="12" t="n"/>
      <c r="C156" s="12" t="n"/>
      <c r="D156" s="12" t="n"/>
      <c r="E156" s="12" t="n"/>
      <c r="F156" s="12" t="n"/>
      <c r="G156" s="12" t="n"/>
      <c r="H156" s="12" t="n"/>
      <c r="I156" s="12" t="n"/>
      <c r="J156" s="12" t="n"/>
    </row>
    <row r="157">
      <c r="A157" s="12" t="n"/>
      <c r="B157" s="12" t="n"/>
      <c r="C157" s="12" t="n"/>
      <c r="D157" s="12" t="n"/>
      <c r="E157" s="12" t="n"/>
      <c r="F157" s="12" t="n"/>
      <c r="G157" s="12" t="n"/>
      <c r="H157" s="12" t="n"/>
      <c r="I157" s="12" t="n"/>
      <c r="J157" s="12" t="n"/>
    </row>
    <row r="158">
      <c r="A158" s="12" t="n"/>
      <c r="B158" s="12" t="n"/>
      <c r="C158" s="12" t="n"/>
      <c r="D158" s="12" t="n"/>
      <c r="E158" s="12" t="n"/>
      <c r="F158" s="12" t="n"/>
      <c r="G158" s="12" t="n"/>
      <c r="H158" s="12" t="n"/>
      <c r="I158" s="12" t="n"/>
      <c r="J158" s="12" t="n"/>
    </row>
    <row r="159">
      <c r="A159" s="12" t="n"/>
      <c r="B159" s="12" t="n"/>
      <c r="C159" s="12" t="n"/>
      <c r="D159" s="12" t="n"/>
      <c r="E159" s="12" t="n"/>
      <c r="F159" s="12" t="n"/>
      <c r="G159" s="12" t="n"/>
      <c r="H159" s="12" t="n"/>
      <c r="I159" s="12" t="n"/>
      <c r="J159" s="12" t="n"/>
    </row>
    <row r="160">
      <c r="A160" s="12" t="n"/>
      <c r="B160" s="12" t="n"/>
      <c r="C160" s="12" t="n"/>
      <c r="D160" s="12" t="n"/>
      <c r="E160" s="12" t="n"/>
      <c r="F160" s="12" t="n"/>
      <c r="G160" s="12" t="n"/>
      <c r="H160" s="12" t="n"/>
      <c r="I160" s="12" t="n"/>
      <c r="J160" s="12" t="n"/>
    </row>
    <row r="161">
      <c r="A161" s="12" t="n"/>
      <c r="B161" s="12" t="n"/>
      <c r="C161" s="12" t="n"/>
      <c r="D161" s="12" t="n"/>
      <c r="E161" s="12" t="n"/>
      <c r="F161" s="12" t="n"/>
      <c r="G161" s="12" t="n"/>
      <c r="H161" s="12" t="n"/>
      <c r="I161" s="12" t="n"/>
      <c r="J161" s="12" t="n"/>
    </row>
    <row r="162">
      <c r="A162" s="12" t="n"/>
      <c r="B162" s="12" t="n"/>
      <c r="C162" s="12" t="n"/>
      <c r="D162" s="12" t="n"/>
      <c r="E162" s="12" t="n"/>
      <c r="F162" s="12" t="n"/>
      <c r="G162" s="12" t="n"/>
      <c r="H162" s="12" t="n"/>
      <c r="I162" s="12" t="n"/>
      <c r="J162" s="12" t="n"/>
    </row>
    <row r="163">
      <c r="A163" s="12" t="n"/>
      <c r="B163" s="12" t="n"/>
      <c r="C163" s="12" t="n"/>
      <c r="D163" s="12" t="n"/>
      <c r="E163" s="12" t="n"/>
      <c r="F163" s="12" t="n"/>
      <c r="G163" s="12" t="n"/>
      <c r="H163" s="12" t="n"/>
      <c r="I163" s="12" t="n"/>
      <c r="J163" s="12" t="n"/>
    </row>
    <row r="164">
      <c r="A164" s="12" t="n"/>
      <c r="B164" s="12" t="n"/>
      <c r="C164" s="12" t="n"/>
      <c r="D164" s="12" t="n"/>
      <c r="E164" s="12" t="n"/>
      <c r="F164" s="12" t="n"/>
      <c r="G164" s="12" t="n"/>
      <c r="H164" s="12" t="n"/>
      <c r="I164" s="12" t="n"/>
      <c r="J164" s="12" t="n"/>
    </row>
    <row r="165">
      <c r="A165" s="12" t="n"/>
      <c r="B165" s="12" t="n"/>
      <c r="C165" s="12" t="n"/>
      <c r="D165" s="12" t="n"/>
      <c r="E165" s="12" t="n"/>
      <c r="F165" s="12" t="n"/>
      <c r="G165" s="12" t="n"/>
      <c r="H165" s="12" t="n"/>
      <c r="I165" s="12" t="n"/>
      <c r="J165" s="12" t="n"/>
    </row>
    <row r="166">
      <c r="A166" s="12" t="n"/>
      <c r="B166" s="12" t="n"/>
      <c r="C166" s="12" t="n"/>
      <c r="D166" s="12" t="n"/>
      <c r="E166" s="12" t="n"/>
      <c r="F166" s="12" t="n"/>
      <c r="G166" s="12" t="n"/>
      <c r="H166" s="12" t="n"/>
      <c r="I166" s="12" t="n"/>
      <c r="J166" s="12" t="n"/>
    </row>
    <row r="167">
      <c r="A167" s="12" t="n"/>
      <c r="B167" s="12" t="n"/>
      <c r="C167" s="12" t="n"/>
      <c r="D167" s="12" t="n"/>
      <c r="E167" s="12" t="n"/>
      <c r="F167" s="12" t="n"/>
      <c r="G167" s="12" t="n"/>
      <c r="H167" s="12" t="n"/>
      <c r="I167" s="12" t="n"/>
      <c r="J167" s="12" t="n"/>
    </row>
    <row r="168">
      <c r="A168" s="12" t="n"/>
      <c r="B168" s="12" t="n"/>
      <c r="C168" s="12" t="n"/>
      <c r="D168" s="12" t="n"/>
      <c r="E168" s="12" t="n"/>
      <c r="F168" s="12" t="n"/>
      <c r="G168" s="12" t="n"/>
      <c r="H168" s="12" t="n"/>
      <c r="I168" s="12" t="n"/>
      <c r="J168" s="12" t="n"/>
    </row>
    <row r="169">
      <c r="A169" s="12" t="n"/>
      <c r="B169" s="12" t="n"/>
      <c r="C169" s="12" t="n"/>
      <c r="D169" s="12" t="n"/>
      <c r="E169" s="12" t="n"/>
      <c r="F169" s="12" t="n"/>
      <c r="G169" s="12" t="n"/>
      <c r="H169" s="12" t="n"/>
      <c r="I169" s="12" t="n"/>
      <c r="J169" s="12" t="n"/>
    </row>
    <row r="170">
      <c r="A170" s="12" t="n"/>
      <c r="B170" s="12" t="n"/>
      <c r="C170" s="12" t="n"/>
      <c r="D170" s="12" t="n"/>
      <c r="E170" s="12" t="n"/>
      <c r="F170" s="12" t="n"/>
      <c r="G170" s="12" t="n"/>
      <c r="H170" s="12" t="n"/>
      <c r="I170" s="12" t="n"/>
      <c r="J170" s="12" t="n"/>
    </row>
    <row r="171">
      <c r="A171" s="12" t="n"/>
      <c r="B171" s="12" t="n"/>
      <c r="C171" s="12" t="n"/>
      <c r="D171" s="12" t="n"/>
      <c r="E171" s="12" t="n"/>
      <c r="F171" s="12" t="n"/>
      <c r="G171" s="12" t="n"/>
      <c r="H171" s="12" t="n"/>
      <c r="I171" s="12" t="n"/>
      <c r="J171" s="12" t="n"/>
    </row>
    <row r="172">
      <c r="A172" s="12" t="n"/>
      <c r="B172" s="12" t="n"/>
      <c r="C172" s="12" t="n"/>
      <c r="D172" s="12" t="n"/>
      <c r="E172" s="12" t="n"/>
      <c r="F172" s="12" t="n"/>
      <c r="G172" s="12" t="n"/>
      <c r="H172" s="12" t="n"/>
      <c r="I172" s="12" t="n"/>
      <c r="J172" s="12" t="n"/>
    </row>
    <row r="173">
      <c r="A173" s="12" t="n"/>
      <c r="B173" s="12" t="n"/>
      <c r="C173" s="12" t="n"/>
      <c r="D173" s="12" t="n"/>
      <c r="E173" s="12" t="n"/>
      <c r="F173" s="12" t="n"/>
      <c r="G173" s="12" t="n"/>
      <c r="H173" s="12" t="n"/>
      <c r="I173" s="12" t="n"/>
      <c r="J173" s="12" t="n"/>
    </row>
    <row r="174">
      <c r="A174" s="12" t="n"/>
      <c r="B174" s="12" t="n"/>
      <c r="C174" s="12" t="n"/>
      <c r="D174" s="12" t="n"/>
      <c r="E174" s="12" t="n"/>
      <c r="F174" s="12" t="n"/>
      <c r="G174" s="12" t="n"/>
      <c r="H174" s="12" t="n"/>
      <c r="I174" s="12" t="n"/>
      <c r="J174" s="12" t="n"/>
    </row>
    <row r="175">
      <c r="A175" s="12" t="n"/>
      <c r="B175" s="12" t="n"/>
      <c r="C175" s="12" t="n"/>
      <c r="D175" s="12" t="n"/>
      <c r="E175" s="12" t="n"/>
      <c r="F175" s="12" t="n"/>
      <c r="G175" s="12" t="n"/>
      <c r="H175" s="12" t="n"/>
      <c r="I175" s="12" t="n"/>
      <c r="J175" s="12" t="n"/>
    </row>
    <row r="176">
      <c r="A176" s="12" t="n"/>
      <c r="B176" s="12" t="n"/>
      <c r="C176" s="12" t="n"/>
      <c r="D176" s="12" t="n"/>
      <c r="E176" s="12" t="n"/>
      <c r="F176" s="12" t="n"/>
      <c r="G176" s="12" t="n"/>
      <c r="H176" s="12" t="n"/>
      <c r="I176" s="12" t="n"/>
      <c r="J176" s="12" t="n"/>
    </row>
    <row r="177">
      <c r="A177" s="12" t="n"/>
      <c r="B177" s="12" t="n"/>
      <c r="C177" s="12" t="n"/>
      <c r="D177" s="12" t="n"/>
      <c r="E177" s="12" t="n"/>
      <c r="F177" s="12" t="n"/>
      <c r="G177" s="12" t="n"/>
      <c r="H177" s="12" t="n"/>
      <c r="I177" s="12" t="n"/>
      <c r="J177" s="12" t="n"/>
    </row>
    <row r="178">
      <c r="A178" s="12" t="n"/>
      <c r="B178" s="12" t="n"/>
      <c r="C178" s="12" t="n"/>
      <c r="D178" s="12" t="n"/>
      <c r="E178" s="12" t="n"/>
      <c r="F178" s="12" t="n"/>
      <c r="G178" s="12" t="n"/>
      <c r="H178" s="12" t="n"/>
      <c r="I178" s="12" t="n"/>
      <c r="J178" s="12" t="n"/>
    </row>
    <row r="179">
      <c r="A179" s="12" t="n"/>
      <c r="B179" s="12" t="n"/>
      <c r="C179" s="12" t="n"/>
      <c r="D179" s="12" t="n"/>
      <c r="E179" s="12" t="n"/>
      <c r="F179" s="12" t="n"/>
      <c r="G179" s="12" t="n"/>
      <c r="H179" s="12" t="n"/>
      <c r="I179" s="12" t="n"/>
      <c r="J179" s="12" t="n"/>
    </row>
    <row r="180">
      <c r="A180" s="12" t="n"/>
      <c r="B180" s="12" t="n"/>
      <c r="C180" s="12" t="n"/>
      <c r="D180" s="12" t="n"/>
      <c r="E180" s="12" t="n"/>
      <c r="F180" s="12" t="n"/>
      <c r="G180" s="12" t="n"/>
      <c r="H180" s="12" t="n"/>
      <c r="I180" s="12" t="n"/>
      <c r="J180" s="12" t="n"/>
    </row>
    <row r="181">
      <c r="A181" s="12" t="n"/>
      <c r="B181" s="12" t="n"/>
      <c r="C181" s="12" t="n"/>
      <c r="D181" s="12" t="n"/>
      <c r="E181" s="12" t="n"/>
      <c r="F181" s="12" t="n"/>
      <c r="G181" s="12" t="n"/>
      <c r="H181" s="12" t="n"/>
      <c r="I181" s="12" t="n"/>
      <c r="J181" s="12" t="n"/>
    </row>
    <row r="182">
      <c r="A182" s="12" t="n"/>
      <c r="B182" s="12" t="n"/>
      <c r="C182" s="12" t="n"/>
      <c r="D182" s="12" t="n"/>
      <c r="E182" s="12" t="n"/>
      <c r="F182" s="12" t="n"/>
      <c r="G182" s="12" t="n"/>
      <c r="H182" s="12" t="n"/>
      <c r="I182" s="12" t="n"/>
      <c r="J182" s="12" t="n"/>
    </row>
    <row r="183">
      <c r="A183" s="12" t="n"/>
      <c r="B183" s="12" t="n"/>
      <c r="C183" s="12" t="n"/>
      <c r="D183" s="12" t="n"/>
      <c r="E183" s="12" t="n"/>
      <c r="F183" s="12" t="n"/>
      <c r="G183" s="12" t="n"/>
      <c r="H183" s="12" t="n"/>
      <c r="I183" s="12" t="n"/>
      <c r="J183" s="12" t="n"/>
    </row>
    <row r="184">
      <c r="A184" s="12" t="n"/>
      <c r="B184" s="12" t="n"/>
      <c r="C184" s="12" t="n"/>
      <c r="D184" s="12" t="n"/>
      <c r="E184" s="12" t="n"/>
      <c r="F184" s="12" t="n"/>
      <c r="G184" s="12" t="n"/>
      <c r="H184" s="12" t="n"/>
      <c r="I184" s="12" t="n"/>
      <c r="J184" s="12" t="n"/>
    </row>
    <row r="185">
      <c r="A185" s="12" t="n"/>
      <c r="B185" s="12" t="n"/>
      <c r="C185" s="12" t="n"/>
      <c r="D185" s="12" t="n"/>
      <c r="E185" s="12" t="n"/>
      <c r="F185" s="12" t="n"/>
      <c r="G185" s="12" t="n"/>
      <c r="H185" s="12" t="n"/>
      <c r="I185" s="12" t="n"/>
      <c r="J185" s="12" t="n"/>
    </row>
    <row r="186">
      <c r="A186" s="12" t="n"/>
      <c r="B186" s="12" t="n"/>
      <c r="C186" s="12" t="n"/>
      <c r="D186" s="12" t="n"/>
      <c r="E186" s="12" t="n"/>
      <c r="F186" s="12" t="n"/>
      <c r="G186" s="12" t="n"/>
      <c r="H186" s="12" t="n"/>
      <c r="I186" s="12" t="n"/>
      <c r="J186" s="12" t="n"/>
    </row>
    <row r="187">
      <c r="A187" s="12" t="n"/>
      <c r="B187" s="12" t="n"/>
      <c r="C187" s="12" t="n"/>
      <c r="D187" s="12" t="n"/>
      <c r="E187" s="12" t="n"/>
      <c r="F187" s="12" t="n"/>
      <c r="G187" s="12" t="n"/>
      <c r="H187" s="12" t="n"/>
      <c r="I187" s="12" t="n"/>
      <c r="J187" s="12" t="n"/>
    </row>
    <row r="188">
      <c r="A188" s="12" t="n"/>
      <c r="B188" s="12" t="n"/>
      <c r="C188" s="12" t="n"/>
      <c r="D188" s="12" t="n"/>
      <c r="E188" s="12" t="n"/>
      <c r="F188" s="12" t="n"/>
      <c r="G188" s="12" t="n"/>
      <c r="H188" s="12" t="n"/>
      <c r="I188" s="12" t="n"/>
      <c r="J188" s="12" t="n"/>
    </row>
    <row r="189">
      <c r="A189" s="12" t="n"/>
      <c r="B189" s="12" t="n"/>
      <c r="C189" s="12" t="n"/>
      <c r="D189" s="12" t="n"/>
      <c r="E189" s="12" t="n"/>
      <c r="F189" s="12" t="n"/>
      <c r="G189" s="12" t="n"/>
      <c r="H189" s="12" t="n"/>
      <c r="I189" s="12" t="n"/>
      <c r="J189" s="12" t="n"/>
    </row>
    <row r="190">
      <c r="A190" s="12" t="n"/>
      <c r="B190" s="12" t="n"/>
      <c r="C190" s="12" t="n"/>
      <c r="D190" s="12" t="n"/>
      <c r="E190" s="12" t="n"/>
      <c r="F190" s="12" t="n"/>
      <c r="G190" s="12" t="n"/>
      <c r="H190" s="12" t="n"/>
      <c r="I190" s="12" t="n"/>
      <c r="J190" s="12" t="n"/>
    </row>
    <row r="191">
      <c r="A191" s="12" t="n"/>
      <c r="B191" s="12" t="n"/>
      <c r="C191" s="12" t="n"/>
      <c r="D191" s="12" t="n"/>
      <c r="E191" s="12" t="n"/>
      <c r="F191" s="12" t="n"/>
      <c r="G191" s="12" t="n"/>
      <c r="H191" s="12" t="n"/>
      <c r="I191" s="12" t="n"/>
      <c r="J191" s="12" t="n"/>
    </row>
    <row r="192">
      <c r="A192" s="12" t="n"/>
      <c r="B192" s="12" t="n"/>
      <c r="C192" s="12" t="n"/>
      <c r="D192" s="12" t="n"/>
      <c r="E192" s="12" t="n"/>
      <c r="F192" s="12" t="n"/>
      <c r="G192" s="12" t="n"/>
      <c r="H192" s="12" t="n"/>
      <c r="I192" s="12" t="n"/>
      <c r="J192" s="12" t="n"/>
    </row>
    <row r="193">
      <c r="A193" s="12" t="n"/>
      <c r="B193" s="12" t="n"/>
      <c r="C193" s="12" t="n"/>
      <c r="D193" s="12" t="n"/>
      <c r="E193" s="12" t="n"/>
      <c r="F193" s="12" t="n"/>
      <c r="G193" s="12" t="n"/>
      <c r="H193" s="12" t="n"/>
      <c r="I193" s="12" t="n"/>
      <c r="J193" s="12" t="n"/>
    </row>
    <row r="194">
      <c r="A194" s="12" t="n"/>
      <c r="B194" s="12" t="n"/>
      <c r="C194" s="12" t="n"/>
      <c r="D194" s="12" t="n"/>
      <c r="E194" s="12" t="n"/>
      <c r="F194" s="12" t="n"/>
      <c r="G194" s="12" t="n"/>
      <c r="H194" s="12" t="n"/>
      <c r="I194" s="12" t="n"/>
      <c r="J194" s="12" t="n"/>
    </row>
    <row r="195">
      <c r="A195" s="12" t="n"/>
      <c r="B195" s="12" t="n"/>
      <c r="C195" s="12" t="n"/>
      <c r="D195" s="12" t="n"/>
      <c r="E195" s="12" t="n"/>
      <c r="F195" s="12" t="n"/>
      <c r="G195" s="12" t="n"/>
      <c r="H195" s="12" t="n"/>
      <c r="I195" s="12" t="n"/>
      <c r="J195" s="12" t="n"/>
    </row>
    <row r="196">
      <c r="A196" s="12" t="n"/>
      <c r="B196" s="12" t="n"/>
      <c r="C196" s="12" t="n"/>
      <c r="D196" s="12" t="n"/>
      <c r="E196" s="12" t="n"/>
      <c r="F196" s="12" t="n"/>
      <c r="G196" s="12" t="n"/>
      <c r="H196" s="12" t="n"/>
      <c r="I196" s="12" t="n"/>
      <c r="J196" s="12" t="n"/>
    </row>
    <row r="197">
      <c r="A197" s="12" t="n"/>
      <c r="B197" s="12" t="n"/>
      <c r="C197" s="12" t="n"/>
      <c r="D197" s="12" t="n"/>
      <c r="E197" s="12" t="n"/>
      <c r="F197" s="12" t="n"/>
      <c r="G197" s="12" t="n"/>
      <c r="H197" s="12" t="n"/>
      <c r="I197" s="12" t="n"/>
      <c r="J197" s="12" t="n"/>
    </row>
    <row r="198">
      <c r="A198" s="12" t="n"/>
      <c r="B198" s="12" t="n"/>
      <c r="C198" s="12" t="n"/>
      <c r="D198" s="12" t="n"/>
      <c r="E198" s="12" t="n"/>
      <c r="F198" s="12" t="n"/>
      <c r="G198" s="12" t="n"/>
      <c r="H198" s="12" t="n"/>
      <c r="I198" s="12" t="n"/>
      <c r="J198" s="12" t="n"/>
    </row>
    <row r="199">
      <c r="A199" s="12" t="n"/>
      <c r="B199" s="12" t="n"/>
      <c r="C199" s="12" t="n"/>
      <c r="D199" s="12" t="n"/>
      <c r="E199" s="12" t="n"/>
      <c r="F199" s="12" t="n"/>
      <c r="G199" s="12" t="n"/>
      <c r="H199" s="12" t="n"/>
      <c r="I199" s="12" t="n"/>
      <c r="J199" s="12" t="n"/>
    </row>
    <row r="200">
      <c r="A200" s="12" t="n"/>
      <c r="B200" s="12" t="n"/>
      <c r="C200" s="12" t="n"/>
      <c r="D200" s="12" t="n"/>
      <c r="E200" s="12" t="n"/>
      <c r="F200" s="12" t="n"/>
      <c r="G200" s="12" t="n"/>
      <c r="H200" s="12" t="n"/>
      <c r="I200" s="12" t="n"/>
      <c r="J200" s="12" t="n"/>
    </row>
  </sheetData>
  <mergeCells count="1">
    <mergeCell ref="A1:J1"/>
  </mergeCells>
  <dataValidations count="1">
    <dataValidation sqref="F4:F50" showDropDown="0" showInputMessage="0" showErrorMessage="0" allowBlank="0" type="list">
      <formula1>"Not Started,Pending,In Progress,Completed,Blocked"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04"/>
  <sheetViews>
    <sheetView workbookViewId="0">
      <pane ySplit="1" topLeftCell="A2" activePane="bottomLeft" state="frozen"/>
      <selection pane="bottomLeft" activeCell="A1" sqref="A1"/>
    </sheetView>
  </sheetViews>
  <sheetFormatPr baseColWidth="8" defaultRowHeight="15"/>
  <cols>
    <col width="32.02999877929688" customWidth="1" style="44" min="1" max="1"/>
    <col width="14" customWidth="1" style="44" min="2" max="2"/>
    <col width="35" customWidth="1" style="44" min="3" max="3"/>
    <col width="35" customWidth="1" style="44" min="4" max="4"/>
    <col width="35" customWidth="1" style="44" min="5" max="5"/>
    <col width="35" customWidth="1" style="44" min="6" max="6"/>
    <col width="33.38000106811523" customWidth="1" style="44" min="7" max="7"/>
    <col width="35" customWidth="1" style="44" min="8" max="8"/>
    <col width="14" customWidth="1" style="44" min="9" max="9"/>
  </cols>
  <sheetData>
    <row r="1" ht="28" customHeight="1" s="44">
      <c r="A1" s="134" t="inlineStr">
        <is>
          <t>Executive Brief Generator Data</t>
        </is>
      </c>
      <c r="B1" s="132" t="n"/>
      <c r="C1" s="132" t="n"/>
      <c r="D1" s="132" t="n"/>
      <c r="E1" s="132" t="n"/>
      <c r="F1" s="132" t="n"/>
      <c r="G1" s="132" t="n"/>
      <c r="H1" s="132" t="n"/>
      <c r="I1" s="132" t="n"/>
    </row>
    <row r="2">
      <c r="A2" s="87" t="n"/>
      <c r="B2" s="87" t="n"/>
      <c r="C2" s="87" t="n"/>
      <c r="D2" s="87" t="n"/>
      <c r="E2" s="87" t="n"/>
      <c r="F2" s="87" t="n"/>
      <c r="G2" s="87" t="n"/>
      <c r="H2" s="87" t="n"/>
      <c r="I2" s="87" t="n"/>
    </row>
    <row r="3">
      <c r="A3" s="135" t="inlineStr">
        <is>
          <t>Brief Date</t>
        </is>
      </c>
      <c r="B3" s="135" t="inlineStr">
        <is>
          <t>Audience</t>
        </is>
      </c>
      <c r="C3" s="135" t="inlineStr">
        <is>
          <t>Executive Summary</t>
        </is>
      </c>
      <c r="D3" s="135" t="inlineStr">
        <is>
          <t>Top Deadline</t>
        </is>
      </c>
      <c r="E3" s="135" t="inlineStr">
        <is>
          <t>Top Risk</t>
        </is>
      </c>
      <c r="F3" s="135" t="inlineStr">
        <is>
          <t>Key Regulator Interaction</t>
        </is>
      </c>
      <c r="G3" s="135" t="inlineStr">
        <is>
          <t>Documents Not Ready</t>
        </is>
      </c>
      <c r="H3" s="135" t="inlineStr">
        <is>
          <t>Next 7-Day Priorities</t>
        </is>
      </c>
      <c r="I3" s="135" t="inlineStr">
        <is>
          <t>Prepared By</t>
        </is>
      </c>
    </row>
    <row r="4">
      <c r="A4" s="87" t="inlineStr">
        <is>
          <t>2026-06-11</t>
        </is>
      </c>
      <c r="B4" s="87" t="inlineStr">
        <is>
          <t>CEO / EMT</t>
        </is>
      </c>
      <c r="C4" s="87" t="inlineStr">
        <is>
          <t>Regulatory operations are manageable but three items require leadership visibility: one overdue ISA follow-up, product approval Q&amp;A, and MOF official letter readiness.</t>
        </is>
      </c>
      <c r="D4" s="87" t="inlineStr">
        <is>
          <t>Monthly solvency report due tomorrow to ISA</t>
        </is>
      </c>
      <c r="E4" s="87" t="inlineStr">
        <is>
          <t>Circular on product approval process: high business impact and consultation window within 0-3 months</t>
        </is>
      </c>
      <c r="F4" s="87" t="inlineStr">
        <is>
          <t>ISA technical session planned; MOF official letter readiness check pending</t>
        </is>
      </c>
      <c r="G4" s="87" t="inlineStr">
        <is>
          <t>3 documents not ready or needing review</t>
        </is>
      </c>
      <c r="H4" s="87" t="inlineStr">
        <is>
          <t>Close overdue ISA follow-up; finalize MOF letter; prepare ISA product Q&amp;A; send weekly Regional Office pack</t>
        </is>
      </c>
      <c r="I4" s="87" t="inlineStr">
        <is>
          <t>Public Affairs</t>
        </is>
      </c>
    </row>
    <row r="5">
      <c r="A5" s="87" t="inlineStr">
        <is>
          <t>2026-06-12</t>
        </is>
      </c>
      <c r="B5" s="87" t="inlineStr">
        <is>
          <t>Regional Office</t>
        </is>
      </c>
      <c r="C5" s="87" t="inlineStr">
        <is>
          <t>No material new law detected. Key focus remains product approval process, data privacy implementation and consumer protection reporting.</t>
        </is>
      </c>
      <c r="D5" s="87" t="inlineStr">
        <is>
          <t>Regional Office weekly regulatory pack due today</t>
        </is>
      </c>
      <c r="E5" s="87" t="inlineStr">
        <is>
          <t>Bancassurance conduct guideline remains medium-high strategic risk</t>
        </is>
      </c>
      <c r="F5" s="87" t="inlineStr">
        <is>
          <t>IAV working group scheduled; MIC data privacy consultation monitored</t>
        </is>
      </c>
      <c r="G5" s="87" t="inlineStr">
        <is>
          <t>2 documents require review</t>
        </is>
      </c>
      <c r="H5" s="87" t="inlineStr">
        <is>
          <t>Issue weekly pack; update policy radar; close legal comments on product dossier</t>
        </is>
      </c>
      <c r="I5" s="87" t="inlineStr">
        <is>
          <t>Public Affairs</t>
        </is>
      </c>
    </row>
    <row r="6">
      <c r="A6" s="87" t="n"/>
      <c r="B6" s="87" t="n"/>
      <c r="C6" s="87" t="n"/>
      <c r="D6" s="87" t="n"/>
      <c r="E6" s="87" t="n"/>
      <c r="F6" s="87" t="n"/>
      <c r="G6" s="87" t="n"/>
      <c r="H6" s="87" t="n"/>
      <c r="I6" s="87" t="n"/>
    </row>
    <row r="7">
      <c r="A7" s="87" t="n"/>
      <c r="B7" s="87" t="n"/>
      <c r="C7" s="87" t="n"/>
      <c r="D7" s="87" t="n"/>
      <c r="E7" s="87" t="n"/>
      <c r="F7" s="87" t="n"/>
      <c r="G7" s="87" t="n"/>
      <c r="H7" s="87" t="n"/>
      <c r="I7" s="87" t="n"/>
    </row>
    <row r="8">
      <c r="A8" s="87" t="n"/>
      <c r="B8" s="87" t="n"/>
      <c r="C8" s="87" t="n"/>
      <c r="D8" s="87" t="n"/>
      <c r="E8" s="87" t="n"/>
      <c r="F8" s="87" t="n"/>
      <c r="G8" s="87" t="n"/>
      <c r="H8" s="87" t="n"/>
      <c r="I8" s="87" t="n"/>
    </row>
    <row r="9">
      <c r="A9" s="87" t="n"/>
      <c r="B9" s="87" t="n"/>
      <c r="C9" s="87" t="n"/>
      <c r="D9" s="87" t="n"/>
      <c r="E9" s="87" t="n"/>
      <c r="F9" s="87" t="n"/>
      <c r="G9" s="87" t="n"/>
      <c r="H9" s="87" t="n"/>
      <c r="I9" s="87" t="n"/>
    </row>
    <row r="10">
      <c r="A10" s="87" t="n"/>
      <c r="B10" s="87" t="n"/>
      <c r="C10" s="87" t="n"/>
      <c r="D10" s="87" t="n"/>
      <c r="E10" s="87" t="n"/>
      <c r="F10" s="87" t="n"/>
      <c r="G10" s="87" t="n"/>
      <c r="H10" s="87" t="n"/>
      <c r="I10" s="87" t="n"/>
    </row>
    <row r="11">
      <c r="A11" s="87" t="n"/>
      <c r="B11" s="87" t="n"/>
      <c r="C11" s="87" t="n"/>
      <c r="D11" s="87" t="n"/>
      <c r="E11" s="87" t="n"/>
      <c r="F11" s="87" t="n"/>
      <c r="G11" s="87" t="n"/>
      <c r="H11" s="87" t="n"/>
      <c r="I11" s="87" t="n"/>
    </row>
    <row r="12">
      <c r="A12" s="87" t="n"/>
      <c r="B12" s="87" t="n"/>
      <c r="C12" s="87" t="n"/>
      <c r="D12" s="87" t="n"/>
      <c r="E12" s="87" t="n"/>
      <c r="F12" s="87" t="n"/>
      <c r="G12" s="87" t="n"/>
      <c r="H12" s="87" t="n"/>
      <c r="I12" s="87" t="n"/>
    </row>
    <row r="13">
      <c r="A13" s="87" t="n"/>
      <c r="B13" s="87" t="n"/>
      <c r="C13" s="87" t="n"/>
      <c r="D13" s="87" t="n"/>
      <c r="E13" s="87" t="n"/>
      <c r="F13" s="87" t="n"/>
      <c r="G13" s="87" t="n"/>
      <c r="H13" s="87" t="n"/>
      <c r="I13" s="87" t="n"/>
    </row>
    <row r="14">
      <c r="A14" s="87" t="n"/>
      <c r="B14" s="87" t="n"/>
      <c r="C14" s="87" t="n"/>
      <c r="D14" s="87" t="n"/>
      <c r="E14" s="87" t="n"/>
      <c r="F14" s="87" t="n"/>
      <c r="G14" s="87" t="n"/>
      <c r="H14" s="87" t="n"/>
      <c r="I14" s="87" t="n"/>
    </row>
    <row r="15">
      <c r="A15" s="87" t="n"/>
      <c r="B15" s="87" t="n"/>
      <c r="C15" s="87" t="n"/>
      <c r="D15" s="87" t="n"/>
      <c r="E15" s="87" t="n"/>
      <c r="F15" s="87" t="n"/>
      <c r="G15" s="87" t="n"/>
      <c r="H15" s="87" t="n"/>
      <c r="I15" s="87" t="n"/>
    </row>
    <row r="16">
      <c r="A16" s="87" t="n"/>
      <c r="B16" s="87" t="n"/>
      <c r="C16" s="87" t="n"/>
      <c r="D16" s="87" t="n"/>
      <c r="E16" s="87" t="n"/>
      <c r="F16" s="87" t="n"/>
      <c r="G16" s="87" t="n"/>
      <c r="H16" s="87" t="n"/>
      <c r="I16" s="87" t="n"/>
    </row>
    <row r="17">
      <c r="A17" s="87" t="n"/>
      <c r="B17" s="87" t="n"/>
      <c r="C17" s="87" t="n"/>
      <c r="D17" s="87" t="n"/>
      <c r="E17" s="87" t="n"/>
      <c r="F17" s="87" t="n"/>
      <c r="G17" s="87" t="n"/>
      <c r="H17" s="87" t="n"/>
      <c r="I17" s="87" t="n"/>
    </row>
    <row r="18">
      <c r="A18" s="87" t="n"/>
      <c r="B18" s="87" t="n"/>
      <c r="C18" s="87" t="n"/>
      <c r="D18" s="87" t="n"/>
      <c r="E18" s="87" t="n"/>
      <c r="F18" s="87" t="n"/>
      <c r="G18" s="87" t="n"/>
      <c r="H18" s="87" t="n"/>
      <c r="I18" s="87" t="n"/>
    </row>
    <row r="19">
      <c r="A19" s="87" t="n"/>
      <c r="B19" s="87" t="n"/>
      <c r="C19" s="87" t="n"/>
      <c r="D19" s="87" t="n"/>
      <c r="E19" s="87" t="n"/>
      <c r="F19" s="87" t="n"/>
      <c r="G19" s="87" t="n"/>
      <c r="H19" s="87" t="n"/>
      <c r="I19" s="87" t="n"/>
    </row>
    <row r="20">
      <c r="A20" s="87" t="n"/>
      <c r="B20" s="87" t="n"/>
      <c r="C20" s="87" t="n"/>
      <c r="D20" s="87" t="n"/>
      <c r="E20" s="87" t="n"/>
      <c r="F20" s="87" t="n"/>
      <c r="G20" s="87" t="n"/>
      <c r="H20" s="87" t="n"/>
      <c r="I20" s="87" t="n"/>
    </row>
    <row r="21">
      <c r="A21" s="87" t="n"/>
      <c r="B21" s="87" t="n"/>
      <c r="C21" s="87" t="n"/>
      <c r="D21" s="87" t="n"/>
      <c r="E21" s="87" t="n"/>
      <c r="F21" s="87" t="n"/>
      <c r="G21" s="87" t="n"/>
      <c r="H21" s="87" t="n"/>
      <c r="I21" s="87" t="n"/>
    </row>
    <row r="22">
      <c r="A22" s="87" t="n"/>
      <c r="B22" s="87" t="n"/>
      <c r="C22" s="87" t="n"/>
      <c r="D22" s="87" t="n"/>
      <c r="E22" s="87" t="n"/>
      <c r="F22" s="87" t="n"/>
      <c r="G22" s="87" t="n"/>
      <c r="H22" s="87" t="n"/>
      <c r="I22" s="87" t="n"/>
    </row>
    <row r="23">
      <c r="A23" s="87" t="n"/>
      <c r="B23" s="87" t="n"/>
      <c r="C23" s="87" t="n"/>
      <c r="D23" s="87" t="n"/>
      <c r="E23" s="87" t="n"/>
      <c r="F23" s="87" t="n"/>
      <c r="G23" s="87" t="n"/>
      <c r="H23" s="87" t="n"/>
      <c r="I23" s="87" t="n"/>
    </row>
    <row r="24">
      <c r="A24" s="87" t="n"/>
      <c r="B24" s="87" t="n"/>
      <c r="C24" s="87" t="n"/>
      <c r="D24" s="87" t="n"/>
      <c r="E24" s="87" t="n"/>
      <c r="F24" s="87" t="n"/>
      <c r="G24" s="87" t="n"/>
      <c r="H24" s="87" t="n"/>
      <c r="I24" s="87" t="n"/>
    </row>
    <row r="25">
      <c r="A25" s="87" t="n"/>
      <c r="B25" s="87" t="n"/>
      <c r="C25" s="87" t="n"/>
      <c r="D25" s="87" t="n"/>
      <c r="E25" s="87" t="n"/>
      <c r="F25" s="87" t="n"/>
      <c r="G25" s="87" t="n"/>
      <c r="H25" s="87" t="n"/>
      <c r="I25" s="87" t="n"/>
    </row>
    <row r="26">
      <c r="A26" s="87" t="n"/>
      <c r="B26" s="87" t="n"/>
      <c r="C26" s="87" t="n"/>
      <c r="D26" s="87" t="n"/>
      <c r="E26" s="87" t="n"/>
      <c r="F26" s="87" t="n"/>
      <c r="G26" s="87" t="n"/>
      <c r="H26" s="87" t="n"/>
      <c r="I26" s="87" t="n"/>
    </row>
    <row r="27">
      <c r="A27" s="87" t="n"/>
      <c r="B27" s="87" t="n"/>
      <c r="C27" s="87" t="n"/>
      <c r="D27" s="87" t="n"/>
      <c r="E27" s="87" t="n"/>
      <c r="F27" s="87" t="n"/>
      <c r="G27" s="87" t="n"/>
      <c r="H27" s="87" t="n"/>
      <c r="I27" s="87" t="n"/>
    </row>
    <row r="28">
      <c r="A28" s="87" t="n"/>
      <c r="B28" s="87" t="n"/>
      <c r="C28" s="87" t="n"/>
      <c r="D28" s="87" t="n"/>
      <c r="E28" s="87" t="n"/>
      <c r="F28" s="87" t="n"/>
      <c r="G28" s="87" t="n"/>
      <c r="H28" s="87" t="n"/>
      <c r="I28" s="87" t="n"/>
    </row>
    <row r="29">
      <c r="A29" s="87" t="n"/>
      <c r="B29" s="87" t="n"/>
      <c r="C29" s="87" t="n"/>
      <c r="D29" s="87" t="n"/>
      <c r="E29" s="87" t="n"/>
      <c r="F29" s="87" t="n"/>
      <c r="G29" s="87" t="n"/>
      <c r="H29" s="87" t="n"/>
      <c r="I29" s="87" t="n"/>
    </row>
    <row r="30">
      <c r="A30" s="87" t="n"/>
      <c r="B30" s="87" t="n"/>
      <c r="C30" s="87" t="n"/>
      <c r="D30" s="87" t="n"/>
      <c r="E30" s="87" t="n"/>
      <c r="F30" s="87" t="n"/>
      <c r="G30" s="87" t="n"/>
      <c r="H30" s="87" t="n"/>
      <c r="I30" s="87" t="n"/>
    </row>
    <row r="31">
      <c r="A31" s="87" t="n"/>
      <c r="B31" s="87" t="n"/>
      <c r="C31" s="87" t="n"/>
      <c r="D31" s="87" t="n"/>
      <c r="E31" s="87" t="n"/>
      <c r="F31" s="87" t="n"/>
      <c r="G31" s="87" t="n"/>
      <c r="H31" s="87" t="n"/>
      <c r="I31" s="87" t="n"/>
    </row>
    <row r="32">
      <c r="A32" s="87" t="n"/>
      <c r="B32" s="87" t="n"/>
      <c r="C32" s="87" t="n"/>
      <c r="D32" s="87" t="n"/>
      <c r="E32" s="87" t="n"/>
      <c r="F32" s="87" t="n"/>
      <c r="G32" s="87" t="n"/>
      <c r="H32" s="87" t="n"/>
      <c r="I32" s="87" t="n"/>
    </row>
    <row r="33">
      <c r="A33" s="87" t="n"/>
      <c r="B33" s="87" t="n"/>
      <c r="C33" s="87" t="n"/>
      <c r="D33" s="87" t="n"/>
      <c r="E33" s="87" t="n"/>
      <c r="F33" s="87" t="n"/>
      <c r="G33" s="87" t="n"/>
      <c r="H33" s="87" t="n"/>
      <c r="I33" s="87" t="n"/>
    </row>
    <row r="34">
      <c r="A34" s="87" t="n"/>
      <c r="B34" s="87" t="n"/>
      <c r="C34" s="87" t="n"/>
      <c r="D34" s="87" t="n"/>
      <c r="E34" s="87" t="n"/>
      <c r="F34" s="87" t="n"/>
      <c r="G34" s="87" t="n"/>
      <c r="H34" s="87" t="n"/>
      <c r="I34" s="87" t="n"/>
    </row>
    <row r="35">
      <c r="A35" s="87" t="n"/>
      <c r="B35" s="87" t="n"/>
      <c r="C35" s="87" t="n"/>
      <c r="D35" s="87" t="n"/>
      <c r="E35" s="87" t="n"/>
      <c r="F35" s="87" t="n"/>
      <c r="G35" s="87" t="n"/>
      <c r="H35" s="87" t="n"/>
      <c r="I35" s="87" t="n"/>
    </row>
    <row r="36">
      <c r="A36" s="87" t="n"/>
      <c r="B36" s="87" t="n"/>
      <c r="C36" s="87" t="n"/>
      <c r="D36" s="87" t="n"/>
      <c r="E36" s="87" t="n"/>
      <c r="F36" s="87" t="n"/>
      <c r="G36" s="87" t="n"/>
      <c r="H36" s="87" t="n"/>
      <c r="I36" s="87" t="n"/>
    </row>
    <row r="37">
      <c r="A37" s="87" t="n"/>
      <c r="B37" s="87" t="n"/>
      <c r="C37" s="87" t="n"/>
      <c r="D37" s="87" t="n"/>
      <c r="E37" s="87" t="n"/>
      <c r="F37" s="87" t="n"/>
      <c r="G37" s="87" t="n"/>
      <c r="H37" s="87" t="n"/>
      <c r="I37" s="87" t="n"/>
    </row>
    <row r="38">
      <c r="A38" s="87" t="n"/>
      <c r="B38" s="87" t="n"/>
      <c r="C38" s="87" t="n"/>
      <c r="D38" s="87" t="n"/>
      <c r="E38" s="87" t="n"/>
      <c r="F38" s="87" t="n"/>
      <c r="G38" s="87" t="n"/>
      <c r="H38" s="87" t="n"/>
      <c r="I38" s="87" t="n"/>
    </row>
    <row r="39">
      <c r="A39" s="87" t="n"/>
      <c r="B39" s="87" t="n"/>
      <c r="C39" s="87" t="n"/>
      <c r="D39" s="87" t="n"/>
      <c r="E39" s="87" t="n"/>
      <c r="F39" s="87" t="n"/>
      <c r="G39" s="87" t="n"/>
      <c r="H39" s="87" t="n"/>
      <c r="I39" s="87" t="n"/>
    </row>
    <row r="40">
      <c r="A40" s="87" t="n"/>
      <c r="B40" s="87" t="n"/>
      <c r="C40" s="87" t="n"/>
      <c r="D40" s="87" t="n"/>
      <c r="E40" s="87" t="n"/>
      <c r="F40" s="87" t="n"/>
      <c r="G40" s="87" t="n"/>
      <c r="H40" s="87" t="n"/>
      <c r="I40" s="87" t="n"/>
    </row>
    <row r="41">
      <c r="A41" s="87" t="n"/>
      <c r="B41" s="87" t="n"/>
      <c r="C41" s="87" t="n"/>
      <c r="D41" s="87" t="n"/>
      <c r="E41" s="87" t="n"/>
      <c r="F41" s="87" t="n"/>
      <c r="G41" s="87" t="n"/>
      <c r="H41" s="87" t="n"/>
      <c r="I41" s="87" t="n"/>
    </row>
    <row r="42">
      <c r="A42" s="87" t="n"/>
      <c r="B42" s="87" t="n"/>
      <c r="C42" s="87" t="n"/>
      <c r="D42" s="87" t="n"/>
      <c r="E42" s="87" t="n"/>
      <c r="F42" s="87" t="n"/>
      <c r="G42" s="87" t="n"/>
      <c r="H42" s="87" t="n"/>
      <c r="I42" s="87" t="n"/>
    </row>
    <row r="43">
      <c r="A43" s="87" t="n"/>
      <c r="B43" s="87" t="n"/>
      <c r="C43" s="87" t="n"/>
      <c r="D43" s="87" t="n"/>
      <c r="E43" s="87" t="n"/>
      <c r="F43" s="87" t="n"/>
      <c r="G43" s="87" t="n"/>
      <c r="H43" s="87" t="n"/>
      <c r="I43" s="87" t="n"/>
    </row>
    <row r="44">
      <c r="A44" s="87" t="n"/>
      <c r="B44" s="87" t="n"/>
      <c r="C44" s="87" t="n"/>
      <c r="D44" s="87" t="n"/>
      <c r="E44" s="87" t="n"/>
      <c r="F44" s="87" t="n"/>
      <c r="G44" s="87" t="n"/>
      <c r="H44" s="87" t="n"/>
      <c r="I44" s="87" t="n"/>
    </row>
    <row r="45">
      <c r="A45" s="87" t="n"/>
      <c r="B45" s="87" t="n"/>
      <c r="C45" s="87" t="n"/>
      <c r="D45" s="87" t="n"/>
      <c r="E45" s="87" t="n"/>
      <c r="F45" s="87" t="n"/>
      <c r="G45" s="87" t="n"/>
      <c r="H45" s="87" t="n"/>
      <c r="I45" s="87" t="n"/>
    </row>
    <row r="46">
      <c r="A46" s="87" t="n"/>
      <c r="B46" s="87" t="n"/>
      <c r="C46" s="87" t="n"/>
      <c r="D46" s="87" t="n"/>
      <c r="E46" s="87" t="n"/>
      <c r="F46" s="87" t="n"/>
      <c r="G46" s="87" t="n"/>
      <c r="H46" s="87" t="n"/>
      <c r="I46" s="87" t="n"/>
    </row>
    <row r="47">
      <c r="A47" s="87" t="n"/>
      <c r="B47" s="87" t="n"/>
      <c r="C47" s="87" t="n"/>
      <c r="D47" s="87" t="n"/>
      <c r="E47" s="87" t="n"/>
      <c r="F47" s="87" t="n"/>
      <c r="G47" s="87" t="n"/>
      <c r="H47" s="87" t="n"/>
      <c r="I47" s="87" t="n"/>
    </row>
    <row r="48">
      <c r="A48" s="87" t="n"/>
      <c r="B48" s="87" t="n"/>
      <c r="C48" s="87" t="n"/>
      <c r="D48" s="87" t="n"/>
      <c r="E48" s="87" t="n"/>
      <c r="F48" s="87" t="n"/>
      <c r="G48" s="87" t="n"/>
      <c r="H48" s="87" t="n"/>
      <c r="I48" s="87" t="n"/>
    </row>
    <row r="49">
      <c r="A49" s="87" t="n"/>
      <c r="B49" s="87" t="n"/>
      <c r="C49" s="87" t="n"/>
      <c r="D49" s="87" t="n"/>
      <c r="E49" s="87" t="n"/>
      <c r="F49" s="87" t="n"/>
      <c r="G49" s="87" t="n"/>
      <c r="H49" s="87" t="n"/>
      <c r="I49" s="87" t="n"/>
    </row>
    <row r="50">
      <c r="A50" s="87" t="n"/>
      <c r="B50" s="87" t="n"/>
      <c r="C50" s="87" t="n"/>
      <c r="D50" s="87" t="n"/>
      <c r="E50" s="87" t="n"/>
      <c r="F50" s="87" t="n"/>
      <c r="G50" s="87" t="n"/>
      <c r="H50" s="87" t="n"/>
      <c r="I50" s="87" t="n"/>
    </row>
    <row r="51">
      <c r="A51" s="87" t="n"/>
      <c r="B51" s="87" t="n"/>
      <c r="C51" s="87" t="n"/>
      <c r="D51" s="87" t="n"/>
      <c r="E51" s="87" t="n"/>
      <c r="F51" s="87" t="n"/>
      <c r="G51" s="87" t="n"/>
      <c r="H51" s="87" t="n"/>
      <c r="I51" s="87" t="n"/>
    </row>
    <row r="52">
      <c r="A52" s="87" t="n"/>
      <c r="B52" s="87" t="n"/>
      <c r="C52" s="87" t="n"/>
      <c r="D52" s="87" t="n"/>
      <c r="E52" s="87" t="n"/>
      <c r="F52" s="87" t="n"/>
      <c r="G52" s="87" t="n"/>
      <c r="H52" s="87" t="n"/>
      <c r="I52" s="87" t="n"/>
    </row>
    <row r="53">
      <c r="A53" s="87" t="n"/>
      <c r="B53" s="87" t="n"/>
      <c r="C53" s="87" t="n"/>
      <c r="D53" s="87" t="n"/>
      <c r="E53" s="87" t="n"/>
      <c r="F53" s="87" t="n"/>
      <c r="G53" s="87" t="n"/>
      <c r="H53" s="87" t="n"/>
      <c r="I53" s="87" t="n"/>
    </row>
    <row r="54">
      <c r="A54" s="87" t="n"/>
      <c r="B54" s="87" t="n"/>
      <c r="C54" s="87" t="n"/>
      <c r="D54" s="87" t="n"/>
      <c r="E54" s="87" t="n"/>
      <c r="F54" s="87" t="n"/>
      <c r="G54" s="87" t="n"/>
      <c r="H54" s="87" t="n"/>
      <c r="I54" s="87" t="n"/>
    </row>
    <row r="55">
      <c r="A55" s="87" t="n"/>
      <c r="B55" s="87" t="n"/>
      <c r="C55" s="87" t="n"/>
      <c r="D55" s="87" t="n"/>
      <c r="E55" s="87" t="n"/>
      <c r="F55" s="87" t="n"/>
      <c r="G55" s="87" t="n"/>
      <c r="H55" s="87" t="n"/>
      <c r="I55" s="87" t="n"/>
    </row>
    <row r="56">
      <c r="A56" s="87" t="n"/>
      <c r="B56" s="87" t="n"/>
      <c r="C56" s="87" t="n"/>
      <c r="D56" s="87" t="n"/>
      <c r="E56" s="87" t="n"/>
      <c r="F56" s="87" t="n"/>
      <c r="G56" s="87" t="n"/>
      <c r="H56" s="87" t="n"/>
      <c r="I56" s="87" t="n"/>
    </row>
    <row r="57">
      <c r="A57" s="87" t="n"/>
      <c r="B57" s="87" t="n"/>
      <c r="C57" s="87" t="n"/>
      <c r="D57" s="87" t="n"/>
      <c r="E57" s="87" t="n"/>
      <c r="F57" s="87" t="n"/>
      <c r="G57" s="87" t="n"/>
      <c r="H57" s="87" t="n"/>
      <c r="I57" s="87" t="n"/>
    </row>
    <row r="58">
      <c r="A58" s="87" t="n"/>
      <c r="B58" s="87" t="n"/>
      <c r="C58" s="87" t="n"/>
      <c r="D58" s="87" t="n"/>
      <c r="E58" s="87" t="n"/>
      <c r="F58" s="87" t="n"/>
      <c r="G58" s="87" t="n"/>
      <c r="H58" s="87" t="n"/>
      <c r="I58" s="87" t="n"/>
    </row>
    <row r="59">
      <c r="A59" s="87" t="n"/>
      <c r="B59" s="87" t="n"/>
      <c r="C59" s="87" t="n"/>
      <c r="D59" s="87" t="n"/>
      <c r="E59" s="87" t="n"/>
      <c r="F59" s="87" t="n"/>
      <c r="G59" s="87" t="n"/>
      <c r="H59" s="87" t="n"/>
      <c r="I59" s="87" t="n"/>
    </row>
    <row r="60">
      <c r="A60" s="87" t="n"/>
      <c r="B60" s="87" t="n"/>
      <c r="C60" s="87" t="n"/>
      <c r="D60" s="87" t="n"/>
      <c r="E60" s="87" t="n"/>
      <c r="F60" s="87" t="n"/>
      <c r="G60" s="87" t="n"/>
      <c r="H60" s="87" t="n"/>
      <c r="I60" s="87" t="n"/>
    </row>
    <row r="61">
      <c r="A61" s="87" t="n"/>
      <c r="B61" s="87" t="n"/>
      <c r="C61" s="87" t="n"/>
      <c r="D61" s="87" t="n"/>
      <c r="E61" s="87" t="n"/>
      <c r="F61" s="87" t="n"/>
      <c r="G61" s="87" t="n"/>
      <c r="H61" s="87" t="n"/>
      <c r="I61" s="87" t="n"/>
    </row>
    <row r="62">
      <c r="A62" s="87" t="n"/>
      <c r="B62" s="87" t="n"/>
      <c r="C62" s="87" t="n"/>
      <c r="D62" s="87" t="n"/>
      <c r="E62" s="87" t="n"/>
      <c r="F62" s="87" t="n"/>
      <c r="G62" s="87" t="n"/>
      <c r="H62" s="87" t="n"/>
      <c r="I62" s="87" t="n"/>
    </row>
    <row r="63">
      <c r="A63" s="87" t="n"/>
      <c r="B63" s="87" t="n"/>
      <c r="C63" s="87" t="n"/>
      <c r="D63" s="87" t="n"/>
      <c r="E63" s="87" t="n"/>
      <c r="F63" s="87" t="n"/>
      <c r="G63" s="87" t="n"/>
      <c r="H63" s="87" t="n"/>
      <c r="I63" s="87" t="n"/>
    </row>
    <row r="64">
      <c r="A64" s="87" t="n"/>
      <c r="B64" s="87" t="n"/>
      <c r="C64" s="87" t="n"/>
      <c r="D64" s="87" t="n"/>
      <c r="E64" s="87" t="n"/>
      <c r="F64" s="87" t="n"/>
      <c r="G64" s="87" t="n"/>
      <c r="H64" s="87" t="n"/>
      <c r="I64" s="87" t="n"/>
    </row>
    <row r="65">
      <c r="A65" s="87" t="n"/>
      <c r="B65" s="87" t="n"/>
      <c r="C65" s="87" t="n"/>
      <c r="D65" s="87" t="n"/>
      <c r="E65" s="87" t="n"/>
      <c r="F65" s="87" t="n"/>
      <c r="G65" s="87" t="n"/>
      <c r="H65" s="87" t="n"/>
      <c r="I65" s="87" t="n"/>
    </row>
    <row r="66">
      <c r="A66" s="87" t="n"/>
      <c r="B66" s="87" t="n"/>
      <c r="C66" s="87" t="n"/>
      <c r="D66" s="87" t="n"/>
      <c r="E66" s="87" t="n"/>
      <c r="F66" s="87" t="n"/>
      <c r="G66" s="87" t="n"/>
      <c r="H66" s="87" t="n"/>
      <c r="I66" s="87" t="n"/>
    </row>
    <row r="67">
      <c r="A67" s="87" t="n"/>
      <c r="B67" s="87" t="n"/>
      <c r="C67" s="87" t="n"/>
      <c r="D67" s="87" t="n"/>
      <c r="E67" s="87" t="n"/>
      <c r="F67" s="87" t="n"/>
      <c r="G67" s="87" t="n"/>
      <c r="H67" s="87" t="n"/>
      <c r="I67" s="87" t="n"/>
    </row>
    <row r="68">
      <c r="A68" s="87" t="n"/>
      <c r="B68" s="87" t="n"/>
      <c r="C68" s="87" t="n"/>
      <c r="D68" s="87" t="n"/>
      <c r="E68" s="87" t="n"/>
      <c r="F68" s="87" t="n"/>
      <c r="G68" s="87" t="n"/>
      <c r="H68" s="87" t="n"/>
      <c r="I68" s="87" t="n"/>
    </row>
    <row r="69">
      <c r="A69" s="87" t="n"/>
      <c r="B69" s="87" t="n"/>
      <c r="C69" s="87" t="n"/>
      <c r="D69" s="87" t="n"/>
      <c r="E69" s="87" t="n"/>
      <c r="F69" s="87" t="n"/>
      <c r="G69" s="87" t="n"/>
      <c r="H69" s="87" t="n"/>
      <c r="I69" s="87" t="n"/>
    </row>
    <row r="70">
      <c r="A70" s="87" t="n"/>
      <c r="B70" s="87" t="n"/>
      <c r="C70" s="87" t="n"/>
      <c r="D70" s="87" t="n"/>
      <c r="E70" s="87" t="n"/>
      <c r="F70" s="87" t="n"/>
      <c r="G70" s="87" t="n"/>
      <c r="H70" s="87" t="n"/>
      <c r="I70" s="87" t="n"/>
    </row>
    <row r="71">
      <c r="A71" s="87" t="n"/>
      <c r="B71" s="87" t="n"/>
      <c r="C71" s="87" t="n"/>
      <c r="D71" s="87" t="n"/>
      <c r="E71" s="87" t="n"/>
      <c r="F71" s="87" t="n"/>
      <c r="G71" s="87" t="n"/>
      <c r="H71" s="87" t="n"/>
      <c r="I71" s="87" t="n"/>
    </row>
    <row r="72">
      <c r="A72" s="87" t="n"/>
      <c r="B72" s="87" t="n"/>
      <c r="C72" s="87" t="n"/>
      <c r="D72" s="87" t="n"/>
      <c r="E72" s="87" t="n"/>
      <c r="F72" s="87" t="n"/>
      <c r="G72" s="87" t="n"/>
      <c r="H72" s="87" t="n"/>
      <c r="I72" s="87" t="n"/>
    </row>
    <row r="73">
      <c r="A73" s="87" t="n"/>
      <c r="B73" s="87" t="n"/>
      <c r="C73" s="87" t="n"/>
      <c r="D73" s="87" t="n"/>
      <c r="E73" s="87" t="n"/>
      <c r="F73" s="87" t="n"/>
      <c r="G73" s="87" t="n"/>
      <c r="H73" s="87" t="n"/>
      <c r="I73" s="87" t="n"/>
    </row>
    <row r="74">
      <c r="A74" s="87" t="n"/>
      <c r="B74" s="87" t="n"/>
      <c r="C74" s="87" t="n"/>
      <c r="D74" s="87" t="n"/>
      <c r="E74" s="87" t="n"/>
      <c r="F74" s="87" t="n"/>
      <c r="G74" s="87" t="n"/>
      <c r="H74" s="87" t="n"/>
      <c r="I74" s="87" t="n"/>
    </row>
    <row r="75">
      <c r="A75" s="87" t="n"/>
      <c r="B75" s="87" t="n"/>
      <c r="C75" s="87" t="n"/>
      <c r="D75" s="87" t="n"/>
      <c r="E75" s="87" t="n"/>
      <c r="F75" s="87" t="n"/>
      <c r="G75" s="87" t="n"/>
      <c r="H75" s="87" t="n"/>
      <c r="I75" s="87" t="n"/>
    </row>
    <row r="76">
      <c r="A76" s="87" t="n"/>
      <c r="B76" s="87" t="n"/>
      <c r="C76" s="87" t="n"/>
      <c r="D76" s="87" t="n"/>
      <c r="E76" s="87" t="n"/>
      <c r="F76" s="87" t="n"/>
      <c r="G76" s="87" t="n"/>
      <c r="H76" s="87" t="n"/>
      <c r="I76" s="87" t="n"/>
    </row>
    <row r="77">
      <c r="A77" s="87" t="n"/>
      <c r="B77" s="87" t="n"/>
      <c r="C77" s="87" t="n"/>
      <c r="D77" s="87" t="n"/>
      <c r="E77" s="87" t="n"/>
      <c r="F77" s="87" t="n"/>
      <c r="G77" s="87" t="n"/>
      <c r="H77" s="87" t="n"/>
      <c r="I77" s="87" t="n"/>
    </row>
    <row r="78">
      <c r="A78" s="87" t="n"/>
      <c r="B78" s="87" t="n"/>
      <c r="C78" s="87" t="n"/>
      <c r="D78" s="87" t="n"/>
      <c r="E78" s="87" t="n"/>
      <c r="F78" s="87" t="n"/>
      <c r="G78" s="87" t="n"/>
      <c r="H78" s="87" t="n"/>
      <c r="I78" s="87" t="n"/>
    </row>
    <row r="79">
      <c r="A79" s="87" t="n"/>
      <c r="B79" s="87" t="n"/>
      <c r="C79" s="87" t="n"/>
      <c r="D79" s="87" t="n"/>
      <c r="E79" s="87" t="n"/>
      <c r="F79" s="87" t="n"/>
      <c r="G79" s="87" t="n"/>
      <c r="H79" s="87" t="n"/>
      <c r="I79" s="87" t="n"/>
    </row>
    <row r="80">
      <c r="A80" s="87" t="n"/>
      <c r="B80" s="87" t="n"/>
      <c r="C80" s="87" t="n"/>
      <c r="D80" s="87" t="n"/>
      <c r="E80" s="87" t="n"/>
      <c r="F80" s="87" t="n"/>
      <c r="G80" s="87" t="n"/>
      <c r="H80" s="87" t="n"/>
      <c r="I80" s="87" t="n"/>
    </row>
    <row r="81">
      <c r="A81" s="87" t="n"/>
      <c r="B81" s="87" t="n"/>
      <c r="C81" s="87" t="n"/>
      <c r="D81" s="87" t="n"/>
      <c r="E81" s="87" t="n"/>
      <c r="F81" s="87" t="n"/>
      <c r="G81" s="87" t="n"/>
      <c r="H81" s="87" t="n"/>
      <c r="I81" s="87" t="n"/>
    </row>
    <row r="82">
      <c r="A82" s="87" t="n"/>
      <c r="B82" s="87" t="n"/>
      <c r="C82" s="87" t="n"/>
      <c r="D82" s="87" t="n"/>
      <c r="E82" s="87" t="n"/>
      <c r="F82" s="87" t="n"/>
      <c r="G82" s="87" t="n"/>
      <c r="H82" s="87" t="n"/>
      <c r="I82" s="87" t="n"/>
    </row>
    <row r="83">
      <c r="A83" s="87" t="n"/>
      <c r="B83" s="87" t="n"/>
      <c r="C83" s="87" t="n"/>
      <c r="D83" s="87" t="n"/>
      <c r="E83" s="87" t="n"/>
      <c r="F83" s="87" t="n"/>
      <c r="G83" s="87" t="n"/>
      <c r="H83" s="87" t="n"/>
      <c r="I83" s="87" t="n"/>
    </row>
    <row r="84">
      <c r="A84" s="87" t="n"/>
      <c r="B84" s="87" t="n"/>
      <c r="C84" s="87" t="n"/>
      <c r="D84" s="87" t="n"/>
      <c r="E84" s="87" t="n"/>
      <c r="F84" s="87" t="n"/>
      <c r="G84" s="87" t="n"/>
      <c r="H84" s="87" t="n"/>
      <c r="I84" s="87" t="n"/>
    </row>
    <row r="85">
      <c r="A85" s="87" t="n"/>
      <c r="B85" s="87" t="n"/>
      <c r="C85" s="87" t="n"/>
      <c r="D85" s="87" t="n"/>
      <c r="E85" s="87" t="n"/>
      <c r="F85" s="87" t="n"/>
      <c r="G85" s="87" t="n"/>
      <c r="H85" s="87" t="n"/>
      <c r="I85" s="87" t="n"/>
    </row>
    <row r="86">
      <c r="A86" s="87" t="n"/>
      <c r="B86" s="87" t="n"/>
      <c r="C86" s="87" t="n"/>
      <c r="D86" s="87" t="n"/>
      <c r="E86" s="87" t="n"/>
      <c r="F86" s="87" t="n"/>
      <c r="G86" s="87" t="n"/>
      <c r="H86" s="87" t="n"/>
      <c r="I86" s="87" t="n"/>
    </row>
    <row r="87">
      <c r="A87" s="87" t="n"/>
      <c r="B87" s="87" t="n"/>
      <c r="C87" s="87" t="n"/>
      <c r="D87" s="87" t="n"/>
      <c r="E87" s="87" t="n"/>
      <c r="F87" s="87" t="n"/>
      <c r="G87" s="87" t="n"/>
      <c r="H87" s="87" t="n"/>
      <c r="I87" s="87" t="n"/>
    </row>
    <row r="88">
      <c r="A88" s="87" t="n"/>
      <c r="B88" s="87" t="n"/>
      <c r="C88" s="87" t="n"/>
      <c r="D88" s="87" t="n"/>
      <c r="E88" s="87" t="n"/>
      <c r="F88" s="87" t="n"/>
      <c r="G88" s="87" t="n"/>
      <c r="H88" s="87" t="n"/>
      <c r="I88" s="87" t="n"/>
    </row>
    <row r="89">
      <c r="A89" s="87" t="n"/>
      <c r="B89" s="87" t="n"/>
      <c r="C89" s="87" t="n"/>
      <c r="D89" s="87" t="n"/>
      <c r="E89" s="87" t="n"/>
      <c r="F89" s="87" t="n"/>
      <c r="G89" s="87" t="n"/>
      <c r="H89" s="87" t="n"/>
      <c r="I89" s="87" t="n"/>
    </row>
    <row r="90">
      <c r="A90" s="87" t="n"/>
      <c r="B90" s="87" t="n"/>
      <c r="C90" s="87" t="n"/>
      <c r="D90" s="87" t="n"/>
      <c r="E90" s="87" t="n"/>
      <c r="F90" s="87" t="n"/>
      <c r="G90" s="87" t="n"/>
      <c r="H90" s="87" t="n"/>
      <c r="I90" s="87" t="n"/>
    </row>
    <row r="91">
      <c r="A91" s="87" t="n"/>
      <c r="B91" s="87" t="n"/>
      <c r="C91" s="87" t="n"/>
      <c r="D91" s="87" t="n"/>
      <c r="E91" s="87" t="n"/>
      <c r="F91" s="87" t="n"/>
      <c r="G91" s="87" t="n"/>
      <c r="H91" s="87" t="n"/>
      <c r="I91" s="87" t="n"/>
    </row>
    <row r="92">
      <c r="A92" s="87" t="n"/>
      <c r="B92" s="87" t="n"/>
      <c r="C92" s="87" t="n"/>
      <c r="D92" s="87" t="n"/>
      <c r="E92" s="87" t="n"/>
      <c r="F92" s="87" t="n"/>
      <c r="G92" s="87" t="n"/>
      <c r="H92" s="87" t="n"/>
      <c r="I92" s="87" t="n"/>
    </row>
    <row r="93">
      <c r="A93" s="87" t="n"/>
      <c r="B93" s="87" t="n"/>
      <c r="C93" s="87" t="n"/>
      <c r="D93" s="87" t="n"/>
      <c r="E93" s="87" t="n"/>
      <c r="F93" s="87" t="n"/>
      <c r="G93" s="87" t="n"/>
      <c r="H93" s="87" t="n"/>
      <c r="I93" s="87" t="n"/>
    </row>
    <row r="94">
      <c r="A94" s="87" t="n"/>
      <c r="B94" s="87" t="n"/>
      <c r="C94" s="87" t="n"/>
      <c r="D94" s="87" t="n"/>
      <c r="E94" s="87" t="n"/>
      <c r="F94" s="87" t="n"/>
      <c r="G94" s="87" t="n"/>
      <c r="H94" s="87" t="n"/>
      <c r="I94" s="87" t="n"/>
    </row>
    <row r="95">
      <c r="A95" s="87" t="n"/>
      <c r="B95" s="87" t="n"/>
      <c r="C95" s="87" t="n"/>
      <c r="D95" s="87" t="n"/>
      <c r="E95" s="87" t="n"/>
      <c r="F95" s="87" t="n"/>
      <c r="G95" s="87" t="n"/>
      <c r="H95" s="87" t="n"/>
      <c r="I95" s="87" t="n"/>
    </row>
    <row r="96">
      <c r="A96" s="87" t="n"/>
      <c r="B96" s="87" t="n"/>
      <c r="C96" s="87" t="n"/>
      <c r="D96" s="87" t="n"/>
      <c r="E96" s="87" t="n"/>
      <c r="F96" s="87" t="n"/>
      <c r="G96" s="87" t="n"/>
      <c r="H96" s="87" t="n"/>
      <c r="I96" s="87" t="n"/>
    </row>
    <row r="97">
      <c r="A97" s="87" t="n"/>
      <c r="B97" s="87" t="n"/>
      <c r="C97" s="87" t="n"/>
      <c r="D97" s="87" t="n"/>
      <c r="E97" s="87" t="n"/>
      <c r="F97" s="87" t="n"/>
      <c r="G97" s="87" t="n"/>
      <c r="H97" s="87" t="n"/>
      <c r="I97" s="87" t="n"/>
    </row>
    <row r="98">
      <c r="A98" s="87" t="n"/>
      <c r="B98" s="87" t="n"/>
      <c r="C98" s="87" t="n"/>
      <c r="D98" s="87" t="n"/>
      <c r="E98" s="87" t="n"/>
      <c r="F98" s="87" t="n"/>
      <c r="G98" s="87" t="n"/>
      <c r="H98" s="87" t="n"/>
      <c r="I98" s="87" t="n"/>
    </row>
    <row r="99">
      <c r="A99" s="87" t="n"/>
      <c r="B99" s="87" t="n"/>
      <c r="C99" s="87" t="n"/>
      <c r="D99" s="87" t="n"/>
      <c r="E99" s="87" t="n"/>
      <c r="F99" s="87" t="n"/>
      <c r="G99" s="87" t="n"/>
      <c r="H99" s="87" t="n"/>
      <c r="I99" s="87" t="n"/>
    </row>
    <row r="100">
      <c r="A100" s="87" t="n"/>
      <c r="B100" s="87" t="n"/>
      <c r="C100" s="87" t="n"/>
      <c r="D100" s="87" t="n"/>
      <c r="E100" s="87" t="n"/>
      <c r="F100" s="87" t="n"/>
      <c r="G100" s="87" t="n"/>
      <c r="H100" s="87" t="n"/>
      <c r="I100" s="87" t="n"/>
    </row>
    <row r="101">
      <c r="A101" s="87" t="n"/>
      <c r="B101" s="87" t="n"/>
      <c r="C101" s="87" t="n"/>
      <c r="D101" s="87" t="n"/>
      <c r="E101" s="87" t="n"/>
      <c r="F101" s="87" t="n"/>
      <c r="G101" s="87" t="n"/>
      <c r="H101" s="87" t="n"/>
      <c r="I101" s="87" t="n"/>
    </row>
    <row r="102">
      <c r="A102" s="87" t="n"/>
      <c r="B102" s="87" t="n"/>
      <c r="C102" s="87" t="n"/>
      <c r="D102" s="87" t="n"/>
      <c r="E102" s="87" t="n"/>
      <c r="F102" s="87" t="n"/>
      <c r="G102" s="87" t="n"/>
      <c r="H102" s="87" t="n"/>
      <c r="I102" s="87" t="n"/>
    </row>
    <row r="103">
      <c r="A103" s="87" t="n"/>
      <c r="B103" s="87" t="n"/>
      <c r="C103" s="87" t="n"/>
      <c r="D103" s="87" t="n"/>
      <c r="E103" s="87" t="n"/>
      <c r="F103" s="87" t="n"/>
      <c r="G103" s="87" t="n"/>
      <c r="H103" s="87" t="n"/>
      <c r="I103" s="87" t="n"/>
    </row>
    <row r="104">
      <c r="A104" s="87" t="n"/>
      <c r="B104" s="87" t="n"/>
      <c r="C104" s="87" t="n"/>
      <c r="D104" s="87" t="n"/>
      <c r="E104" s="87" t="n"/>
      <c r="F104" s="87" t="n"/>
      <c r="G104" s="87" t="n"/>
      <c r="H104" s="87" t="n"/>
      <c r="I104" s="87" t="n"/>
    </row>
    <row r="105">
      <c r="A105" s="87" t="n"/>
      <c r="B105" s="87" t="n"/>
      <c r="C105" s="87" t="n"/>
      <c r="D105" s="87" t="n"/>
      <c r="E105" s="87" t="n"/>
      <c r="F105" s="87" t="n"/>
      <c r="G105" s="87" t="n"/>
      <c r="H105" s="87" t="n"/>
      <c r="I105" s="87" t="n"/>
    </row>
    <row r="106">
      <c r="A106" s="87" t="n"/>
      <c r="B106" s="87" t="n"/>
      <c r="C106" s="87" t="n"/>
      <c r="D106" s="87" t="n"/>
      <c r="E106" s="87" t="n"/>
      <c r="F106" s="87" t="n"/>
      <c r="G106" s="87" t="n"/>
      <c r="H106" s="87" t="n"/>
      <c r="I106" s="87" t="n"/>
    </row>
    <row r="107">
      <c r="A107" s="87" t="n"/>
      <c r="B107" s="87" t="n"/>
      <c r="C107" s="87" t="n"/>
      <c r="D107" s="87" t="n"/>
      <c r="E107" s="87" t="n"/>
      <c r="F107" s="87" t="n"/>
      <c r="G107" s="87" t="n"/>
      <c r="H107" s="87" t="n"/>
      <c r="I107" s="87" t="n"/>
    </row>
    <row r="108">
      <c r="A108" s="87" t="n"/>
      <c r="B108" s="87" t="n"/>
      <c r="C108" s="87" t="n"/>
      <c r="D108" s="87" t="n"/>
      <c r="E108" s="87" t="n"/>
      <c r="F108" s="87" t="n"/>
      <c r="G108" s="87" t="n"/>
      <c r="H108" s="87" t="n"/>
      <c r="I108" s="87" t="n"/>
    </row>
    <row r="109">
      <c r="A109" s="87" t="n"/>
      <c r="B109" s="87" t="n"/>
      <c r="C109" s="87" t="n"/>
      <c r="D109" s="87" t="n"/>
      <c r="E109" s="87" t="n"/>
      <c r="F109" s="87" t="n"/>
      <c r="G109" s="87" t="n"/>
      <c r="H109" s="87" t="n"/>
      <c r="I109" s="87" t="n"/>
    </row>
    <row r="110">
      <c r="A110" s="87" t="n"/>
      <c r="B110" s="87" t="n"/>
      <c r="C110" s="87" t="n"/>
      <c r="D110" s="87" t="n"/>
      <c r="E110" s="87" t="n"/>
      <c r="F110" s="87" t="n"/>
      <c r="G110" s="87" t="n"/>
      <c r="H110" s="87" t="n"/>
      <c r="I110" s="87" t="n"/>
    </row>
    <row r="111">
      <c r="A111" s="87" t="n"/>
      <c r="B111" s="87" t="n"/>
      <c r="C111" s="87" t="n"/>
      <c r="D111" s="87" t="n"/>
      <c r="E111" s="87" t="n"/>
      <c r="F111" s="87" t="n"/>
      <c r="G111" s="87" t="n"/>
      <c r="H111" s="87" t="n"/>
      <c r="I111" s="87" t="n"/>
    </row>
    <row r="112">
      <c r="A112" s="87" t="n"/>
      <c r="B112" s="87" t="n"/>
      <c r="C112" s="87" t="n"/>
      <c r="D112" s="87" t="n"/>
      <c r="E112" s="87" t="n"/>
      <c r="F112" s="87" t="n"/>
      <c r="G112" s="87" t="n"/>
      <c r="H112" s="87" t="n"/>
      <c r="I112" s="87" t="n"/>
    </row>
    <row r="113">
      <c r="A113" s="87" t="n"/>
      <c r="B113" s="87" t="n"/>
      <c r="C113" s="87" t="n"/>
      <c r="D113" s="87" t="n"/>
      <c r="E113" s="87" t="n"/>
      <c r="F113" s="87" t="n"/>
      <c r="G113" s="87" t="n"/>
      <c r="H113" s="87" t="n"/>
      <c r="I113" s="87" t="n"/>
    </row>
    <row r="114">
      <c r="A114" s="87" t="n"/>
      <c r="B114" s="87" t="n"/>
      <c r="C114" s="87" t="n"/>
      <c r="D114" s="87" t="n"/>
      <c r="E114" s="87" t="n"/>
      <c r="F114" s="87" t="n"/>
      <c r="G114" s="87" t="n"/>
      <c r="H114" s="87" t="n"/>
      <c r="I114" s="87" t="n"/>
    </row>
    <row r="115">
      <c r="A115" s="87" t="n"/>
      <c r="B115" s="87" t="n"/>
      <c r="C115" s="87" t="n"/>
      <c r="D115" s="87" t="n"/>
      <c r="E115" s="87" t="n"/>
      <c r="F115" s="87" t="n"/>
      <c r="G115" s="87" t="n"/>
      <c r="H115" s="87" t="n"/>
      <c r="I115" s="87" t="n"/>
    </row>
    <row r="116">
      <c r="A116" s="87" t="n"/>
      <c r="B116" s="87" t="n"/>
      <c r="C116" s="87" t="n"/>
      <c r="D116" s="87" t="n"/>
      <c r="E116" s="87" t="n"/>
      <c r="F116" s="87" t="n"/>
      <c r="G116" s="87" t="n"/>
      <c r="H116" s="87" t="n"/>
      <c r="I116" s="87" t="n"/>
    </row>
    <row r="117">
      <c r="A117" s="87" t="n"/>
      <c r="B117" s="87" t="n"/>
      <c r="C117" s="87" t="n"/>
      <c r="D117" s="87" t="n"/>
      <c r="E117" s="87" t="n"/>
      <c r="F117" s="87" t="n"/>
      <c r="G117" s="87" t="n"/>
      <c r="H117" s="87" t="n"/>
      <c r="I117" s="87" t="n"/>
    </row>
    <row r="118">
      <c r="A118" s="87" t="n"/>
      <c r="B118" s="87" t="n"/>
      <c r="C118" s="87" t="n"/>
      <c r="D118" s="87" t="n"/>
      <c r="E118" s="87" t="n"/>
      <c r="F118" s="87" t="n"/>
      <c r="G118" s="87" t="n"/>
      <c r="H118" s="87" t="n"/>
      <c r="I118" s="87" t="n"/>
    </row>
    <row r="119">
      <c r="A119" s="87" t="n"/>
      <c r="B119" s="87" t="n"/>
      <c r="C119" s="87" t="n"/>
      <c r="D119" s="87" t="n"/>
      <c r="E119" s="87" t="n"/>
      <c r="F119" s="87" t="n"/>
      <c r="G119" s="87" t="n"/>
      <c r="H119" s="87" t="n"/>
      <c r="I119" s="87" t="n"/>
    </row>
    <row r="120">
      <c r="A120" s="87" t="n"/>
      <c r="B120" s="87" t="n"/>
      <c r="C120" s="87" t="n"/>
      <c r="D120" s="87" t="n"/>
      <c r="E120" s="87" t="n"/>
      <c r="F120" s="87" t="n"/>
      <c r="G120" s="87" t="n"/>
      <c r="H120" s="87" t="n"/>
      <c r="I120" s="87" t="n"/>
    </row>
    <row r="121">
      <c r="A121" s="87" t="n"/>
      <c r="B121" s="87" t="n"/>
      <c r="C121" s="87" t="n"/>
      <c r="D121" s="87" t="n"/>
      <c r="E121" s="87" t="n"/>
      <c r="F121" s="87" t="n"/>
      <c r="G121" s="87" t="n"/>
      <c r="H121" s="87" t="n"/>
      <c r="I121" s="87" t="n"/>
    </row>
    <row r="122">
      <c r="A122" s="87" t="n"/>
      <c r="B122" s="87" t="n"/>
      <c r="C122" s="87" t="n"/>
      <c r="D122" s="87" t="n"/>
      <c r="E122" s="87" t="n"/>
      <c r="F122" s="87" t="n"/>
      <c r="G122" s="87" t="n"/>
      <c r="H122" s="87" t="n"/>
      <c r="I122" s="87" t="n"/>
    </row>
    <row r="123">
      <c r="A123" s="87" t="n"/>
      <c r="B123" s="87" t="n"/>
      <c r="C123" s="87" t="n"/>
      <c r="D123" s="87" t="n"/>
      <c r="E123" s="87" t="n"/>
      <c r="F123" s="87" t="n"/>
      <c r="G123" s="87" t="n"/>
      <c r="H123" s="87" t="n"/>
      <c r="I123" s="87" t="n"/>
    </row>
    <row r="124">
      <c r="A124" s="87" t="n"/>
      <c r="B124" s="87" t="n"/>
      <c r="C124" s="87" t="n"/>
      <c r="D124" s="87" t="n"/>
      <c r="E124" s="87" t="n"/>
      <c r="F124" s="87" t="n"/>
      <c r="G124" s="87" t="n"/>
      <c r="H124" s="87" t="n"/>
      <c r="I124" s="87" t="n"/>
    </row>
    <row r="125">
      <c r="A125" s="87" t="n"/>
      <c r="B125" s="87" t="n"/>
      <c r="C125" s="87" t="n"/>
      <c r="D125" s="87" t="n"/>
      <c r="E125" s="87" t="n"/>
      <c r="F125" s="87" t="n"/>
      <c r="G125" s="87" t="n"/>
      <c r="H125" s="87" t="n"/>
      <c r="I125" s="87" t="n"/>
    </row>
    <row r="126">
      <c r="A126" s="87" t="n"/>
      <c r="B126" s="87" t="n"/>
      <c r="C126" s="87" t="n"/>
      <c r="D126" s="87" t="n"/>
      <c r="E126" s="87" t="n"/>
      <c r="F126" s="87" t="n"/>
      <c r="G126" s="87" t="n"/>
      <c r="H126" s="87" t="n"/>
      <c r="I126" s="87" t="n"/>
    </row>
    <row r="127">
      <c r="A127" s="87" t="n"/>
      <c r="B127" s="87" t="n"/>
      <c r="C127" s="87" t="n"/>
      <c r="D127" s="87" t="n"/>
      <c r="E127" s="87" t="n"/>
      <c r="F127" s="87" t="n"/>
      <c r="G127" s="87" t="n"/>
      <c r="H127" s="87" t="n"/>
      <c r="I127" s="87" t="n"/>
    </row>
    <row r="128">
      <c r="A128" s="87" t="n"/>
      <c r="B128" s="87" t="n"/>
      <c r="C128" s="87" t="n"/>
      <c r="D128" s="87" t="n"/>
      <c r="E128" s="87" t="n"/>
      <c r="F128" s="87" t="n"/>
      <c r="G128" s="87" t="n"/>
      <c r="H128" s="87" t="n"/>
      <c r="I128" s="87" t="n"/>
    </row>
    <row r="129">
      <c r="A129" s="87" t="n"/>
      <c r="B129" s="87" t="n"/>
      <c r="C129" s="87" t="n"/>
      <c r="D129" s="87" t="n"/>
      <c r="E129" s="87" t="n"/>
      <c r="F129" s="87" t="n"/>
      <c r="G129" s="87" t="n"/>
      <c r="H129" s="87" t="n"/>
      <c r="I129" s="87" t="n"/>
    </row>
    <row r="130">
      <c r="A130" s="87" t="n"/>
      <c r="B130" s="87" t="n"/>
      <c r="C130" s="87" t="n"/>
      <c r="D130" s="87" t="n"/>
      <c r="E130" s="87" t="n"/>
      <c r="F130" s="87" t="n"/>
      <c r="G130" s="87" t="n"/>
      <c r="H130" s="87" t="n"/>
      <c r="I130" s="87" t="n"/>
    </row>
    <row r="131">
      <c r="A131" s="87" t="n"/>
      <c r="B131" s="87" t="n"/>
      <c r="C131" s="87" t="n"/>
      <c r="D131" s="87" t="n"/>
      <c r="E131" s="87" t="n"/>
      <c r="F131" s="87" t="n"/>
      <c r="G131" s="87" t="n"/>
      <c r="H131" s="87" t="n"/>
      <c r="I131" s="87" t="n"/>
    </row>
    <row r="132">
      <c r="A132" s="87" t="n"/>
      <c r="B132" s="87" t="n"/>
      <c r="C132" s="87" t="n"/>
      <c r="D132" s="87" t="n"/>
      <c r="E132" s="87" t="n"/>
      <c r="F132" s="87" t="n"/>
      <c r="G132" s="87" t="n"/>
      <c r="H132" s="87" t="n"/>
      <c r="I132" s="87" t="n"/>
    </row>
    <row r="133">
      <c r="A133" s="87" t="n"/>
      <c r="B133" s="87" t="n"/>
      <c r="C133" s="87" t="n"/>
      <c r="D133" s="87" t="n"/>
      <c r="E133" s="87" t="n"/>
      <c r="F133" s="87" t="n"/>
      <c r="G133" s="87" t="n"/>
      <c r="H133" s="87" t="n"/>
      <c r="I133" s="87" t="n"/>
    </row>
    <row r="134">
      <c r="A134" s="87" t="n"/>
      <c r="B134" s="87" t="n"/>
      <c r="C134" s="87" t="n"/>
      <c r="D134" s="87" t="n"/>
      <c r="E134" s="87" t="n"/>
      <c r="F134" s="87" t="n"/>
      <c r="G134" s="87" t="n"/>
      <c r="H134" s="87" t="n"/>
      <c r="I134" s="87" t="n"/>
    </row>
    <row r="135">
      <c r="A135" s="87" t="n"/>
      <c r="B135" s="87" t="n"/>
      <c r="C135" s="87" t="n"/>
      <c r="D135" s="87" t="n"/>
      <c r="E135" s="87" t="n"/>
      <c r="F135" s="87" t="n"/>
      <c r="G135" s="87" t="n"/>
      <c r="H135" s="87" t="n"/>
      <c r="I135" s="87" t="n"/>
    </row>
    <row r="136">
      <c r="A136" s="87" t="n"/>
      <c r="B136" s="87" t="n"/>
      <c r="C136" s="87" t="n"/>
      <c r="D136" s="87" t="n"/>
      <c r="E136" s="87" t="n"/>
      <c r="F136" s="87" t="n"/>
      <c r="G136" s="87" t="n"/>
      <c r="H136" s="87" t="n"/>
      <c r="I136" s="87" t="n"/>
    </row>
    <row r="137">
      <c r="A137" s="87" t="n"/>
      <c r="B137" s="87" t="n"/>
      <c r="C137" s="87" t="n"/>
      <c r="D137" s="87" t="n"/>
      <c r="E137" s="87" t="n"/>
      <c r="F137" s="87" t="n"/>
      <c r="G137" s="87" t="n"/>
      <c r="H137" s="87" t="n"/>
      <c r="I137" s="87" t="n"/>
    </row>
    <row r="138">
      <c r="A138" s="87" t="n"/>
      <c r="B138" s="87" t="n"/>
      <c r="C138" s="87" t="n"/>
      <c r="D138" s="87" t="n"/>
      <c r="E138" s="87" t="n"/>
      <c r="F138" s="87" t="n"/>
      <c r="G138" s="87" t="n"/>
      <c r="H138" s="87" t="n"/>
      <c r="I138" s="87" t="n"/>
    </row>
    <row r="139">
      <c r="A139" s="87" t="n"/>
      <c r="B139" s="87" t="n"/>
      <c r="C139" s="87" t="n"/>
      <c r="D139" s="87" t="n"/>
      <c r="E139" s="87" t="n"/>
      <c r="F139" s="87" t="n"/>
      <c r="G139" s="87" t="n"/>
      <c r="H139" s="87" t="n"/>
      <c r="I139" s="87" t="n"/>
    </row>
    <row r="140">
      <c r="A140" s="87" t="n"/>
      <c r="B140" s="87" t="n"/>
      <c r="C140" s="87" t="n"/>
      <c r="D140" s="87" t="n"/>
      <c r="E140" s="87" t="n"/>
      <c r="F140" s="87" t="n"/>
      <c r="G140" s="87" t="n"/>
      <c r="H140" s="87" t="n"/>
      <c r="I140" s="87" t="n"/>
    </row>
    <row r="141">
      <c r="A141" s="87" t="n"/>
      <c r="B141" s="87" t="n"/>
      <c r="C141" s="87" t="n"/>
      <c r="D141" s="87" t="n"/>
      <c r="E141" s="87" t="n"/>
      <c r="F141" s="87" t="n"/>
      <c r="G141" s="87" t="n"/>
      <c r="H141" s="87" t="n"/>
      <c r="I141" s="87" t="n"/>
    </row>
    <row r="142">
      <c r="A142" s="87" t="n"/>
      <c r="B142" s="87" t="n"/>
      <c r="C142" s="87" t="n"/>
      <c r="D142" s="87" t="n"/>
      <c r="E142" s="87" t="n"/>
      <c r="F142" s="87" t="n"/>
      <c r="G142" s="87" t="n"/>
      <c r="H142" s="87" t="n"/>
      <c r="I142" s="87" t="n"/>
    </row>
    <row r="143">
      <c r="A143" s="87" t="n"/>
      <c r="B143" s="87" t="n"/>
      <c r="C143" s="87" t="n"/>
      <c r="D143" s="87" t="n"/>
      <c r="E143" s="87" t="n"/>
      <c r="F143" s="87" t="n"/>
      <c r="G143" s="87" t="n"/>
      <c r="H143" s="87" t="n"/>
      <c r="I143" s="87" t="n"/>
    </row>
    <row r="144">
      <c r="A144" s="87" t="n"/>
      <c r="B144" s="87" t="n"/>
      <c r="C144" s="87" t="n"/>
      <c r="D144" s="87" t="n"/>
      <c r="E144" s="87" t="n"/>
      <c r="F144" s="87" t="n"/>
      <c r="G144" s="87" t="n"/>
      <c r="H144" s="87" t="n"/>
      <c r="I144" s="87" t="n"/>
    </row>
    <row r="145">
      <c r="A145" s="87" t="n"/>
      <c r="B145" s="87" t="n"/>
      <c r="C145" s="87" t="n"/>
      <c r="D145" s="87" t="n"/>
      <c r="E145" s="87" t="n"/>
      <c r="F145" s="87" t="n"/>
      <c r="G145" s="87" t="n"/>
      <c r="H145" s="87" t="n"/>
      <c r="I145" s="87" t="n"/>
    </row>
    <row r="146">
      <c r="A146" s="87" t="n"/>
      <c r="B146" s="87" t="n"/>
      <c r="C146" s="87" t="n"/>
      <c r="D146" s="87" t="n"/>
      <c r="E146" s="87" t="n"/>
      <c r="F146" s="87" t="n"/>
      <c r="G146" s="87" t="n"/>
      <c r="H146" s="87" t="n"/>
      <c r="I146" s="87" t="n"/>
    </row>
    <row r="147">
      <c r="A147" s="87" t="n"/>
      <c r="B147" s="87" t="n"/>
      <c r="C147" s="87" t="n"/>
      <c r="D147" s="87" t="n"/>
      <c r="E147" s="87" t="n"/>
      <c r="F147" s="87" t="n"/>
      <c r="G147" s="87" t="n"/>
      <c r="H147" s="87" t="n"/>
      <c r="I147" s="87" t="n"/>
    </row>
    <row r="148">
      <c r="A148" s="87" t="n"/>
      <c r="B148" s="87" t="n"/>
      <c r="C148" s="87" t="n"/>
      <c r="D148" s="87" t="n"/>
      <c r="E148" s="87" t="n"/>
      <c r="F148" s="87" t="n"/>
      <c r="G148" s="87" t="n"/>
      <c r="H148" s="87" t="n"/>
      <c r="I148" s="87" t="n"/>
    </row>
    <row r="149">
      <c r="A149" s="87" t="n"/>
      <c r="B149" s="87" t="n"/>
      <c r="C149" s="87" t="n"/>
      <c r="D149" s="87" t="n"/>
      <c r="E149" s="87" t="n"/>
      <c r="F149" s="87" t="n"/>
      <c r="G149" s="87" t="n"/>
      <c r="H149" s="87" t="n"/>
      <c r="I149" s="87" t="n"/>
    </row>
    <row r="150">
      <c r="A150" s="87" t="n"/>
      <c r="B150" s="87" t="n"/>
      <c r="C150" s="87" t="n"/>
      <c r="D150" s="87" t="n"/>
      <c r="E150" s="87" t="n"/>
      <c r="F150" s="87" t="n"/>
      <c r="G150" s="87" t="n"/>
      <c r="H150" s="87" t="n"/>
      <c r="I150" s="87" t="n"/>
    </row>
    <row r="151">
      <c r="A151" s="87" t="n"/>
      <c r="B151" s="87" t="n"/>
      <c r="C151" s="87" t="n"/>
      <c r="D151" s="87" t="n"/>
      <c r="E151" s="87" t="n"/>
      <c r="F151" s="87" t="n"/>
      <c r="G151" s="87" t="n"/>
      <c r="H151" s="87" t="n"/>
      <c r="I151" s="87" t="n"/>
    </row>
    <row r="152">
      <c r="A152" s="87" t="n"/>
      <c r="B152" s="87" t="n"/>
      <c r="C152" s="87" t="n"/>
      <c r="D152" s="87" t="n"/>
      <c r="E152" s="87" t="n"/>
      <c r="F152" s="87" t="n"/>
      <c r="G152" s="87" t="n"/>
      <c r="H152" s="87" t="n"/>
      <c r="I152" s="87" t="n"/>
    </row>
    <row r="153">
      <c r="A153" s="87" t="n"/>
      <c r="B153" s="87" t="n"/>
      <c r="C153" s="87" t="n"/>
      <c r="D153" s="87" t="n"/>
      <c r="E153" s="87" t="n"/>
      <c r="F153" s="87" t="n"/>
      <c r="G153" s="87" t="n"/>
      <c r="H153" s="87" t="n"/>
      <c r="I153" s="87" t="n"/>
    </row>
    <row r="154">
      <c r="A154" s="87" t="n"/>
      <c r="B154" s="87" t="n"/>
      <c r="C154" s="87" t="n"/>
      <c r="D154" s="87" t="n"/>
      <c r="E154" s="87" t="n"/>
      <c r="F154" s="87" t="n"/>
      <c r="G154" s="87" t="n"/>
      <c r="H154" s="87" t="n"/>
      <c r="I154" s="87" t="n"/>
    </row>
    <row r="155">
      <c r="A155" s="87" t="n"/>
      <c r="B155" s="87" t="n"/>
      <c r="C155" s="87" t="n"/>
      <c r="D155" s="87" t="n"/>
      <c r="E155" s="87" t="n"/>
      <c r="F155" s="87" t="n"/>
      <c r="G155" s="87" t="n"/>
      <c r="H155" s="87" t="n"/>
      <c r="I155" s="87" t="n"/>
    </row>
    <row r="156">
      <c r="A156" s="87" t="n"/>
      <c r="B156" s="87" t="n"/>
      <c r="C156" s="87" t="n"/>
      <c r="D156" s="87" t="n"/>
      <c r="E156" s="87" t="n"/>
      <c r="F156" s="87" t="n"/>
      <c r="G156" s="87" t="n"/>
      <c r="H156" s="87" t="n"/>
      <c r="I156" s="87" t="n"/>
    </row>
    <row r="157">
      <c r="A157" s="87" t="n"/>
      <c r="B157" s="87" t="n"/>
      <c r="C157" s="87" t="n"/>
      <c r="D157" s="87" t="n"/>
      <c r="E157" s="87" t="n"/>
      <c r="F157" s="87" t="n"/>
      <c r="G157" s="87" t="n"/>
      <c r="H157" s="87" t="n"/>
      <c r="I157" s="87" t="n"/>
    </row>
    <row r="158">
      <c r="A158" s="87" t="n"/>
      <c r="B158" s="87" t="n"/>
      <c r="C158" s="87" t="n"/>
      <c r="D158" s="87" t="n"/>
      <c r="E158" s="87" t="n"/>
      <c r="F158" s="87" t="n"/>
      <c r="G158" s="87" t="n"/>
      <c r="H158" s="87" t="n"/>
      <c r="I158" s="87" t="n"/>
    </row>
    <row r="159">
      <c r="A159" s="87" t="n"/>
      <c r="B159" s="87" t="n"/>
      <c r="C159" s="87" t="n"/>
      <c r="D159" s="87" t="n"/>
      <c r="E159" s="87" t="n"/>
      <c r="F159" s="87" t="n"/>
      <c r="G159" s="87" t="n"/>
      <c r="H159" s="87" t="n"/>
      <c r="I159" s="87" t="n"/>
    </row>
    <row r="160">
      <c r="A160" s="87" t="n"/>
      <c r="B160" s="87" t="n"/>
      <c r="C160" s="87" t="n"/>
      <c r="D160" s="87" t="n"/>
      <c r="E160" s="87" t="n"/>
      <c r="F160" s="87" t="n"/>
      <c r="G160" s="87" t="n"/>
      <c r="H160" s="87" t="n"/>
      <c r="I160" s="87" t="n"/>
    </row>
    <row r="161">
      <c r="A161" s="87" t="n"/>
      <c r="B161" s="87" t="n"/>
      <c r="C161" s="87" t="n"/>
      <c r="D161" s="87" t="n"/>
      <c r="E161" s="87" t="n"/>
      <c r="F161" s="87" t="n"/>
      <c r="G161" s="87" t="n"/>
      <c r="H161" s="87" t="n"/>
      <c r="I161" s="87" t="n"/>
    </row>
    <row r="162">
      <c r="A162" s="87" t="n"/>
      <c r="B162" s="87" t="n"/>
      <c r="C162" s="87" t="n"/>
      <c r="D162" s="87" t="n"/>
      <c r="E162" s="87" t="n"/>
      <c r="F162" s="87" t="n"/>
      <c r="G162" s="87" t="n"/>
      <c r="H162" s="87" t="n"/>
      <c r="I162" s="87" t="n"/>
    </row>
    <row r="163">
      <c r="A163" s="87" t="n"/>
      <c r="B163" s="87" t="n"/>
      <c r="C163" s="87" t="n"/>
      <c r="D163" s="87" t="n"/>
      <c r="E163" s="87" t="n"/>
      <c r="F163" s="87" t="n"/>
      <c r="G163" s="87" t="n"/>
      <c r="H163" s="87" t="n"/>
      <c r="I163" s="87" t="n"/>
    </row>
    <row r="164">
      <c r="A164" s="87" t="n"/>
      <c r="B164" s="87" t="n"/>
      <c r="C164" s="87" t="n"/>
      <c r="D164" s="87" t="n"/>
      <c r="E164" s="87" t="n"/>
      <c r="F164" s="87" t="n"/>
      <c r="G164" s="87" t="n"/>
      <c r="H164" s="87" t="n"/>
      <c r="I164" s="87" t="n"/>
    </row>
    <row r="165">
      <c r="A165" s="87" t="n"/>
      <c r="B165" s="87" t="n"/>
      <c r="C165" s="87" t="n"/>
      <c r="D165" s="87" t="n"/>
      <c r="E165" s="87" t="n"/>
      <c r="F165" s="87" t="n"/>
      <c r="G165" s="87" t="n"/>
      <c r="H165" s="87" t="n"/>
      <c r="I165" s="87" t="n"/>
    </row>
    <row r="166">
      <c r="A166" s="87" t="n"/>
      <c r="B166" s="87" t="n"/>
      <c r="C166" s="87" t="n"/>
      <c r="D166" s="87" t="n"/>
      <c r="E166" s="87" t="n"/>
      <c r="F166" s="87" t="n"/>
      <c r="G166" s="87" t="n"/>
      <c r="H166" s="87" t="n"/>
      <c r="I166" s="87" t="n"/>
    </row>
    <row r="167">
      <c r="A167" s="87" t="n"/>
      <c r="B167" s="87" t="n"/>
      <c r="C167" s="87" t="n"/>
      <c r="D167" s="87" t="n"/>
      <c r="E167" s="87" t="n"/>
      <c r="F167" s="87" t="n"/>
      <c r="G167" s="87" t="n"/>
      <c r="H167" s="87" t="n"/>
      <c r="I167" s="87" t="n"/>
    </row>
    <row r="168">
      <c r="A168" s="87" t="n"/>
      <c r="B168" s="87" t="n"/>
      <c r="C168" s="87" t="n"/>
      <c r="D168" s="87" t="n"/>
      <c r="E168" s="87" t="n"/>
      <c r="F168" s="87" t="n"/>
      <c r="G168" s="87" t="n"/>
      <c r="H168" s="87" t="n"/>
      <c r="I168" s="87" t="n"/>
    </row>
    <row r="169">
      <c r="A169" s="87" t="n"/>
      <c r="B169" s="87" t="n"/>
      <c r="C169" s="87" t="n"/>
      <c r="D169" s="87" t="n"/>
      <c r="E169" s="87" t="n"/>
      <c r="F169" s="87" t="n"/>
      <c r="G169" s="87" t="n"/>
      <c r="H169" s="87" t="n"/>
      <c r="I169" s="87" t="n"/>
    </row>
    <row r="170">
      <c r="A170" s="87" t="n"/>
      <c r="B170" s="87" t="n"/>
      <c r="C170" s="87" t="n"/>
      <c r="D170" s="87" t="n"/>
      <c r="E170" s="87" t="n"/>
      <c r="F170" s="87" t="n"/>
      <c r="G170" s="87" t="n"/>
      <c r="H170" s="87" t="n"/>
      <c r="I170" s="87" t="n"/>
    </row>
    <row r="171">
      <c r="A171" s="87" t="n"/>
      <c r="B171" s="87" t="n"/>
      <c r="C171" s="87" t="n"/>
      <c r="D171" s="87" t="n"/>
      <c r="E171" s="87" t="n"/>
      <c r="F171" s="87" t="n"/>
      <c r="G171" s="87" t="n"/>
      <c r="H171" s="87" t="n"/>
      <c r="I171" s="87" t="n"/>
    </row>
    <row r="172">
      <c r="A172" s="87" t="n"/>
      <c r="B172" s="87" t="n"/>
      <c r="C172" s="87" t="n"/>
      <c r="D172" s="87" t="n"/>
      <c r="E172" s="87" t="n"/>
      <c r="F172" s="87" t="n"/>
      <c r="G172" s="87" t="n"/>
      <c r="H172" s="87" t="n"/>
      <c r="I172" s="87" t="n"/>
    </row>
    <row r="173">
      <c r="A173" s="87" t="n"/>
      <c r="B173" s="87" t="n"/>
      <c r="C173" s="87" t="n"/>
      <c r="D173" s="87" t="n"/>
      <c r="E173" s="87" t="n"/>
      <c r="F173" s="87" t="n"/>
      <c r="G173" s="87" t="n"/>
      <c r="H173" s="87" t="n"/>
      <c r="I173" s="87" t="n"/>
    </row>
    <row r="174">
      <c r="A174" s="87" t="n"/>
      <c r="B174" s="87" t="n"/>
      <c r="C174" s="87" t="n"/>
      <c r="D174" s="87" t="n"/>
      <c r="E174" s="87" t="n"/>
      <c r="F174" s="87" t="n"/>
      <c r="G174" s="87" t="n"/>
      <c r="H174" s="87" t="n"/>
      <c r="I174" s="87" t="n"/>
    </row>
    <row r="175">
      <c r="A175" s="87" t="n"/>
      <c r="B175" s="87" t="n"/>
      <c r="C175" s="87" t="n"/>
      <c r="D175" s="87" t="n"/>
      <c r="E175" s="87" t="n"/>
      <c r="F175" s="87" t="n"/>
      <c r="G175" s="87" t="n"/>
      <c r="H175" s="87" t="n"/>
      <c r="I175" s="87" t="n"/>
    </row>
    <row r="176">
      <c r="A176" s="87" t="n"/>
      <c r="B176" s="87" t="n"/>
      <c r="C176" s="87" t="n"/>
      <c r="D176" s="87" t="n"/>
      <c r="E176" s="87" t="n"/>
      <c r="F176" s="87" t="n"/>
      <c r="G176" s="87" t="n"/>
      <c r="H176" s="87" t="n"/>
      <c r="I176" s="87" t="n"/>
    </row>
    <row r="177">
      <c r="A177" s="87" t="n"/>
      <c r="B177" s="87" t="n"/>
      <c r="C177" s="87" t="n"/>
      <c r="D177" s="87" t="n"/>
      <c r="E177" s="87" t="n"/>
      <c r="F177" s="87" t="n"/>
      <c r="G177" s="87" t="n"/>
      <c r="H177" s="87" t="n"/>
      <c r="I177" s="87" t="n"/>
    </row>
    <row r="178">
      <c r="A178" s="87" t="n"/>
      <c r="B178" s="87" t="n"/>
      <c r="C178" s="87" t="n"/>
      <c r="D178" s="87" t="n"/>
      <c r="E178" s="87" t="n"/>
      <c r="F178" s="87" t="n"/>
      <c r="G178" s="87" t="n"/>
      <c r="H178" s="87" t="n"/>
      <c r="I178" s="87" t="n"/>
    </row>
    <row r="179">
      <c r="A179" s="87" t="n"/>
      <c r="B179" s="87" t="n"/>
      <c r="C179" s="87" t="n"/>
      <c r="D179" s="87" t="n"/>
      <c r="E179" s="87" t="n"/>
      <c r="F179" s="87" t="n"/>
      <c r="G179" s="87" t="n"/>
      <c r="H179" s="87" t="n"/>
      <c r="I179" s="87" t="n"/>
    </row>
    <row r="180">
      <c r="A180" s="87" t="n"/>
      <c r="B180" s="87" t="n"/>
      <c r="C180" s="87" t="n"/>
      <c r="D180" s="87" t="n"/>
      <c r="E180" s="87" t="n"/>
      <c r="F180" s="87" t="n"/>
      <c r="G180" s="87" t="n"/>
      <c r="H180" s="87" t="n"/>
      <c r="I180" s="87" t="n"/>
    </row>
    <row r="181">
      <c r="A181" s="87" t="n"/>
      <c r="B181" s="87" t="n"/>
      <c r="C181" s="87" t="n"/>
      <c r="D181" s="87" t="n"/>
      <c r="E181" s="87" t="n"/>
      <c r="F181" s="87" t="n"/>
      <c r="G181" s="87" t="n"/>
      <c r="H181" s="87" t="n"/>
      <c r="I181" s="87" t="n"/>
    </row>
    <row r="182">
      <c r="A182" s="87" t="n"/>
      <c r="B182" s="87" t="n"/>
      <c r="C182" s="87" t="n"/>
      <c r="D182" s="87" t="n"/>
      <c r="E182" s="87" t="n"/>
      <c r="F182" s="87" t="n"/>
      <c r="G182" s="87" t="n"/>
      <c r="H182" s="87" t="n"/>
      <c r="I182" s="87" t="n"/>
    </row>
    <row r="183">
      <c r="A183" s="87" t="n"/>
      <c r="B183" s="87" t="n"/>
      <c r="C183" s="87" t="n"/>
      <c r="D183" s="87" t="n"/>
      <c r="E183" s="87" t="n"/>
      <c r="F183" s="87" t="n"/>
      <c r="G183" s="87" t="n"/>
      <c r="H183" s="87" t="n"/>
      <c r="I183" s="87" t="n"/>
    </row>
    <row r="184">
      <c r="A184" s="87" t="n"/>
      <c r="B184" s="87" t="n"/>
      <c r="C184" s="87" t="n"/>
      <c r="D184" s="87" t="n"/>
      <c r="E184" s="87" t="n"/>
      <c r="F184" s="87" t="n"/>
      <c r="G184" s="87" t="n"/>
      <c r="H184" s="87" t="n"/>
      <c r="I184" s="87" t="n"/>
    </row>
    <row r="185">
      <c r="A185" s="87" t="n"/>
      <c r="B185" s="87" t="n"/>
      <c r="C185" s="87" t="n"/>
      <c r="D185" s="87" t="n"/>
      <c r="E185" s="87" t="n"/>
      <c r="F185" s="87" t="n"/>
      <c r="G185" s="87" t="n"/>
      <c r="H185" s="87" t="n"/>
      <c r="I185" s="87" t="n"/>
    </row>
    <row r="186">
      <c r="A186" s="87" t="n"/>
      <c r="B186" s="87" t="n"/>
      <c r="C186" s="87" t="n"/>
      <c r="D186" s="87" t="n"/>
      <c r="E186" s="87" t="n"/>
      <c r="F186" s="87" t="n"/>
      <c r="G186" s="87" t="n"/>
      <c r="H186" s="87" t="n"/>
      <c r="I186" s="87" t="n"/>
    </row>
    <row r="187">
      <c r="A187" s="87" t="n"/>
      <c r="B187" s="87" t="n"/>
      <c r="C187" s="87" t="n"/>
      <c r="D187" s="87" t="n"/>
      <c r="E187" s="87" t="n"/>
      <c r="F187" s="87" t="n"/>
      <c r="G187" s="87" t="n"/>
      <c r="H187" s="87" t="n"/>
      <c r="I187" s="87" t="n"/>
    </row>
    <row r="188">
      <c r="A188" s="87" t="n"/>
      <c r="B188" s="87" t="n"/>
      <c r="C188" s="87" t="n"/>
      <c r="D188" s="87" t="n"/>
      <c r="E188" s="87" t="n"/>
      <c r="F188" s="87" t="n"/>
      <c r="G188" s="87" t="n"/>
      <c r="H188" s="87" t="n"/>
      <c r="I188" s="87" t="n"/>
    </row>
    <row r="189">
      <c r="A189" s="87" t="n"/>
      <c r="B189" s="87" t="n"/>
      <c r="C189" s="87" t="n"/>
      <c r="D189" s="87" t="n"/>
      <c r="E189" s="87" t="n"/>
      <c r="F189" s="87" t="n"/>
      <c r="G189" s="87" t="n"/>
      <c r="H189" s="87" t="n"/>
      <c r="I189" s="87" t="n"/>
    </row>
    <row r="190">
      <c r="A190" s="87" t="n"/>
      <c r="B190" s="87" t="n"/>
      <c r="C190" s="87" t="n"/>
      <c r="D190" s="87" t="n"/>
      <c r="E190" s="87" t="n"/>
      <c r="F190" s="87" t="n"/>
      <c r="G190" s="87" t="n"/>
      <c r="H190" s="87" t="n"/>
      <c r="I190" s="87" t="n"/>
    </row>
    <row r="191">
      <c r="A191" s="87" t="n"/>
      <c r="B191" s="87" t="n"/>
      <c r="C191" s="87" t="n"/>
      <c r="D191" s="87" t="n"/>
      <c r="E191" s="87" t="n"/>
      <c r="F191" s="87" t="n"/>
      <c r="G191" s="87" t="n"/>
      <c r="H191" s="87" t="n"/>
      <c r="I191" s="87" t="n"/>
    </row>
    <row r="192">
      <c r="A192" s="87" t="n"/>
      <c r="B192" s="87" t="n"/>
      <c r="C192" s="87" t="n"/>
      <c r="D192" s="87" t="n"/>
      <c r="E192" s="87" t="n"/>
      <c r="F192" s="87" t="n"/>
      <c r="G192" s="87" t="n"/>
      <c r="H192" s="87" t="n"/>
      <c r="I192" s="87" t="n"/>
    </row>
    <row r="193">
      <c r="A193" s="87" t="n"/>
      <c r="B193" s="87" t="n"/>
      <c r="C193" s="87" t="n"/>
      <c r="D193" s="87" t="n"/>
      <c r="E193" s="87" t="n"/>
      <c r="F193" s="87" t="n"/>
      <c r="G193" s="87" t="n"/>
      <c r="H193" s="87" t="n"/>
      <c r="I193" s="87" t="n"/>
    </row>
    <row r="194">
      <c r="A194" s="87" t="n"/>
      <c r="B194" s="87" t="n"/>
      <c r="C194" s="87" t="n"/>
      <c r="D194" s="87" t="n"/>
      <c r="E194" s="87" t="n"/>
      <c r="F194" s="87" t="n"/>
      <c r="G194" s="87" t="n"/>
      <c r="H194" s="87" t="n"/>
      <c r="I194" s="87" t="n"/>
    </row>
    <row r="195">
      <c r="A195" s="87" t="n"/>
      <c r="B195" s="87" t="n"/>
      <c r="C195" s="87" t="n"/>
      <c r="D195" s="87" t="n"/>
      <c r="E195" s="87" t="n"/>
      <c r="F195" s="87" t="n"/>
      <c r="G195" s="87" t="n"/>
      <c r="H195" s="87" t="n"/>
      <c r="I195" s="87" t="n"/>
    </row>
    <row r="196">
      <c r="A196" s="87" t="n"/>
      <c r="B196" s="87" t="n"/>
      <c r="C196" s="87" t="n"/>
      <c r="D196" s="87" t="n"/>
      <c r="E196" s="87" t="n"/>
      <c r="F196" s="87" t="n"/>
      <c r="G196" s="87" t="n"/>
      <c r="H196" s="87" t="n"/>
      <c r="I196" s="87" t="n"/>
    </row>
    <row r="197">
      <c r="A197" s="87" t="n"/>
      <c r="B197" s="87" t="n"/>
      <c r="C197" s="87" t="n"/>
      <c r="D197" s="87" t="n"/>
      <c r="E197" s="87" t="n"/>
      <c r="F197" s="87" t="n"/>
      <c r="G197" s="87" t="n"/>
      <c r="H197" s="87" t="n"/>
      <c r="I197" s="87" t="n"/>
    </row>
    <row r="198">
      <c r="A198" s="87" t="n"/>
      <c r="B198" s="87" t="n"/>
      <c r="C198" s="87" t="n"/>
      <c r="D198" s="87" t="n"/>
      <c r="E198" s="87" t="n"/>
      <c r="F198" s="87" t="n"/>
      <c r="G198" s="87" t="n"/>
      <c r="H198" s="87" t="n"/>
      <c r="I198" s="87" t="n"/>
    </row>
    <row r="199">
      <c r="A199" s="87" t="n"/>
      <c r="B199" s="87" t="n"/>
      <c r="C199" s="87" t="n"/>
      <c r="D199" s="87" t="n"/>
      <c r="E199" s="87" t="n"/>
      <c r="F199" s="87" t="n"/>
      <c r="G199" s="87" t="n"/>
      <c r="H199" s="87" t="n"/>
      <c r="I199" s="87" t="n"/>
    </row>
    <row r="200">
      <c r="A200" s="87" t="n"/>
      <c r="B200" s="87" t="n"/>
      <c r="C200" s="87" t="n"/>
      <c r="D200" s="87" t="n"/>
      <c r="E200" s="87" t="n"/>
      <c r="F200" s="87" t="n"/>
      <c r="G200" s="87" t="n"/>
      <c r="H200" s="87" t="n"/>
      <c r="I200" s="87" t="n"/>
    </row>
    <row r="201">
      <c r="A201" s="87" t="n"/>
      <c r="B201" s="87" t="n"/>
      <c r="C201" s="87" t="n"/>
      <c r="D201" s="87" t="n"/>
      <c r="E201" s="87" t="n"/>
      <c r="F201" s="87" t="n"/>
      <c r="G201" s="87" t="n"/>
      <c r="H201" s="87" t="n"/>
      <c r="I201" s="87" t="n"/>
    </row>
    <row r="202">
      <c r="A202" s="87" t="inlineStr">
        <is>
          <t>Consolidation Note</t>
        </is>
      </c>
      <c r="B202" s="87" t="inlineStr">
        <is>
          <t>Regional_Report_Pack and Monthly_RO_Report_Generator consolidated here. Use Audience column for CEO / Regional Office / Management.</t>
        </is>
      </c>
      <c r="C202" s="87" t="n"/>
      <c r="D202" s="87" t="n"/>
      <c r="E202" s="87" t="n"/>
      <c r="F202" s="87" t="n"/>
      <c r="G202" s="87" t="n"/>
      <c r="H202" s="87" t="n"/>
      <c r="I202" s="87" t="n"/>
    </row>
    <row r="203">
      <c r="A203" s="87" t="inlineStr">
        <is>
          <t>Regional Office Monthly Template</t>
        </is>
      </c>
      <c r="B203" s="87" t="inlineStr">
        <is>
          <t>Regional Office</t>
        </is>
      </c>
      <c r="C203" s="87" t="inlineStr">
        <is>
          <t>Monthly Regulatory &amp; Public Affairs Report Pack - Template
Section | Auto Summary / Suggested Content | Source Tab | Owner
1. Key regulatory developments | Summarize top 3 policy items by risk score. | Policy_Monitoring | PA
2. Regulatory submissions | Highlight overdue, due soon and submitted items. | Submission_Tracker | PA
3. Pending approvals | List product/capital/license approvals by stage. | Approval_Pipeline | PA + Business
4. Regulator interactions | Summarize meetings/calls and follow-up actions. | Regulator_Interactions | PA
5. Emerging risks | Use early warning from policy risk and relationship risk. | Policy_Monitoring + Relationship_Intelligence | PA
6. Next 30-day priorities | Actions, owners and escalation needs. | All trackers | PA Head
Draft Narrative
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t>
        </is>
      </c>
      <c r="D203" s="87" t="n"/>
      <c r="E203" s="87" t="n"/>
      <c r="F203" s="87" t="n"/>
      <c r="G203" s="87" t="n"/>
      <c r="H203" s="87" t="n"/>
      <c r="I203" s="87" t="n"/>
    </row>
    <row r="204">
      <c r="A204" s="87" t="inlineStr">
        <is>
          <t>Monthly RO Draft Generator</t>
        </is>
      </c>
      <c r="B204" s="87" t="inlineStr">
        <is>
          <t>Regional Office</t>
        </is>
      </c>
      <c r="C204" s="87" t="inlineStr">
        <is>
          <t>One-Click Monthly Regional Office Report Generator (English Draft)
Field | Value | Notes | Section | Draft Text
Reporting Month | June 2026 | Change monthly | 1. Executive Summary | Overall regulatory workload remains manageable. Key focus areas are product approval follow-up, consumer protection monitoring, and timely completion of periodic reports.
Reports Submitted On Time | 18 | Sample data | 2. Key Regulatory Developments | No major finalized regulation this month. The team continues to monitor draft guidance on bancassurance, data privacy and consumer protection.
Overdue Reports | 1 | Sample data | 3. Pending Approvals | Two approval items remain pending with the regulator: one product filing and one agent training-related submission. Follow-up actions have been assigned.
Pending Approvals | 2 | Sample data | 4. Regulator Engagements | The team maintained regular working contact with ISA and MOF through technical follow-ups, document submissions and preparation for upcoming meetings.
Regulator Meetings | 4 | Sample data | 5. Emerging Risks | Emerging risks include potential tightening of product approval requirements, heightened market conduct supervision and evolving data localization expectations.
High Risk Policy Issues | 3 | Sample data | 6. Next Month Priorities | Priorities for next month are: close pending approval actions, prepare for upcoming regulator meetings, complete documentation quality checks, and update policy risk assessment.
Internal Overdue Follow-ups | 2 | Sample data | 7. Support Needed from Regional Office | No immediate escalation is required. Regional guidance may be useful if new APAC-level interpretation is issued on data privacy or market conduct.
Generated Monthly Report Draft
To: Regional Office
Subject: Vietnam Regulatory &amp; Public Affairs Monthly Update - June 2026
1. Executive Summary
Overall regulatory workload remains manageable. The main focus areas are product approval follow-up, consumer protection monitoring, and timely completion of regulatory reporting obligations.
2. Key Metrics
- Reports submitted on time: 18
- Overdue reports: 1
- Pending approvals: 2
- Regulator meetings/interactions: 4
- High-risk policy issues: 3
- Internal overdue follow-ups: 2
3. Key Regulatory Developments
No major finalized regulation was identified this month. The team continues to monitor draft guidance relating to bancassurance, data privacy, consumer protection and market conduct supervision.
4. Pending Approvals and Submissions
Two approval items remain pending with the regulator: one product filing and one agent training-related submission. Responsible owners have been assigned and follow-up actions are being tracked.
5. Regulator Engagements
The team maintained regular working contact with ISA and MOF through technical follow-ups, document submissions and preparation for upcoming meetings.
6. Emerging Risks
Emerging risks include potential tightening of product approval requirements, increased market conduct review and evolving data localization expectations.
7. Next Month Priorities
Priorities for next month are to close pending approval actions, prepare for upcoming regulator meetings, complete documentation quality checks and update the policy risk assessment.</t>
        </is>
      </c>
      <c r="D204" s="87" t="n"/>
      <c r="E204" s="87" t="n"/>
      <c r="F204" s="87" t="n"/>
      <c r="G204" s="87" t="n"/>
      <c r="H204" s="87" t="n"/>
      <c r="I204" s="87" t="n"/>
    </row>
  </sheetData>
  <mergeCells count="1">
    <mergeCell ref="A1:I1"/>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cols>
    <col width="25.17000007629395" customWidth="1" style="44" min="1" max="1"/>
    <col width="23.28000068664551" customWidth="1" style="44" min="2" max="2"/>
    <col width="12.64999961853027" customWidth="1" style="44" min="3" max="3"/>
    <col width="19.92000007629395" customWidth="1" style="44" min="4" max="4"/>
    <col width="13.1899995803833" customWidth="1" style="44" min="5" max="5"/>
    <col width="18.03000068664551" customWidth="1" style="44" min="6" max="6"/>
    <col width="30.95999908447266" customWidth="1" style="44" min="7" max="7"/>
    <col width="42.79999923706055" customWidth="1" style="44" min="8" max="8"/>
    <col width="57.59999847412109" customWidth="1" style="44" min="9" max="9"/>
  </cols>
  <sheetData>
    <row r="1" ht="28" customHeight="1" s="44">
      <c r="A1" s="136" t="inlineStr">
        <is>
          <t>Approval Time Analytics</t>
        </is>
      </c>
      <c r="B1" s="1" t="n"/>
      <c r="C1" s="1" t="n"/>
      <c r="D1" s="1" t="n"/>
      <c r="E1" s="1" t="n"/>
      <c r="F1" s="1" t="n"/>
      <c r="G1" s="1" t="n"/>
      <c r="H1" s="1" t="n"/>
      <c r="I1" s="1" t="n"/>
    </row>
    <row r="2">
      <c r="A2" s="12" t="n"/>
      <c r="B2" s="12" t="n"/>
      <c r="C2" s="12" t="n"/>
      <c r="D2" s="12" t="n"/>
      <c r="E2" s="12" t="n"/>
      <c r="F2" s="12" t="n"/>
      <c r="G2" s="12" t="n"/>
      <c r="H2" s="12" t="n"/>
      <c r="I2" s="12" t="n"/>
    </row>
    <row r="3">
      <c r="A3" s="69" t="inlineStr">
        <is>
          <t>Regulator</t>
        </is>
      </c>
      <c r="B3" s="69" t="inlineStr">
        <is>
          <t>Approval Type</t>
        </is>
      </c>
      <c r="C3" s="69" t="inlineStr">
        <is>
          <t>No. of Cases</t>
        </is>
      </c>
      <c r="D3" s="69" t="inlineStr">
        <is>
          <t>Avg Days to Approval</t>
        </is>
      </c>
      <c r="E3" s="69" t="inlineStr">
        <is>
          <t>Median Days</t>
        </is>
      </c>
      <c r="F3" s="69" t="inlineStr">
        <is>
          <t>Longest Open Case</t>
        </is>
      </c>
      <c r="G3" s="69" t="inlineStr">
        <is>
          <t>Expected Approval Time Next Case</t>
        </is>
      </c>
      <c r="H3" s="69" t="inlineStr">
        <is>
          <t>Bottleneck</t>
        </is>
      </c>
      <c r="I3" s="69" t="inlineStr">
        <is>
          <t>Recommended Improvement</t>
        </is>
      </c>
    </row>
    <row r="4">
      <c r="A4" s="12" t="inlineStr">
        <is>
          <t>ISA</t>
        </is>
      </c>
      <c r="B4" s="12" t="inlineStr">
        <is>
          <t>Product approval</t>
        </is>
      </c>
      <c r="C4" s="12" t="n">
        <v>12</v>
      </c>
      <c r="D4" s="137" t="n">
        <v>42</v>
      </c>
      <c r="E4" s="137" t="n">
        <v>38</v>
      </c>
      <c r="F4" s="137" t="inlineStr">
        <is>
          <t>APR-011</t>
        </is>
      </c>
      <c r="G4" s="137" t="n">
        <v>45</v>
      </c>
      <c r="H4" s="12" t="inlineStr">
        <is>
          <t>Regulator Q&amp;A and missing technical evidence</t>
        </is>
      </c>
      <c r="I4" s="12" t="inlineStr">
        <is>
          <t>Create standardized Q&amp;A evidence pack and pre-check with Compliance</t>
        </is>
      </c>
    </row>
    <row r="5">
      <c r="A5" s="12" t="inlineStr">
        <is>
          <t>MOF</t>
        </is>
      </c>
      <c r="B5" s="12" t="inlineStr">
        <is>
          <t>Capital / license</t>
        </is>
      </c>
      <c r="C5" s="12" t="n">
        <v>8</v>
      </c>
      <c r="D5" s="137" t="n">
        <v>55</v>
      </c>
      <c r="E5" s="137" t="n">
        <v>52</v>
      </c>
      <c r="F5" s="137" t="inlineStr">
        <is>
          <t>APR-005</t>
        </is>
      </c>
      <c r="G5" s="137" t="n">
        <v>58</v>
      </c>
      <c r="H5" s="12" t="inlineStr">
        <is>
          <t>Management approval and hard-copy documentation</t>
        </is>
      </c>
      <c r="I5" s="12" t="inlineStr">
        <is>
          <t>Prepare signature matrix and document QC before internal approval</t>
        </is>
      </c>
    </row>
    <row r="6">
      <c r="A6" s="12" t="inlineStr">
        <is>
          <t>IAV</t>
        </is>
      </c>
      <c r="B6" s="12" t="inlineStr">
        <is>
          <t>Industry working group input</t>
        </is>
      </c>
      <c r="C6" s="12" t="n">
        <v>6</v>
      </c>
      <c r="D6" s="137" t="n">
        <v>21</v>
      </c>
      <c r="E6" s="137" t="n">
        <v>18</v>
      </c>
      <c r="F6" s="137" t="inlineStr">
        <is>
          <t>APR-014</t>
        </is>
      </c>
      <c r="G6" s="137" t="n">
        <v>24</v>
      </c>
      <c r="H6" s="12" t="inlineStr">
        <is>
          <t>Coordination with member companies</t>
        </is>
      </c>
      <c r="I6" s="12" t="inlineStr">
        <is>
          <t>Submit early draft positions and align through working group</t>
        </is>
      </c>
    </row>
    <row r="7">
      <c r="A7" s="12" t="inlineStr">
        <is>
          <t>MIC</t>
        </is>
      </c>
      <c r="B7" s="12" t="inlineStr">
        <is>
          <t>Digital / data consultation</t>
        </is>
      </c>
      <c r="C7" s="12" t="n">
        <v>5</v>
      </c>
      <c r="D7" s="137" t="n">
        <v>36</v>
      </c>
      <c r="E7" s="137" t="n">
        <v>34</v>
      </c>
      <c r="F7" s="137" t="inlineStr">
        <is>
          <t>APR-019</t>
        </is>
      </c>
      <c r="G7" s="137" t="n">
        <v>40</v>
      </c>
      <c r="H7" s="12" t="inlineStr">
        <is>
          <t>Technical interpretation and data mapping</t>
        </is>
      </c>
      <c r="I7" s="12" t="inlineStr">
        <is>
          <t>Maintain data-flow annex and privacy impact summary</t>
        </is>
      </c>
    </row>
    <row r="8">
      <c r="A8" s="12" t="inlineStr">
        <is>
          <t>SBV / MOF</t>
        </is>
      </c>
      <c r="B8" s="12" t="inlineStr">
        <is>
          <t>Bancassurance matters</t>
        </is>
      </c>
      <c r="C8" s="12" t="n">
        <v>7</v>
      </c>
      <c r="D8" s="137" t="n">
        <v>48</v>
      </c>
      <c r="E8" s="137" t="n">
        <v>46</v>
      </c>
      <c r="F8" s="137" t="inlineStr">
        <is>
          <t>APR-018</t>
        </is>
      </c>
      <c r="G8" s="137" t="n">
        <v>50</v>
      </c>
      <c r="H8" s="12" t="inlineStr">
        <is>
          <t>Cross-agency alignment and conduct evidence</t>
        </is>
      </c>
      <c r="I8" s="12" t="inlineStr">
        <is>
          <t>Prepare customer-protection narrative and complaint KPIs</t>
        </is>
      </c>
    </row>
    <row r="9">
      <c r="A9" s="12" t="n"/>
      <c r="B9" s="12" t="n"/>
      <c r="C9" s="12" t="n"/>
      <c r="D9" s="137" t="n"/>
      <c r="E9" s="137" t="n"/>
      <c r="F9" s="137" t="n"/>
      <c r="G9" s="137" t="n"/>
      <c r="H9" s="12" t="n"/>
      <c r="I9" s="12" t="n"/>
    </row>
    <row r="10">
      <c r="A10" s="12" t="n"/>
      <c r="B10" s="12" t="n"/>
      <c r="C10" s="12" t="n"/>
      <c r="D10" s="137" t="n"/>
      <c r="E10" s="137" t="n"/>
      <c r="F10" s="137" t="n"/>
      <c r="G10" s="137" t="n"/>
      <c r="H10" s="12" t="n"/>
      <c r="I10" s="12" t="n"/>
    </row>
    <row r="11">
      <c r="A11" s="12" t="n"/>
      <c r="B11" s="12" t="n"/>
      <c r="C11" s="12" t="n"/>
      <c r="D11" s="137" t="n"/>
      <c r="E11" s="137" t="n"/>
      <c r="F11" s="137" t="n"/>
      <c r="G11" s="137" t="n"/>
      <c r="H11" s="12" t="n"/>
      <c r="I11" s="12" t="n"/>
    </row>
    <row r="12">
      <c r="A12" s="12" t="n"/>
      <c r="B12" s="12" t="n"/>
      <c r="C12" s="12" t="n"/>
      <c r="D12" s="137" t="n"/>
      <c r="E12" s="137" t="n"/>
      <c r="F12" s="137" t="n"/>
      <c r="G12" s="137" t="n"/>
      <c r="H12" s="12" t="n"/>
      <c r="I12" s="12" t="n"/>
    </row>
    <row r="13">
      <c r="A13" s="12" t="n"/>
      <c r="B13" s="12" t="n"/>
      <c r="C13" s="12" t="n"/>
      <c r="D13" s="137" t="n"/>
      <c r="E13" s="137" t="n"/>
      <c r="F13" s="137" t="n"/>
      <c r="G13" s="137" t="n"/>
      <c r="H13" s="12" t="n"/>
      <c r="I13" s="12" t="n"/>
    </row>
    <row r="14">
      <c r="A14" s="12" t="n"/>
      <c r="B14" s="12" t="n"/>
      <c r="C14" s="12" t="n"/>
      <c r="D14" s="137" t="n"/>
      <c r="E14" s="137" t="n"/>
      <c r="F14" s="137" t="n"/>
      <c r="G14" s="137" t="n"/>
      <c r="H14" s="12" t="n"/>
      <c r="I14" s="12" t="n"/>
    </row>
    <row r="15">
      <c r="A15" s="12" t="n"/>
      <c r="B15" s="12" t="n"/>
      <c r="C15" s="12" t="n"/>
      <c r="D15" s="137" t="n"/>
      <c r="E15" s="137" t="n"/>
      <c r="F15" s="137" t="n"/>
      <c r="G15" s="137" t="n"/>
      <c r="H15" s="12" t="n"/>
      <c r="I15" s="12" t="n"/>
    </row>
    <row r="16">
      <c r="A16" s="12" t="n"/>
      <c r="B16" s="12" t="n"/>
      <c r="C16" s="12" t="n"/>
      <c r="D16" s="137" t="n"/>
      <c r="E16" s="137" t="n"/>
      <c r="F16" s="137" t="n"/>
      <c r="G16" s="137" t="n"/>
      <c r="H16" s="12" t="n"/>
      <c r="I16" s="12" t="n"/>
    </row>
    <row r="17">
      <c r="A17" s="12" t="n"/>
      <c r="B17" s="12" t="n"/>
      <c r="C17" s="12" t="n"/>
      <c r="D17" s="137" t="n"/>
      <c r="E17" s="137" t="n"/>
      <c r="F17" s="137" t="n"/>
      <c r="G17" s="137" t="n"/>
      <c r="H17" s="12" t="n"/>
      <c r="I17" s="12" t="n"/>
    </row>
    <row r="18">
      <c r="A18" s="12" t="n"/>
      <c r="B18" s="12" t="n"/>
      <c r="C18" s="12" t="n"/>
      <c r="D18" s="137" t="n"/>
      <c r="E18" s="137" t="n"/>
      <c r="F18" s="137" t="n"/>
      <c r="G18" s="137" t="n"/>
      <c r="H18" s="12" t="n"/>
      <c r="I18" s="12" t="n"/>
    </row>
    <row r="19">
      <c r="A19" s="12" t="n"/>
      <c r="B19" s="12" t="n"/>
      <c r="C19" s="12" t="n"/>
      <c r="D19" s="137" t="n"/>
      <c r="E19" s="137" t="n"/>
      <c r="F19" s="137" t="n"/>
      <c r="G19" s="137" t="n"/>
      <c r="H19" s="12" t="n"/>
      <c r="I19" s="12" t="n"/>
    </row>
    <row r="20">
      <c r="A20" s="12" t="n"/>
      <c r="B20" s="12" t="n"/>
      <c r="C20" s="12" t="n"/>
      <c r="D20" s="137" t="n"/>
      <c r="E20" s="137" t="n"/>
      <c r="F20" s="137" t="n"/>
      <c r="G20" s="137"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row r="107">
      <c r="A107" s="12" t="n"/>
      <c r="B107" s="12" t="n"/>
      <c r="C107" s="12" t="n"/>
      <c r="D107" s="12" t="n"/>
      <c r="E107" s="12" t="n"/>
      <c r="F107" s="12" t="n"/>
      <c r="G107" s="12" t="n"/>
      <c r="H107" s="12" t="n"/>
      <c r="I107" s="12" t="n"/>
    </row>
    <row r="108">
      <c r="A108" s="12" t="n"/>
      <c r="B108" s="12" t="n"/>
      <c r="C108" s="12" t="n"/>
      <c r="D108" s="12" t="n"/>
      <c r="E108" s="12" t="n"/>
      <c r="F108" s="12" t="n"/>
      <c r="G108" s="12" t="n"/>
      <c r="H108" s="12" t="n"/>
      <c r="I108" s="12" t="n"/>
    </row>
    <row r="109">
      <c r="A109" s="12" t="n"/>
      <c r="B109" s="12" t="n"/>
      <c r="C109" s="12" t="n"/>
      <c r="D109" s="12" t="n"/>
      <c r="E109" s="12" t="n"/>
      <c r="F109" s="12" t="n"/>
      <c r="G109" s="12" t="n"/>
      <c r="H109" s="12" t="n"/>
      <c r="I109" s="12" t="n"/>
    </row>
    <row r="110">
      <c r="A110" s="12" t="n"/>
      <c r="B110" s="12" t="n"/>
      <c r="C110" s="12" t="n"/>
      <c r="D110" s="12" t="n"/>
      <c r="E110" s="12" t="n"/>
      <c r="F110" s="12" t="n"/>
      <c r="G110" s="12" t="n"/>
      <c r="H110" s="12" t="n"/>
      <c r="I110" s="12" t="n"/>
    </row>
    <row r="111">
      <c r="A111" s="12" t="n"/>
      <c r="B111" s="12" t="n"/>
      <c r="C111" s="12" t="n"/>
      <c r="D111" s="12" t="n"/>
      <c r="E111" s="12" t="n"/>
      <c r="F111" s="12" t="n"/>
      <c r="G111" s="12" t="n"/>
      <c r="H111" s="12" t="n"/>
      <c r="I111" s="12" t="n"/>
    </row>
    <row r="112">
      <c r="A112" s="12" t="n"/>
      <c r="B112" s="12" t="n"/>
      <c r="C112" s="12" t="n"/>
      <c r="D112" s="12" t="n"/>
      <c r="E112" s="12" t="n"/>
      <c r="F112" s="12" t="n"/>
      <c r="G112" s="12" t="n"/>
      <c r="H112" s="12" t="n"/>
      <c r="I112" s="12" t="n"/>
    </row>
    <row r="113">
      <c r="A113" s="12" t="n"/>
      <c r="B113" s="12" t="n"/>
      <c r="C113" s="12" t="n"/>
      <c r="D113" s="12" t="n"/>
      <c r="E113" s="12" t="n"/>
      <c r="F113" s="12" t="n"/>
      <c r="G113" s="12" t="n"/>
      <c r="H113" s="12" t="n"/>
      <c r="I113" s="12" t="n"/>
    </row>
    <row r="114">
      <c r="A114" s="12" t="n"/>
      <c r="B114" s="12" t="n"/>
      <c r="C114" s="12" t="n"/>
      <c r="D114" s="12" t="n"/>
      <c r="E114" s="12" t="n"/>
      <c r="F114" s="12" t="n"/>
      <c r="G114" s="12" t="n"/>
      <c r="H114" s="12" t="n"/>
      <c r="I114" s="12" t="n"/>
    </row>
    <row r="115">
      <c r="A115" s="12" t="n"/>
      <c r="B115" s="12" t="n"/>
      <c r="C115" s="12" t="n"/>
      <c r="D115" s="12" t="n"/>
      <c r="E115" s="12" t="n"/>
      <c r="F115" s="12" t="n"/>
      <c r="G115" s="12" t="n"/>
      <c r="H115" s="12" t="n"/>
      <c r="I115" s="12" t="n"/>
    </row>
    <row r="116">
      <c r="A116" s="12" t="n"/>
      <c r="B116" s="12" t="n"/>
      <c r="C116" s="12" t="n"/>
      <c r="D116" s="12" t="n"/>
      <c r="E116" s="12" t="n"/>
      <c r="F116" s="12" t="n"/>
      <c r="G116" s="12" t="n"/>
      <c r="H116" s="12" t="n"/>
      <c r="I116" s="12" t="n"/>
    </row>
    <row r="117">
      <c r="A117" s="12" t="n"/>
      <c r="B117" s="12" t="n"/>
      <c r="C117" s="12" t="n"/>
      <c r="D117" s="12" t="n"/>
      <c r="E117" s="12" t="n"/>
      <c r="F117" s="12" t="n"/>
      <c r="G117" s="12" t="n"/>
      <c r="H117" s="12" t="n"/>
      <c r="I117" s="12" t="n"/>
    </row>
    <row r="118">
      <c r="A118" s="12" t="n"/>
      <c r="B118" s="12" t="n"/>
      <c r="C118" s="12" t="n"/>
      <c r="D118" s="12" t="n"/>
      <c r="E118" s="12" t="n"/>
      <c r="F118" s="12" t="n"/>
      <c r="G118" s="12" t="n"/>
      <c r="H118" s="12" t="n"/>
      <c r="I118" s="12" t="n"/>
    </row>
    <row r="119">
      <c r="A119" s="12" t="n"/>
      <c r="B119" s="12" t="n"/>
      <c r="C119" s="12" t="n"/>
      <c r="D119" s="12" t="n"/>
      <c r="E119" s="12" t="n"/>
      <c r="F119" s="12" t="n"/>
      <c r="G119" s="12" t="n"/>
      <c r="H119" s="12" t="n"/>
      <c r="I119" s="12" t="n"/>
    </row>
    <row r="120">
      <c r="A120" s="12" t="n"/>
      <c r="B120" s="12" t="n"/>
      <c r="C120" s="12" t="n"/>
      <c r="D120" s="12" t="n"/>
      <c r="E120" s="12" t="n"/>
      <c r="F120" s="12" t="n"/>
      <c r="G120" s="12" t="n"/>
      <c r="H120" s="12" t="n"/>
      <c r="I120" s="12" t="n"/>
    </row>
    <row r="121">
      <c r="A121" s="12" t="n"/>
      <c r="B121" s="12" t="n"/>
      <c r="C121" s="12" t="n"/>
      <c r="D121" s="12" t="n"/>
      <c r="E121" s="12" t="n"/>
      <c r="F121" s="12" t="n"/>
      <c r="G121" s="12" t="n"/>
      <c r="H121" s="12" t="n"/>
      <c r="I121" s="12" t="n"/>
    </row>
    <row r="122">
      <c r="A122" s="12" t="n"/>
      <c r="B122" s="12" t="n"/>
      <c r="C122" s="12" t="n"/>
      <c r="D122" s="12" t="n"/>
      <c r="E122" s="12" t="n"/>
      <c r="F122" s="12" t="n"/>
      <c r="G122" s="12" t="n"/>
      <c r="H122" s="12" t="n"/>
      <c r="I122" s="12" t="n"/>
    </row>
    <row r="123">
      <c r="A123" s="12" t="n"/>
      <c r="B123" s="12" t="n"/>
      <c r="C123" s="12" t="n"/>
      <c r="D123" s="12" t="n"/>
      <c r="E123" s="12" t="n"/>
      <c r="F123" s="12" t="n"/>
      <c r="G123" s="12" t="n"/>
      <c r="H123" s="12" t="n"/>
      <c r="I123" s="12" t="n"/>
    </row>
    <row r="124">
      <c r="A124" s="12" t="n"/>
      <c r="B124" s="12" t="n"/>
      <c r="C124" s="12" t="n"/>
      <c r="D124" s="12" t="n"/>
      <c r="E124" s="12" t="n"/>
      <c r="F124" s="12" t="n"/>
      <c r="G124" s="12" t="n"/>
      <c r="H124" s="12" t="n"/>
      <c r="I124" s="12" t="n"/>
    </row>
    <row r="125">
      <c r="A125" s="12" t="n"/>
      <c r="B125" s="12" t="n"/>
      <c r="C125" s="12" t="n"/>
      <c r="D125" s="12" t="n"/>
      <c r="E125" s="12" t="n"/>
      <c r="F125" s="12" t="n"/>
      <c r="G125" s="12" t="n"/>
      <c r="H125" s="12" t="n"/>
      <c r="I125" s="12" t="n"/>
    </row>
    <row r="126">
      <c r="A126" s="12" t="n"/>
      <c r="B126" s="12" t="n"/>
      <c r="C126" s="12" t="n"/>
      <c r="D126" s="12" t="n"/>
      <c r="E126" s="12" t="n"/>
      <c r="F126" s="12" t="n"/>
      <c r="G126" s="12" t="n"/>
      <c r="H126" s="12" t="n"/>
      <c r="I126" s="12" t="n"/>
    </row>
    <row r="127">
      <c r="A127" s="12" t="n"/>
      <c r="B127" s="12" t="n"/>
      <c r="C127" s="12" t="n"/>
      <c r="D127" s="12" t="n"/>
      <c r="E127" s="12" t="n"/>
      <c r="F127" s="12" t="n"/>
      <c r="G127" s="12" t="n"/>
      <c r="H127" s="12" t="n"/>
      <c r="I127" s="12" t="n"/>
    </row>
    <row r="128">
      <c r="A128" s="12" t="n"/>
      <c r="B128" s="12" t="n"/>
      <c r="C128" s="12" t="n"/>
      <c r="D128" s="12" t="n"/>
      <c r="E128" s="12" t="n"/>
      <c r="F128" s="12" t="n"/>
      <c r="G128" s="12" t="n"/>
      <c r="H128" s="12" t="n"/>
      <c r="I128" s="12" t="n"/>
    </row>
    <row r="129">
      <c r="A129" s="12" t="n"/>
      <c r="B129" s="12" t="n"/>
      <c r="C129" s="12" t="n"/>
      <c r="D129" s="12" t="n"/>
      <c r="E129" s="12" t="n"/>
      <c r="F129" s="12" t="n"/>
      <c r="G129" s="12" t="n"/>
      <c r="H129" s="12" t="n"/>
      <c r="I129" s="12" t="n"/>
    </row>
    <row r="130">
      <c r="A130" s="12" t="n"/>
      <c r="B130" s="12" t="n"/>
      <c r="C130" s="12" t="n"/>
      <c r="D130" s="12" t="n"/>
      <c r="E130" s="12" t="n"/>
      <c r="F130" s="12" t="n"/>
      <c r="G130" s="12" t="n"/>
      <c r="H130" s="12" t="n"/>
      <c r="I130" s="12" t="n"/>
    </row>
    <row r="131">
      <c r="A131" s="12" t="n"/>
      <c r="B131" s="12" t="n"/>
      <c r="C131" s="12" t="n"/>
      <c r="D131" s="12" t="n"/>
      <c r="E131" s="12" t="n"/>
      <c r="F131" s="12" t="n"/>
      <c r="G131" s="12" t="n"/>
      <c r="H131" s="12" t="n"/>
      <c r="I131" s="12" t="n"/>
    </row>
    <row r="132">
      <c r="A132" s="12" t="n"/>
      <c r="B132" s="12" t="n"/>
      <c r="C132" s="12" t="n"/>
      <c r="D132" s="12" t="n"/>
      <c r="E132" s="12" t="n"/>
      <c r="F132" s="12" t="n"/>
      <c r="G132" s="12" t="n"/>
      <c r="H132" s="12" t="n"/>
      <c r="I132" s="12" t="n"/>
    </row>
    <row r="133">
      <c r="A133" s="12" t="n"/>
      <c r="B133" s="12" t="n"/>
      <c r="C133" s="12" t="n"/>
      <c r="D133" s="12" t="n"/>
      <c r="E133" s="12" t="n"/>
      <c r="F133" s="12" t="n"/>
      <c r="G133" s="12" t="n"/>
      <c r="H133" s="12" t="n"/>
      <c r="I133" s="12" t="n"/>
    </row>
    <row r="134">
      <c r="A134" s="12" t="n"/>
      <c r="B134" s="12" t="n"/>
      <c r="C134" s="12" t="n"/>
      <c r="D134" s="12" t="n"/>
      <c r="E134" s="12" t="n"/>
      <c r="F134" s="12" t="n"/>
      <c r="G134" s="12" t="n"/>
      <c r="H134" s="12" t="n"/>
      <c r="I134" s="12" t="n"/>
    </row>
    <row r="135">
      <c r="A135" s="12" t="n"/>
      <c r="B135" s="12" t="n"/>
      <c r="C135" s="12" t="n"/>
      <c r="D135" s="12" t="n"/>
      <c r="E135" s="12" t="n"/>
      <c r="F135" s="12" t="n"/>
      <c r="G135" s="12" t="n"/>
      <c r="H135" s="12" t="n"/>
      <c r="I135" s="12" t="n"/>
    </row>
    <row r="136">
      <c r="A136" s="12" t="n"/>
      <c r="B136" s="12" t="n"/>
      <c r="C136" s="12" t="n"/>
      <c r="D136" s="12" t="n"/>
      <c r="E136" s="12" t="n"/>
      <c r="F136" s="12" t="n"/>
      <c r="G136" s="12" t="n"/>
      <c r="H136" s="12" t="n"/>
      <c r="I136" s="12" t="n"/>
    </row>
    <row r="137">
      <c r="A137" s="12" t="n"/>
      <c r="B137" s="12" t="n"/>
      <c r="C137" s="12" t="n"/>
      <c r="D137" s="12" t="n"/>
      <c r="E137" s="12" t="n"/>
      <c r="F137" s="12" t="n"/>
      <c r="G137" s="12" t="n"/>
      <c r="H137" s="12" t="n"/>
      <c r="I137" s="12" t="n"/>
    </row>
    <row r="138">
      <c r="A138" s="12" t="n"/>
      <c r="B138" s="12" t="n"/>
      <c r="C138" s="12" t="n"/>
      <c r="D138" s="12" t="n"/>
      <c r="E138" s="12" t="n"/>
      <c r="F138" s="12" t="n"/>
      <c r="G138" s="12" t="n"/>
      <c r="H138" s="12" t="n"/>
      <c r="I138" s="12" t="n"/>
    </row>
    <row r="139">
      <c r="A139" s="12" t="n"/>
      <c r="B139" s="12" t="n"/>
      <c r="C139" s="12" t="n"/>
      <c r="D139" s="12" t="n"/>
      <c r="E139" s="12" t="n"/>
      <c r="F139" s="12" t="n"/>
      <c r="G139" s="12" t="n"/>
      <c r="H139" s="12" t="n"/>
      <c r="I139" s="12" t="n"/>
    </row>
    <row r="140">
      <c r="A140" s="12" t="n"/>
      <c r="B140" s="12" t="n"/>
      <c r="C140" s="12" t="n"/>
      <c r="D140" s="12" t="n"/>
      <c r="E140" s="12" t="n"/>
      <c r="F140" s="12" t="n"/>
      <c r="G140" s="12" t="n"/>
      <c r="H140" s="12" t="n"/>
      <c r="I140" s="12" t="n"/>
    </row>
    <row r="141">
      <c r="A141" s="12" t="n"/>
      <c r="B141" s="12" t="n"/>
      <c r="C141" s="12" t="n"/>
      <c r="D141" s="12" t="n"/>
      <c r="E141" s="12" t="n"/>
      <c r="F141" s="12" t="n"/>
      <c r="G141" s="12" t="n"/>
      <c r="H141" s="12" t="n"/>
      <c r="I141" s="12" t="n"/>
    </row>
    <row r="142">
      <c r="A142" s="12" t="n"/>
      <c r="B142" s="12" t="n"/>
      <c r="C142" s="12" t="n"/>
      <c r="D142" s="12" t="n"/>
      <c r="E142" s="12" t="n"/>
      <c r="F142" s="12" t="n"/>
      <c r="G142" s="12" t="n"/>
      <c r="H142" s="12" t="n"/>
      <c r="I142" s="12" t="n"/>
    </row>
    <row r="143">
      <c r="A143" s="12" t="n"/>
      <c r="B143" s="12" t="n"/>
      <c r="C143" s="12" t="n"/>
      <c r="D143" s="12" t="n"/>
      <c r="E143" s="12" t="n"/>
      <c r="F143" s="12" t="n"/>
      <c r="G143" s="12" t="n"/>
      <c r="H143" s="12" t="n"/>
      <c r="I143" s="12" t="n"/>
    </row>
    <row r="144">
      <c r="A144" s="12" t="n"/>
      <c r="B144" s="12" t="n"/>
      <c r="C144" s="12" t="n"/>
      <c r="D144" s="12" t="n"/>
      <c r="E144" s="12" t="n"/>
      <c r="F144" s="12" t="n"/>
      <c r="G144" s="12" t="n"/>
      <c r="H144" s="12" t="n"/>
      <c r="I144" s="12" t="n"/>
    </row>
    <row r="145">
      <c r="A145" s="12" t="n"/>
      <c r="B145" s="12" t="n"/>
      <c r="C145" s="12" t="n"/>
      <c r="D145" s="12" t="n"/>
      <c r="E145" s="12" t="n"/>
      <c r="F145" s="12" t="n"/>
      <c r="G145" s="12" t="n"/>
      <c r="H145" s="12" t="n"/>
      <c r="I145" s="12" t="n"/>
    </row>
    <row r="146">
      <c r="A146" s="12" t="n"/>
      <c r="B146" s="12" t="n"/>
      <c r="C146" s="12" t="n"/>
      <c r="D146" s="12" t="n"/>
      <c r="E146" s="12" t="n"/>
      <c r="F146" s="12" t="n"/>
      <c r="G146" s="12" t="n"/>
      <c r="H146" s="12" t="n"/>
      <c r="I146" s="12" t="n"/>
    </row>
    <row r="147">
      <c r="A147" s="12" t="n"/>
      <c r="B147" s="12" t="n"/>
      <c r="C147" s="12" t="n"/>
      <c r="D147" s="12" t="n"/>
      <c r="E147" s="12" t="n"/>
      <c r="F147" s="12" t="n"/>
      <c r="G147" s="12" t="n"/>
      <c r="H147" s="12" t="n"/>
      <c r="I147" s="12" t="n"/>
    </row>
    <row r="148">
      <c r="A148" s="12" t="n"/>
      <c r="B148" s="12" t="n"/>
      <c r="C148" s="12" t="n"/>
      <c r="D148" s="12" t="n"/>
      <c r="E148" s="12" t="n"/>
      <c r="F148" s="12" t="n"/>
      <c r="G148" s="12" t="n"/>
      <c r="H148" s="12" t="n"/>
      <c r="I148" s="12" t="n"/>
    </row>
    <row r="149">
      <c r="A149" s="12" t="n"/>
      <c r="B149" s="12" t="n"/>
      <c r="C149" s="12" t="n"/>
      <c r="D149" s="12" t="n"/>
      <c r="E149" s="12" t="n"/>
      <c r="F149" s="12" t="n"/>
      <c r="G149" s="12" t="n"/>
      <c r="H149" s="12" t="n"/>
      <c r="I149" s="12" t="n"/>
    </row>
    <row r="150">
      <c r="A150" s="12" t="n"/>
      <c r="B150" s="12" t="n"/>
      <c r="C150" s="12" t="n"/>
      <c r="D150" s="12" t="n"/>
      <c r="E150" s="12" t="n"/>
      <c r="F150" s="12" t="n"/>
      <c r="G150" s="12" t="n"/>
      <c r="H150" s="12" t="n"/>
      <c r="I150" s="12" t="n"/>
    </row>
    <row r="151">
      <c r="A151" s="12" t="n"/>
      <c r="B151" s="12" t="n"/>
      <c r="C151" s="12" t="n"/>
      <c r="D151" s="12" t="n"/>
      <c r="E151" s="12" t="n"/>
      <c r="F151" s="12" t="n"/>
      <c r="G151" s="12" t="n"/>
      <c r="H151" s="12" t="n"/>
      <c r="I151" s="12" t="n"/>
    </row>
    <row r="152">
      <c r="A152" s="12" t="n"/>
      <c r="B152" s="12" t="n"/>
      <c r="C152" s="12" t="n"/>
      <c r="D152" s="12" t="n"/>
      <c r="E152" s="12" t="n"/>
      <c r="F152" s="12" t="n"/>
      <c r="G152" s="12" t="n"/>
      <c r="H152" s="12" t="n"/>
      <c r="I152" s="12" t="n"/>
    </row>
    <row r="153">
      <c r="A153" s="12" t="n"/>
      <c r="B153" s="12" t="n"/>
      <c r="C153" s="12" t="n"/>
      <c r="D153" s="12" t="n"/>
      <c r="E153" s="12" t="n"/>
      <c r="F153" s="12" t="n"/>
      <c r="G153" s="12" t="n"/>
      <c r="H153" s="12" t="n"/>
      <c r="I153" s="12" t="n"/>
    </row>
    <row r="154">
      <c r="A154" s="12" t="n"/>
      <c r="B154" s="12" t="n"/>
      <c r="C154" s="12" t="n"/>
      <c r="D154" s="12" t="n"/>
      <c r="E154" s="12" t="n"/>
      <c r="F154" s="12" t="n"/>
      <c r="G154" s="12" t="n"/>
      <c r="H154" s="12" t="n"/>
      <c r="I154" s="12" t="n"/>
    </row>
    <row r="155">
      <c r="A155" s="12" t="n"/>
      <c r="B155" s="12" t="n"/>
      <c r="C155" s="12" t="n"/>
      <c r="D155" s="12" t="n"/>
      <c r="E155" s="12" t="n"/>
      <c r="F155" s="12" t="n"/>
      <c r="G155" s="12" t="n"/>
      <c r="H155" s="12" t="n"/>
      <c r="I155" s="12" t="n"/>
    </row>
    <row r="156">
      <c r="A156" s="12" t="n"/>
      <c r="B156" s="12" t="n"/>
      <c r="C156" s="12" t="n"/>
      <c r="D156" s="12" t="n"/>
      <c r="E156" s="12" t="n"/>
      <c r="F156" s="12" t="n"/>
      <c r="G156" s="12" t="n"/>
      <c r="H156" s="12" t="n"/>
      <c r="I156" s="12" t="n"/>
    </row>
    <row r="157">
      <c r="A157" s="12" t="n"/>
      <c r="B157" s="12" t="n"/>
      <c r="C157" s="12" t="n"/>
      <c r="D157" s="12" t="n"/>
      <c r="E157" s="12" t="n"/>
      <c r="F157" s="12" t="n"/>
      <c r="G157" s="12" t="n"/>
      <c r="H157" s="12" t="n"/>
      <c r="I157" s="12" t="n"/>
    </row>
    <row r="158">
      <c r="A158" s="12" t="n"/>
      <c r="B158" s="12" t="n"/>
      <c r="C158" s="12" t="n"/>
      <c r="D158" s="12" t="n"/>
      <c r="E158" s="12" t="n"/>
      <c r="F158" s="12" t="n"/>
      <c r="G158" s="12" t="n"/>
      <c r="H158" s="12" t="n"/>
      <c r="I158" s="12" t="n"/>
    </row>
    <row r="159">
      <c r="A159" s="12" t="n"/>
      <c r="B159" s="12" t="n"/>
      <c r="C159" s="12" t="n"/>
      <c r="D159" s="12" t="n"/>
      <c r="E159" s="12" t="n"/>
      <c r="F159" s="12" t="n"/>
      <c r="G159" s="12" t="n"/>
      <c r="H159" s="12" t="n"/>
      <c r="I159" s="12" t="n"/>
    </row>
    <row r="160">
      <c r="A160" s="12" t="n"/>
      <c r="B160" s="12" t="n"/>
      <c r="C160" s="12" t="n"/>
      <c r="D160" s="12" t="n"/>
      <c r="E160" s="12" t="n"/>
      <c r="F160" s="12" t="n"/>
      <c r="G160" s="12" t="n"/>
      <c r="H160" s="12" t="n"/>
      <c r="I160" s="12" t="n"/>
    </row>
    <row r="161">
      <c r="A161" s="12" t="n"/>
      <c r="B161" s="12" t="n"/>
      <c r="C161" s="12" t="n"/>
      <c r="D161" s="12" t="n"/>
      <c r="E161" s="12" t="n"/>
      <c r="F161" s="12" t="n"/>
      <c r="G161" s="12" t="n"/>
      <c r="H161" s="12" t="n"/>
      <c r="I161" s="12" t="n"/>
    </row>
    <row r="162">
      <c r="A162" s="12" t="n"/>
      <c r="B162" s="12" t="n"/>
      <c r="C162" s="12" t="n"/>
      <c r="D162" s="12" t="n"/>
      <c r="E162" s="12" t="n"/>
      <c r="F162" s="12" t="n"/>
      <c r="G162" s="12" t="n"/>
      <c r="H162" s="12" t="n"/>
      <c r="I162" s="12" t="n"/>
    </row>
    <row r="163">
      <c r="A163" s="12" t="n"/>
      <c r="B163" s="12" t="n"/>
      <c r="C163" s="12" t="n"/>
      <c r="D163" s="12" t="n"/>
      <c r="E163" s="12" t="n"/>
      <c r="F163" s="12" t="n"/>
      <c r="G163" s="12" t="n"/>
      <c r="H163" s="12" t="n"/>
      <c r="I163" s="12" t="n"/>
    </row>
    <row r="164">
      <c r="A164" s="12" t="n"/>
      <c r="B164" s="12" t="n"/>
      <c r="C164" s="12" t="n"/>
      <c r="D164" s="12" t="n"/>
      <c r="E164" s="12" t="n"/>
      <c r="F164" s="12" t="n"/>
      <c r="G164" s="12" t="n"/>
      <c r="H164" s="12" t="n"/>
      <c r="I164" s="12" t="n"/>
    </row>
    <row r="165">
      <c r="A165" s="12" t="n"/>
      <c r="B165" s="12" t="n"/>
      <c r="C165" s="12" t="n"/>
      <c r="D165" s="12" t="n"/>
      <c r="E165" s="12" t="n"/>
      <c r="F165" s="12" t="n"/>
      <c r="G165" s="12" t="n"/>
      <c r="H165" s="12" t="n"/>
      <c r="I165" s="12" t="n"/>
    </row>
    <row r="166">
      <c r="A166" s="12" t="n"/>
      <c r="B166" s="12" t="n"/>
      <c r="C166" s="12" t="n"/>
      <c r="D166" s="12" t="n"/>
      <c r="E166" s="12" t="n"/>
      <c r="F166" s="12" t="n"/>
      <c r="G166" s="12" t="n"/>
      <c r="H166" s="12" t="n"/>
      <c r="I166" s="12" t="n"/>
    </row>
    <row r="167">
      <c r="A167" s="12" t="n"/>
      <c r="B167" s="12" t="n"/>
      <c r="C167" s="12" t="n"/>
      <c r="D167" s="12" t="n"/>
      <c r="E167" s="12" t="n"/>
      <c r="F167" s="12" t="n"/>
      <c r="G167" s="12" t="n"/>
      <c r="H167" s="12" t="n"/>
      <c r="I167" s="12" t="n"/>
    </row>
    <row r="168">
      <c r="A168" s="12" t="n"/>
      <c r="B168" s="12" t="n"/>
      <c r="C168" s="12" t="n"/>
      <c r="D168" s="12" t="n"/>
      <c r="E168" s="12" t="n"/>
      <c r="F168" s="12" t="n"/>
      <c r="G168" s="12" t="n"/>
      <c r="H168" s="12" t="n"/>
      <c r="I168" s="12" t="n"/>
    </row>
    <row r="169">
      <c r="A169" s="12" t="n"/>
      <c r="B169" s="12" t="n"/>
      <c r="C169" s="12" t="n"/>
      <c r="D169" s="12" t="n"/>
      <c r="E169" s="12" t="n"/>
      <c r="F169" s="12" t="n"/>
      <c r="G169" s="12" t="n"/>
      <c r="H169" s="12" t="n"/>
      <c r="I169" s="12" t="n"/>
    </row>
    <row r="170">
      <c r="A170" s="12" t="n"/>
      <c r="B170" s="12" t="n"/>
      <c r="C170" s="12" t="n"/>
      <c r="D170" s="12" t="n"/>
      <c r="E170" s="12" t="n"/>
      <c r="F170" s="12" t="n"/>
      <c r="G170" s="12" t="n"/>
      <c r="H170" s="12" t="n"/>
      <c r="I170" s="12" t="n"/>
    </row>
    <row r="171">
      <c r="A171" s="12" t="n"/>
      <c r="B171" s="12" t="n"/>
      <c r="C171" s="12" t="n"/>
      <c r="D171" s="12" t="n"/>
      <c r="E171" s="12" t="n"/>
      <c r="F171" s="12" t="n"/>
      <c r="G171" s="12" t="n"/>
      <c r="H171" s="12" t="n"/>
      <c r="I171" s="12" t="n"/>
    </row>
    <row r="172">
      <c r="A172" s="12" t="n"/>
      <c r="B172" s="12" t="n"/>
      <c r="C172" s="12" t="n"/>
      <c r="D172" s="12" t="n"/>
      <c r="E172" s="12" t="n"/>
      <c r="F172" s="12" t="n"/>
      <c r="G172" s="12" t="n"/>
      <c r="H172" s="12" t="n"/>
      <c r="I172" s="12" t="n"/>
    </row>
    <row r="173">
      <c r="A173" s="12" t="n"/>
      <c r="B173" s="12" t="n"/>
      <c r="C173" s="12" t="n"/>
      <c r="D173" s="12" t="n"/>
      <c r="E173" s="12" t="n"/>
      <c r="F173" s="12" t="n"/>
      <c r="G173" s="12" t="n"/>
      <c r="H173" s="12" t="n"/>
      <c r="I173" s="12" t="n"/>
    </row>
    <row r="174">
      <c r="A174" s="12" t="n"/>
      <c r="B174" s="12" t="n"/>
      <c r="C174" s="12" t="n"/>
      <c r="D174" s="12" t="n"/>
      <c r="E174" s="12" t="n"/>
      <c r="F174" s="12" t="n"/>
      <c r="G174" s="12" t="n"/>
      <c r="H174" s="12" t="n"/>
      <c r="I174" s="12" t="n"/>
    </row>
    <row r="175">
      <c r="A175" s="12" t="n"/>
      <c r="B175" s="12" t="n"/>
      <c r="C175" s="12" t="n"/>
      <c r="D175" s="12" t="n"/>
      <c r="E175" s="12" t="n"/>
      <c r="F175" s="12" t="n"/>
      <c r="G175" s="12" t="n"/>
      <c r="H175" s="12" t="n"/>
      <c r="I175" s="12" t="n"/>
    </row>
    <row r="176">
      <c r="A176" s="12" t="n"/>
      <c r="B176" s="12" t="n"/>
      <c r="C176" s="12" t="n"/>
      <c r="D176" s="12" t="n"/>
      <c r="E176" s="12" t="n"/>
      <c r="F176" s="12" t="n"/>
      <c r="G176" s="12" t="n"/>
      <c r="H176" s="12" t="n"/>
      <c r="I176" s="12" t="n"/>
    </row>
    <row r="177">
      <c r="A177" s="12" t="n"/>
      <c r="B177" s="12" t="n"/>
      <c r="C177" s="12" t="n"/>
      <c r="D177" s="12" t="n"/>
      <c r="E177" s="12" t="n"/>
      <c r="F177" s="12" t="n"/>
      <c r="G177" s="12" t="n"/>
      <c r="H177" s="12" t="n"/>
      <c r="I177" s="12" t="n"/>
    </row>
    <row r="178">
      <c r="A178" s="12" t="n"/>
      <c r="B178" s="12" t="n"/>
      <c r="C178" s="12" t="n"/>
      <c r="D178" s="12" t="n"/>
      <c r="E178" s="12" t="n"/>
      <c r="F178" s="12" t="n"/>
      <c r="G178" s="12" t="n"/>
      <c r="H178" s="12" t="n"/>
      <c r="I178" s="12" t="n"/>
    </row>
    <row r="179">
      <c r="A179" s="12" t="n"/>
      <c r="B179" s="12" t="n"/>
      <c r="C179" s="12" t="n"/>
      <c r="D179" s="12" t="n"/>
      <c r="E179" s="12" t="n"/>
      <c r="F179" s="12" t="n"/>
      <c r="G179" s="12" t="n"/>
      <c r="H179" s="12" t="n"/>
      <c r="I179" s="12" t="n"/>
    </row>
    <row r="180">
      <c r="A180" s="12" t="n"/>
      <c r="B180" s="12" t="n"/>
      <c r="C180" s="12" t="n"/>
      <c r="D180" s="12" t="n"/>
      <c r="E180" s="12" t="n"/>
      <c r="F180" s="12" t="n"/>
      <c r="G180" s="12" t="n"/>
      <c r="H180" s="12" t="n"/>
      <c r="I180" s="12" t="n"/>
    </row>
    <row r="181">
      <c r="A181" s="12" t="n"/>
      <c r="B181" s="12" t="n"/>
      <c r="C181" s="12" t="n"/>
      <c r="D181" s="12" t="n"/>
      <c r="E181" s="12" t="n"/>
      <c r="F181" s="12" t="n"/>
      <c r="G181" s="12" t="n"/>
      <c r="H181" s="12" t="n"/>
      <c r="I181" s="12" t="n"/>
    </row>
    <row r="182">
      <c r="A182" s="12" t="n"/>
      <c r="B182" s="12" t="n"/>
      <c r="C182" s="12" t="n"/>
      <c r="D182" s="12" t="n"/>
      <c r="E182" s="12" t="n"/>
      <c r="F182" s="12" t="n"/>
      <c r="G182" s="12" t="n"/>
      <c r="H182" s="12" t="n"/>
      <c r="I182" s="12" t="n"/>
    </row>
    <row r="183">
      <c r="A183" s="12" t="n"/>
      <c r="B183" s="12" t="n"/>
      <c r="C183" s="12" t="n"/>
      <c r="D183" s="12" t="n"/>
      <c r="E183" s="12" t="n"/>
      <c r="F183" s="12" t="n"/>
      <c r="G183" s="12" t="n"/>
      <c r="H183" s="12" t="n"/>
      <c r="I183" s="12" t="n"/>
    </row>
    <row r="184">
      <c r="A184" s="12" t="n"/>
      <c r="B184" s="12" t="n"/>
      <c r="C184" s="12" t="n"/>
      <c r="D184" s="12" t="n"/>
      <c r="E184" s="12" t="n"/>
      <c r="F184" s="12" t="n"/>
      <c r="G184" s="12" t="n"/>
      <c r="H184" s="12" t="n"/>
      <c r="I184" s="12" t="n"/>
    </row>
    <row r="185">
      <c r="A185" s="12" t="n"/>
      <c r="B185" s="12" t="n"/>
      <c r="C185" s="12" t="n"/>
      <c r="D185" s="12" t="n"/>
      <c r="E185" s="12" t="n"/>
      <c r="F185" s="12" t="n"/>
      <c r="G185" s="12" t="n"/>
      <c r="H185" s="12" t="n"/>
      <c r="I185" s="12" t="n"/>
    </row>
    <row r="186">
      <c r="A186" s="12" t="n"/>
      <c r="B186" s="12" t="n"/>
      <c r="C186" s="12" t="n"/>
      <c r="D186" s="12" t="n"/>
      <c r="E186" s="12" t="n"/>
      <c r="F186" s="12" t="n"/>
      <c r="G186" s="12" t="n"/>
      <c r="H186" s="12" t="n"/>
      <c r="I186" s="12" t="n"/>
    </row>
    <row r="187">
      <c r="A187" s="12" t="n"/>
      <c r="B187" s="12" t="n"/>
      <c r="C187" s="12" t="n"/>
      <c r="D187" s="12" t="n"/>
      <c r="E187" s="12" t="n"/>
      <c r="F187" s="12" t="n"/>
      <c r="G187" s="12" t="n"/>
      <c r="H187" s="12" t="n"/>
      <c r="I187" s="12" t="n"/>
    </row>
    <row r="188">
      <c r="A188" s="12" t="n"/>
      <c r="B188" s="12" t="n"/>
      <c r="C188" s="12" t="n"/>
      <c r="D188" s="12" t="n"/>
      <c r="E188" s="12" t="n"/>
      <c r="F188" s="12" t="n"/>
      <c r="G188" s="12" t="n"/>
      <c r="H188" s="12" t="n"/>
      <c r="I188" s="12" t="n"/>
    </row>
    <row r="189">
      <c r="A189" s="12" t="n"/>
      <c r="B189" s="12" t="n"/>
      <c r="C189" s="12" t="n"/>
      <c r="D189" s="12" t="n"/>
      <c r="E189" s="12" t="n"/>
      <c r="F189" s="12" t="n"/>
      <c r="G189" s="12" t="n"/>
      <c r="H189" s="12" t="n"/>
      <c r="I189" s="12" t="n"/>
    </row>
    <row r="190">
      <c r="A190" s="12" t="n"/>
      <c r="B190" s="12" t="n"/>
      <c r="C190" s="12" t="n"/>
      <c r="D190" s="12" t="n"/>
      <c r="E190" s="12" t="n"/>
      <c r="F190" s="12" t="n"/>
      <c r="G190" s="12" t="n"/>
      <c r="H190" s="12" t="n"/>
      <c r="I190" s="12" t="n"/>
    </row>
    <row r="191">
      <c r="A191" s="12" t="n"/>
      <c r="B191" s="12" t="n"/>
      <c r="C191" s="12" t="n"/>
      <c r="D191" s="12" t="n"/>
      <c r="E191" s="12" t="n"/>
      <c r="F191" s="12" t="n"/>
      <c r="G191" s="12" t="n"/>
      <c r="H191" s="12" t="n"/>
      <c r="I191" s="12" t="n"/>
    </row>
    <row r="192">
      <c r="A192" s="12" t="n"/>
      <c r="B192" s="12" t="n"/>
      <c r="C192" s="12" t="n"/>
      <c r="D192" s="12" t="n"/>
      <c r="E192" s="12" t="n"/>
      <c r="F192" s="12" t="n"/>
      <c r="G192" s="12" t="n"/>
      <c r="H192" s="12" t="n"/>
      <c r="I192" s="12" t="n"/>
    </row>
    <row r="193">
      <c r="A193" s="12" t="n"/>
      <c r="B193" s="12" t="n"/>
      <c r="C193" s="12" t="n"/>
      <c r="D193" s="12" t="n"/>
      <c r="E193" s="12" t="n"/>
      <c r="F193" s="12" t="n"/>
      <c r="G193" s="12" t="n"/>
      <c r="H193" s="12" t="n"/>
      <c r="I193" s="12" t="n"/>
    </row>
    <row r="194">
      <c r="A194" s="12" t="n"/>
      <c r="B194" s="12" t="n"/>
      <c r="C194" s="12" t="n"/>
      <c r="D194" s="12" t="n"/>
      <c r="E194" s="12" t="n"/>
      <c r="F194" s="12" t="n"/>
      <c r="G194" s="12" t="n"/>
      <c r="H194" s="12" t="n"/>
      <c r="I194" s="12" t="n"/>
    </row>
    <row r="195">
      <c r="A195" s="12" t="n"/>
      <c r="B195" s="12" t="n"/>
      <c r="C195" s="12" t="n"/>
      <c r="D195" s="12" t="n"/>
      <c r="E195" s="12" t="n"/>
      <c r="F195" s="12" t="n"/>
      <c r="G195" s="12" t="n"/>
      <c r="H195" s="12" t="n"/>
      <c r="I195" s="12" t="n"/>
    </row>
    <row r="196">
      <c r="A196" s="12" t="n"/>
      <c r="B196" s="12" t="n"/>
      <c r="C196" s="12" t="n"/>
      <c r="D196" s="12" t="n"/>
      <c r="E196" s="12" t="n"/>
      <c r="F196" s="12" t="n"/>
      <c r="G196" s="12" t="n"/>
      <c r="H196" s="12" t="n"/>
      <c r="I196" s="12" t="n"/>
    </row>
    <row r="197">
      <c r="A197" s="12" t="n"/>
      <c r="B197" s="12" t="n"/>
      <c r="C197" s="12" t="n"/>
      <c r="D197" s="12" t="n"/>
      <c r="E197" s="12" t="n"/>
      <c r="F197" s="12" t="n"/>
      <c r="G197" s="12" t="n"/>
      <c r="H197" s="12" t="n"/>
      <c r="I197" s="12" t="n"/>
    </row>
    <row r="198">
      <c r="A198" s="12" t="n"/>
      <c r="B198" s="12" t="n"/>
      <c r="C198" s="12" t="n"/>
      <c r="D198" s="12" t="n"/>
      <c r="E198" s="12" t="n"/>
      <c r="F198" s="12" t="n"/>
      <c r="G198" s="12" t="n"/>
      <c r="H198" s="12" t="n"/>
      <c r="I198" s="12" t="n"/>
    </row>
    <row r="199">
      <c r="A199" s="12" t="n"/>
      <c r="B199" s="12" t="n"/>
      <c r="C199" s="12" t="n"/>
      <c r="D199" s="12" t="n"/>
      <c r="E199" s="12" t="n"/>
      <c r="F199" s="12" t="n"/>
      <c r="G199" s="12" t="n"/>
      <c r="H199" s="12" t="n"/>
      <c r="I199" s="12" t="n"/>
    </row>
    <row r="200">
      <c r="A200" s="12" t="n"/>
      <c r="B200" s="12" t="n"/>
      <c r="C200" s="12" t="n"/>
      <c r="D200" s="12" t="n"/>
      <c r="E200" s="12" t="n"/>
      <c r="F200" s="12" t="n"/>
      <c r="G200" s="12" t="n"/>
      <c r="H200" s="12" t="n"/>
      <c r="I200" s="12" t="n"/>
    </row>
  </sheetData>
  <mergeCells count="1">
    <mergeCell ref="A1:I1"/>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24.22999954223633" customWidth="1" style="44" min="1" max="1"/>
    <col width="30.28000068664551" customWidth="1" style="44" min="2" max="2"/>
    <col width="7.670000076293945" customWidth="1" style="44" min="3" max="3"/>
    <col width="8.880000114440918" customWidth="1" style="44" min="4" max="4"/>
    <col width="5.920000076293945" customWidth="1" style="44" min="5" max="5"/>
    <col width="11.71000003814697" customWidth="1" style="44" min="6" max="6"/>
    <col width="53.84000015258789" customWidth="1" style="44" min="7" max="7"/>
    <col width="16.29000091552734" customWidth="1" style="44" min="8" max="8"/>
  </cols>
  <sheetData>
    <row r="1" ht="28" customHeight="1" s="44">
      <c r="A1" s="136" t="inlineStr">
        <is>
          <t>Public Affairs Scorecard</t>
        </is>
      </c>
      <c r="B1" s="1" t="n"/>
      <c r="C1" s="1" t="n"/>
      <c r="D1" s="1" t="n"/>
      <c r="E1" s="1" t="n"/>
      <c r="F1" s="1" t="n"/>
      <c r="G1" s="1" t="n"/>
      <c r="H1" s="1" t="n"/>
    </row>
    <row r="2">
      <c r="A2" s="12" t="n"/>
      <c r="B2" s="12" t="n"/>
      <c r="C2" s="12" t="n"/>
      <c r="D2" s="12" t="n"/>
      <c r="E2" s="12" t="n"/>
      <c r="F2" s="12" t="n"/>
      <c r="G2" s="12" t="n"/>
      <c r="H2" s="12" t="n"/>
    </row>
    <row r="3">
      <c r="A3" s="69" t="inlineStr">
        <is>
          <t>KPI Area</t>
        </is>
      </c>
      <c r="B3" s="69" t="inlineStr">
        <is>
          <t>Metric</t>
        </is>
      </c>
      <c r="C3" s="69" t="inlineStr">
        <is>
          <t>Target</t>
        </is>
      </c>
      <c r="D3" s="69" t="inlineStr">
        <is>
          <t>Current</t>
        </is>
      </c>
      <c r="E3" s="69" t="inlineStr">
        <is>
          <t>Gap</t>
        </is>
      </c>
      <c r="F3" s="69" t="inlineStr">
        <is>
          <t>RAG Status</t>
        </is>
      </c>
      <c r="G3" s="69" t="inlineStr">
        <is>
          <t>Interpretation</t>
        </is>
      </c>
      <c r="H3" s="69" t="inlineStr">
        <is>
          <t>Owner</t>
        </is>
      </c>
    </row>
    <row r="4">
      <c r="A4" s="12" t="inlineStr">
        <is>
          <t>Regulatory Reporting</t>
        </is>
      </c>
      <c r="B4" s="12" t="inlineStr">
        <is>
          <t>On-time submission rate</t>
        </is>
      </c>
      <c r="C4" s="138" t="n">
        <v>0.98</v>
      </c>
      <c r="D4" s="138" t="n">
        <v>0.92</v>
      </c>
      <c r="E4" s="138" t="n">
        <v>0.06</v>
      </c>
      <c r="F4" s="12" t="inlineStr">
        <is>
          <t>Amber</t>
        </is>
      </c>
      <c r="G4" s="12" t="inlineStr">
        <is>
          <t>Operational discipline is improving but not yet target level</t>
        </is>
      </c>
      <c r="H4" s="12" t="inlineStr">
        <is>
          <t>Public Affairs</t>
        </is>
      </c>
    </row>
    <row r="5">
      <c r="A5" s="12" t="inlineStr">
        <is>
          <t>Document Control</t>
        </is>
      </c>
      <c r="B5" s="12" t="inlineStr">
        <is>
          <t>Documents ready before deadline</t>
        </is>
      </c>
      <c r="C5" s="138" t="n">
        <v>0.95</v>
      </c>
      <c r="D5" s="138" t="n">
        <v>0.78</v>
      </c>
      <c r="E5" s="138" t="n">
        <v>0.17</v>
      </c>
      <c r="F5" s="12" t="inlineStr">
        <is>
          <t>Red</t>
        </is>
      </c>
      <c r="G5" s="12" t="inlineStr">
        <is>
          <t>Document quality checklist should be enforced earlier</t>
        </is>
      </c>
      <c r="H5" s="12" t="inlineStr">
        <is>
          <t>Public Affairs + Legal</t>
        </is>
      </c>
    </row>
    <row r="6">
      <c r="A6" s="12" t="inlineStr">
        <is>
          <t>Regulator Relationship</t>
        </is>
      </c>
      <c r="B6" s="12" t="inlineStr">
        <is>
          <t>Average relationship strength</t>
        </is>
      </c>
      <c r="C6" s="138" t="n">
        <v>4</v>
      </c>
      <c r="D6" s="138" t="n">
        <v>3.33</v>
      </c>
      <c r="E6" s="138" t="n">
        <v>0.67</v>
      </c>
      <c r="F6" s="12" t="inlineStr">
        <is>
          <t>Amber</t>
        </is>
      </c>
      <c r="G6" s="12" t="inlineStr">
        <is>
          <t>MOF/IAV strong; MIC and ISA require further technical engagement</t>
        </is>
      </c>
      <c r="H6" s="12" t="inlineStr">
        <is>
          <t>Head of PA</t>
        </is>
      </c>
    </row>
    <row r="7">
      <c r="A7" s="12" t="inlineStr">
        <is>
          <t>Policy Intelligence</t>
        </is>
      </c>
      <c r="B7" s="12" t="inlineStr">
        <is>
          <t>High-risk policy items with action plan</t>
        </is>
      </c>
      <c r="C7" s="138" t="n">
        <v>1</v>
      </c>
      <c r="D7" s="138" t="n">
        <v>0.9</v>
      </c>
      <c r="E7" s="138" t="n">
        <v>0.1</v>
      </c>
      <c r="F7" s="12" t="inlineStr">
        <is>
          <t>Amber</t>
        </is>
      </c>
      <c r="G7" s="12" t="inlineStr">
        <is>
          <t>Most risks have actions, but owners should be confirmed</t>
        </is>
      </c>
      <c r="H7" s="12" t="inlineStr">
        <is>
          <t>Public Affairs</t>
        </is>
      </c>
    </row>
    <row r="8">
      <c r="A8" s="12" t="inlineStr">
        <is>
          <t>Approval Management</t>
        </is>
      </c>
      <c r="B8" s="12" t="inlineStr">
        <is>
          <t>Approvals closed within target SLA</t>
        </is>
      </c>
      <c r="C8" s="138" t="n">
        <v>0.9</v>
      </c>
      <c r="D8" s="138" t="n">
        <v>0.72</v>
      </c>
      <c r="E8" s="138" t="n">
        <v>0.18</v>
      </c>
      <c r="F8" s="12" t="inlineStr">
        <is>
          <t>Red</t>
        </is>
      </c>
      <c r="G8" s="12" t="inlineStr">
        <is>
          <t>Internal review and Q&amp;A response are main bottlenecks</t>
        </is>
      </c>
      <c r="H8" s="12" t="inlineStr">
        <is>
          <t>Product + Legal</t>
        </is>
      </c>
    </row>
    <row r="9">
      <c r="A9" s="12" t="inlineStr">
        <is>
          <t>Regional Reporting</t>
        </is>
      </c>
      <c r="B9" s="12" t="inlineStr">
        <is>
          <t>Regional reports issued on schedule</t>
        </is>
      </c>
      <c r="C9" s="138" t="n">
        <v>1</v>
      </c>
      <c r="D9" s="138" t="n">
        <v>1</v>
      </c>
      <c r="E9" s="138" t="n">
        <v>0</v>
      </c>
      <c r="F9" s="12" t="inlineStr">
        <is>
          <t>Green</t>
        </is>
      </c>
      <c r="G9" s="12" t="inlineStr">
        <is>
          <t>Reporting discipline meets expectation</t>
        </is>
      </c>
      <c r="H9" s="12" t="inlineStr">
        <is>
          <t>Public Affairs</t>
        </is>
      </c>
    </row>
    <row r="10">
      <c r="A10" s="12" t="inlineStr">
        <is>
          <t>Translation Support</t>
        </is>
      </c>
      <c r="B10" s="12" t="inlineStr">
        <is>
          <t>Translation tasks on-time</t>
        </is>
      </c>
      <c r="C10" s="138" t="n">
        <v>0.95</v>
      </c>
      <c r="D10" s="138" t="n">
        <v>0.85</v>
      </c>
      <c r="E10" s="138" t="n">
        <v>0.1</v>
      </c>
      <c r="F10" s="12" t="inlineStr">
        <is>
          <t>Amber</t>
        </is>
      </c>
      <c r="G10" s="12" t="inlineStr">
        <is>
          <t>Track SLA for Regional Office documents</t>
        </is>
      </c>
      <c r="H10" s="12" t="inlineStr">
        <is>
          <t>Public Affairs</t>
        </is>
      </c>
    </row>
    <row r="11">
      <c r="A11" s="12" t="n"/>
      <c r="B11" s="12" t="n"/>
      <c r="C11" s="138" t="n"/>
      <c r="D11" s="138" t="n"/>
      <c r="E11" s="138" t="n"/>
      <c r="F11" s="12" t="n"/>
      <c r="G11" s="12" t="n"/>
      <c r="H11" s="12" t="n"/>
    </row>
    <row r="12">
      <c r="A12" s="12" t="n"/>
      <c r="B12" s="12" t="n"/>
      <c r="C12" s="138" t="n"/>
      <c r="D12" s="138" t="n"/>
      <c r="E12" s="138" t="n"/>
      <c r="F12" s="12" t="n"/>
      <c r="G12" s="12" t="n"/>
      <c r="H12" s="12" t="n"/>
    </row>
    <row r="13">
      <c r="A13" s="12" t="n"/>
      <c r="B13" s="12" t="n"/>
      <c r="C13" s="138" t="n"/>
      <c r="D13" s="138" t="n"/>
      <c r="E13" s="138" t="n"/>
      <c r="F13" s="12" t="n"/>
      <c r="G13" s="12" t="n"/>
      <c r="H13" s="12" t="n"/>
    </row>
    <row r="14">
      <c r="A14" s="12" t="n"/>
      <c r="B14" s="12" t="n"/>
      <c r="C14" s="138" t="n"/>
      <c r="D14" s="138" t="n"/>
      <c r="E14" s="138" t="n"/>
      <c r="F14" s="12" t="n"/>
      <c r="G14" s="12" t="n"/>
      <c r="H14" s="12" t="n"/>
    </row>
    <row r="15">
      <c r="A15" s="12" t="n"/>
      <c r="B15" s="12" t="n"/>
      <c r="C15" s="138" t="n"/>
      <c r="D15" s="138" t="n"/>
      <c r="E15" s="138" t="n"/>
      <c r="F15" s="12" t="n"/>
      <c r="G15" s="12" t="n"/>
      <c r="H15" s="12" t="n"/>
    </row>
    <row r="16">
      <c r="A16" s="12" t="n"/>
      <c r="B16" s="12" t="n"/>
      <c r="C16" s="138" t="n"/>
      <c r="D16" s="138" t="n"/>
      <c r="E16" s="138" t="n"/>
      <c r="F16" s="12" t="n"/>
      <c r="G16" s="12" t="n"/>
      <c r="H16" s="12" t="n"/>
    </row>
    <row r="17">
      <c r="A17" s="12" t="n"/>
      <c r="B17" s="12" t="n"/>
      <c r="C17" s="138" t="n"/>
      <c r="D17" s="138" t="n"/>
      <c r="E17" s="138" t="n"/>
      <c r="F17" s="12" t="n"/>
      <c r="G17" s="12" t="n"/>
      <c r="H17" s="12" t="n"/>
    </row>
    <row r="18">
      <c r="A18" s="12" t="n"/>
      <c r="B18" s="12" t="n"/>
      <c r="C18" s="138" t="n"/>
      <c r="D18" s="138" t="n"/>
      <c r="E18" s="138" t="n"/>
      <c r="F18" s="12" t="n"/>
      <c r="G18" s="12" t="n"/>
      <c r="H18" s="12" t="n"/>
    </row>
    <row r="19">
      <c r="A19" s="12" t="n"/>
      <c r="B19" s="12" t="n"/>
      <c r="C19" s="138" t="n"/>
      <c r="D19" s="138" t="n"/>
      <c r="E19" s="138" t="n"/>
      <c r="F19" s="12" t="n"/>
      <c r="G19" s="12" t="n"/>
      <c r="H19" s="12" t="n"/>
    </row>
    <row r="20">
      <c r="A20" s="12" t="n"/>
      <c r="B20" s="12" t="n"/>
      <c r="C20" s="138" t="n"/>
      <c r="D20" s="138" t="n"/>
      <c r="E20" s="138"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row r="36">
      <c r="A36" s="12" t="n"/>
      <c r="B36" s="12" t="n"/>
      <c r="C36" s="12" t="n"/>
      <c r="D36" s="12" t="n"/>
      <c r="E36" s="12" t="n"/>
      <c r="F36" s="12" t="n"/>
      <c r="G36" s="12" t="n"/>
      <c r="H36" s="12" t="n"/>
    </row>
    <row r="37">
      <c r="A37" s="12" t="n"/>
      <c r="B37" s="12" t="n"/>
      <c r="C37" s="12" t="n"/>
      <c r="D37" s="12" t="n"/>
      <c r="E37" s="12" t="n"/>
      <c r="F37" s="12" t="n"/>
      <c r="G37" s="12" t="n"/>
      <c r="H37" s="12" t="n"/>
    </row>
    <row r="38">
      <c r="A38" s="12" t="n"/>
      <c r="B38" s="12" t="n"/>
      <c r="C38" s="12" t="n"/>
      <c r="D38" s="12" t="n"/>
      <c r="E38" s="12" t="n"/>
      <c r="F38" s="12" t="n"/>
      <c r="G38" s="12" t="n"/>
      <c r="H38" s="12" t="n"/>
    </row>
    <row r="39">
      <c r="A39" s="12" t="n"/>
      <c r="B39" s="12" t="n"/>
      <c r="C39" s="12" t="n"/>
      <c r="D39" s="12" t="n"/>
      <c r="E39" s="12" t="n"/>
      <c r="F39" s="12" t="n"/>
      <c r="G39" s="12" t="n"/>
      <c r="H39" s="12" t="n"/>
    </row>
    <row r="40">
      <c r="A40" s="12" t="n"/>
      <c r="B40" s="12" t="n"/>
      <c r="C40" s="12" t="n"/>
      <c r="D40" s="12" t="n"/>
      <c r="E40" s="12" t="n"/>
      <c r="F40" s="12" t="n"/>
      <c r="G40" s="12" t="n"/>
      <c r="H40" s="12" t="n"/>
    </row>
    <row r="41">
      <c r="A41" s="12" t="n"/>
      <c r="B41" s="12" t="n"/>
      <c r="C41" s="12" t="n"/>
      <c r="D41" s="12" t="n"/>
      <c r="E41" s="12" t="n"/>
      <c r="F41" s="12" t="n"/>
      <c r="G41" s="12" t="n"/>
      <c r="H41" s="12" t="n"/>
    </row>
    <row r="42">
      <c r="A42" s="12" t="n"/>
      <c r="B42" s="12" t="n"/>
      <c r="C42" s="12" t="n"/>
      <c r="D42" s="12" t="n"/>
      <c r="E42" s="12" t="n"/>
      <c r="F42" s="12" t="n"/>
      <c r="G42" s="12" t="n"/>
      <c r="H42" s="12" t="n"/>
    </row>
    <row r="43">
      <c r="A43" s="12" t="n"/>
      <c r="B43" s="12" t="n"/>
      <c r="C43" s="12" t="n"/>
      <c r="D43" s="12" t="n"/>
      <c r="E43" s="12" t="n"/>
      <c r="F43" s="12" t="n"/>
      <c r="G43" s="12" t="n"/>
      <c r="H43" s="12" t="n"/>
    </row>
    <row r="44">
      <c r="A44" s="12" t="n"/>
      <c r="B44" s="12" t="n"/>
      <c r="C44" s="12" t="n"/>
      <c r="D44" s="12" t="n"/>
      <c r="E44" s="12" t="n"/>
      <c r="F44" s="12" t="n"/>
      <c r="G44" s="12" t="n"/>
      <c r="H44" s="12" t="n"/>
    </row>
    <row r="45">
      <c r="A45" s="12" t="n"/>
      <c r="B45" s="12" t="n"/>
      <c r="C45" s="12" t="n"/>
      <c r="D45" s="12" t="n"/>
      <c r="E45" s="12" t="n"/>
      <c r="F45" s="12" t="n"/>
      <c r="G45" s="12" t="n"/>
      <c r="H45" s="12" t="n"/>
    </row>
    <row r="46">
      <c r="A46" s="12" t="n"/>
      <c r="B46" s="12" t="n"/>
      <c r="C46" s="12" t="n"/>
      <c r="D46" s="12" t="n"/>
      <c r="E46" s="12" t="n"/>
      <c r="F46" s="12" t="n"/>
      <c r="G46" s="12" t="n"/>
      <c r="H46" s="12" t="n"/>
    </row>
    <row r="47">
      <c r="A47" s="12" t="n"/>
      <c r="B47" s="12" t="n"/>
      <c r="C47" s="12" t="n"/>
      <c r="D47" s="12" t="n"/>
      <c r="E47" s="12" t="n"/>
      <c r="F47" s="12" t="n"/>
      <c r="G47" s="12" t="n"/>
      <c r="H47" s="12" t="n"/>
    </row>
    <row r="48">
      <c r="A48" s="12" t="n"/>
      <c r="B48" s="12" t="n"/>
      <c r="C48" s="12" t="n"/>
      <c r="D48" s="12" t="n"/>
      <c r="E48" s="12" t="n"/>
      <c r="F48" s="12" t="n"/>
      <c r="G48" s="12" t="n"/>
      <c r="H48" s="12" t="n"/>
    </row>
    <row r="49">
      <c r="A49" s="12" t="n"/>
      <c r="B49" s="12" t="n"/>
      <c r="C49" s="12" t="n"/>
      <c r="D49" s="12" t="n"/>
      <c r="E49" s="12" t="n"/>
      <c r="F49" s="12" t="n"/>
      <c r="G49" s="12" t="n"/>
      <c r="H49" s="12" t="n"/>
    </row>
    <row r="50">
      <c r="A50" s="12" t="n"/>
      <c r="B50" s="12" t="n"/>
      <c r="C50" s="12" t="n"/>
      <c r="D50" s="12" t="n"/>
      <c r="E50" s="12" t="n"/>
      <c r="F50" s="12" t="n"/>
      <c r="G50" s="12" t="n"/>
      <c r="H50" s="12" t="n"/>
    </row>
    <row r="51">
      <c r="A51" s="12" t="n"/>
      <c r="B51" s="12" t="n"/>
      <c r="C51" s="12" t="n"/>
      <c r="D51" s="12" t="n"/>
      <c r="E51" s="12" t="n"/>
      <c r="F51" s="12" t="n"/>
      <c r="G51" s="12" t="n"/>
      <c r="H51" s="12" t="n"/>
    </row>
    <row r="52">
      <c r="A52" s="12" t="n"/>
      <c r="B52" s="12" t="n"/>
      <c r="C52" s="12" t="n"/>
      <c r="D52" s="12" t="n"/>
      <c r="E52" s="12" t="n"/>
      <c r="F52" s="12" t="n"/>
      <c r="G52" s="12" t="n"/>
      <c r="H52" s="12" t="n"/>
    </row>
    <row r="53">
      <c r="A53" s="12" t="n"/>
      <c r="B53" s="12" t="n"/>
      <c r="C53" s="12" t="n"/>
      <c r="D53" s="12" t="n"/>
      <c r="E53" s="12" t="n"/>
      <c r="F53" s="12" t="n"/>
      <c r="G53" s="12" t="n"/>
      <c r="H53" s="12" t="n"/>
    </row>
    <row r="54">
      <c r="A54" s="12" t="n"/>
      <c r="B54" s="12" t="n"/>
      <c r="C54" s="12" t="n"/>
      <c r="D54" s="12" t="n"/>
      <c r="E54" s="12" t="n"/>
      <c r="F54" s="12" t="n"/>
      <c r="G54" s="12" t="n"/>
      <c r="H54" s="12" t="n"/>
    </row>
    <row r="55">
      <c r="A55" s="12" t="n"/>
      <c r="B55" s="12" t="n"/>
      <c r="C55" s="12" t="n"/>
      <c r="D55" s="12" t="n"/>
      <c r="E55" s="12" t="n"/>
      <c r="F55" s="12" t="n"/>
      <c r="G55" s="12" t="n"/>
      <c r="H55" s="12" t="n"/>
    </row>
    <row r="56">
      <c r="A56" s="12" t="n"/>
      <c r="B56" s="12" t="n"/>
      <c r="C56" s="12" t="n"/>
      <c r="D56" s="12" t="n"/>
      <c r="E56" s="12" t="n"/>
      <c r="F56" s="12" t="n"/>
      <c r="G56" s="12" t="n"/>
      <c r="H56" s="12" t="n"/>
    </row>
    <row r="57">
      <c r="A57" s="12" t="n"/>
      <c r="B57" s="12" t="n"/>
      <c r="C57" s="12" t="n"/>
      <c r="D57" s="12" t="n"/>
      <c r="E57" s="12" t="n"/>
      <c r="F57" s="12" t="n"/>
      <c r="G57" s="12" t="n"/>
      <c r="H57" s="12" t="n"/>
    </row>
    <row r="58">
      <c r="A58" s="12" t="n"/>
      <c r="B58" s="12" t="n"/>
      <c r="C58" s="12" t="n"/>
      <c r="D58" s="12" t="n"/>
      <c r="E58" s="12" t="n"/>
      <c r="F58" s="12" t="n"/>
      <c r="G58" s="12" t="n"/>
      <c r="H58" s="12" t="n"/>
    </row>
    <row r="59">
      <c r="A59" s="12" t="n"/>
      <c r="B59" s="12" t="n"/>
      <c r="C59" s="12" t="n"/>
      <c r="D59" s="12" t="n"/>
      <c r="E59" s="12" t="n"/>
      <c r="F59" s="12" t="n"/>
      <c r="G59" s="12" t="n"/>
      <c r="H59" s="12" t="n"/>
    </row>
    <row r="60">
      <c r="A60" s="12" t="n"/>
      <c r="B60" s="12" t="n"/>
      <c r="C60" s="12" t="n"/>
      <c r="D60" s="12" t="n"/>
      <c r="E60" s="12" t="n"/>
      <c r="F60" s="12" t="n"/>
      <c r="G60" s="12" t="n"/>
      <c r="H60" s="12" t="n"/>
    </row>
    <row r="61">
      <c r="A61" s="12" t="n"/>
      <c r="B61" s="12" t="n"/>
      <c r="C61" s="12" t="n"/>
      <c r="D61" s="12" t="n"/>
      <c r="E61" s="12" t="n"/>
      <c r="F61" s="12" t="n"/>
      <c r="G61" s="12" t="n"/>
      <c r="H61" s="12" t="n"/>
    </row>
    <row r="62">
      <c r="A62" s="12" t="n"/>
      <c r="B62" s="12" t="n"/>
      <c r="C62" s="12" t="n"/>
      <c r="D62" s="12" t="n"/>
      <c r="E62" s="12" t="n"/>
      <c r="F62" s="12" t="n"/>
      <c r="G62" s="12" t="n"/>
      <c r="H62" s="12" t="n"/>
    </row>
    <row r="63">
      <c r="A63" s="12" t="n"/>
      <c r="B63" s="12" t="n"/>
      <c r="C63" s="12" t="n"/>
      <c r="D63" s="12" t="n"/>
      <c r="E63" s="12" t="n"/>
      <c r="F63" s="12" t="n"/>
      <c r="G63" s="12" t="n"/>
      <c r="H63" s="12" t="n"/>
    </row>
    <row r="64">
      <c r="A64" s="12" t="n"/>
      <c r="B64" s="12" t="n"/>
      <c r="C64" s="12" t="n"/>
      <c r="D64" s="12" t="n"/>
      <c r="E64" s="12" t="n"/>
      <c r="F64" s="12" t="n"/>
      <c r="G64" s="12" t="n"/>
      <c r="H64" s="12" t="n"/>
    </row>
    <row r="65">
      <c r="A65" s="12" t="n"/>
      <c r="B65" s="12" t="n"/>
      <c r="C65" s="12" t="n"/>
      <c r="D65" s="12" t="n"/>
      <c r="E65" s="12" t="n"/>
      <c r="F65" s="12" t="n"/>
      <c r="G65" s="12" t="n"/>
      <c r="H65" s="12" t="n"/>
    </row>
    <row r="66">
      <c r="A66" s="12" t="n"/>
      <c r="B66" s="12" t="n"/>
      <c r="C66" s="12" t="n"/>
      <c r="D66" s="12" t="n"/>
      <c r="E66" s="12" t="n"/>
      <c r="F66" s="12" t="n"/>
      <c r="G66" s="12" t="n"/>
      <c r="H66" s="12" t="n"/>
    </row>
    <row r="67">
      <c r="A67" s="12" t="n"/>
      <c r="B67" s="12" t="n"/>
      <c r="C67" s="12" t="n"/>
      <c r="D67" s="12" t="n"/>
      <c r="E67" s="12" t="n"/>
      <c r="F67" s="12" t="n"/>
      <c r="G67" s="12" t="n"/>
      <c r="H67" s="12" t="n"/>
    </row>
    <row r="68">
      <c r="A68" s="12" t="n"/>
      <c r="B68" s="12" t="n"/>
      <c r="C68" s="12" t="n"/>
      <c r="D68" s="12" t="n"/>
      <c r="E68" s="12" t="n"/>
      <c r="F68" s="12" t="n"/>
      <c r="G68" s="12" t="n"/>
      <c r="H68" s="12" t="n"/>
    </row>
    <row r="69">
      <c r="A69" s="12" t="n"/>
      <c r="B69" s="12" t="n"/>
      <c r="C69" s="12" t="n"/>
      <c r="D69" s="12" t="n"/>
      <c r="E69" s="12" t="n"/>
      <c r="F69" s="12" t="n"/>
      <c r="G69" s="12" t="n"/>
      <c r="H69" s="12" t="n"/>
    </row>
    <row r="70">
      <c r="A70" s="12" t="n"/>
      <c r="B70" s="12" t="n"/>
      <c r="C70" s="12" t="n"/>
      <c r="D70" s="12" t="n"/>
      <c r="E70" s="12" t="n"/>
      <c r="F70" s="12" t="n"/>
      <c r="G70" s="12" t="n"/>
      <c r="H70" s="12" t="n"/>
    </row>
    <row r="71">
      <c r="A71" s="12" t="n"/>
      <c r="B71" s="12" t="n"/>
      <c r="C71" s="12" t="n"/>
      <c r="D71" s="12" t="n"/>
      <c r="E71" s="12" t="n"/>
      <c r="F71" s="12" t="n"/>
      <c r="G71" s="12" t="n"/>
      <c r="H71" s="12" t="n"/>
    </row>
    <row r="72">
      <c r="A72" s="12" t="n"/>
      <c r="B72" s="12" t="n"/>
      <c r="C72" s="12" t="n"/>
      <c r="D72" s="12" t="n"/>
      <c r="E72" s="12" t="n"/>
      <c r="F72" s="12" t="n"/>
      <c r="G72" s="12" t="n"/>
      <c r="H72" s="12" t="n"/>
    </row>
    <row r="73">
      <c r="A73" s="12" t="n"/>
      <c r="B73" s="12" t="n"/>
      <c r="C73" s="12" t="n"/>
      <c r="D73" s="12" t="n"/>
      <c r="E73" s="12" t="n"/>
      <c r="F73" s="12" t="n"/>
      <c r="G73" s="12" t="n"/>
      <c r="H73" s="12" t="n"/>
    </row>
    <row r="74">
      <c r="A74" s="12" t="n"/>
      <c r="B74" s="12" t="n"/>
      <c r="C74" s="12" t="n"/>
      <c r="D74" s="12" t="n"/>
      <c r="E74" s="12" t="n"/>
      <c r="F74" s="12" t="n"/>
      <c r="G74" s="12" t="n"/>
      <c r="H74" s="12" t="n"/>
    </row>
    <row r="75">
      <c r="A75" s="12" t="n"/>
      <c r="B75" s="12" t="n"/>
      <c r="C75" s="12" t="n"/>
      <c r="D75" s="12" t="n"/>
      <c r="E75" s="12" t="n"/>
      <c r="F75" s="12" t="n"/>
      <c r="G75" s="12" t="n"/>
      <c r="H75" s="12" t="n"/>
    </row>
    <row r="76">
      <c r="A76" s="12" t="n"/>
      <c r="B76" s="12" t="n"/>
      <c r="C76" s="12" t="n"/>
      <c r="D76" s="12" t="n"/>
      <c r="E76" s="12" t="n"/>
      <c r="F76" s="12" t="n"/>
      <c r="G76" s="12" t="n"/>
      <c r="H76" s="12" t="n"/>
    </row>
    <row r="77">
      <c r="A77" s="12" t="n"/>
      <c r="B77" s="12" t="n"/>
      <c r="C77" s="12" t="n"/>
      <c r="D77" s="12" t="n"/>
      <c r="E77" s="12" t="n"/>
      <c r="F77" s="12" t="n"/>
      <c r="G77" s="12" t="n"/>
      <c r="H77" s="12" t="n"/>
    </row>
    <row r="78">
      <c r="A78" s="12" t="n"/>
      <c r="B78" s="12" t="n"/>
      <c r="C78" s="12" t="n"/>
      <c r="D78" s="12" t="n"/>
      <c r="E78" s="12" t="n"/>
      <c r="F78" s="12" t="n"/>
      <c r="G78" s="12" t="n"/>
      <c r="H78" s="12" t="n"/>
    </row>
    <row r="79">
      <c r="A79" s="12" t="n"/>
      <c r="B79" s="12" t="n"/>
      <c r="C79" s="12" t="n"/>
      <c r="D79" s="12" t="n"/>
      <c r="E79" s="12" t="n"/>
      <c r="F79" s="12" t="n"/>
      <c r="G79" s="12" t="n"/>
      <c r="H79" s="12" t="n"/>
    </row>
    <row r="80">
      <c r="A80" s="12" t="n"/>
      <c r="B80" s="12" t="n"/>
      <c r="C80" s="12" t="n"/>
      <c r="D80" s="12" t="n"/>
      <c r="E80" s="12" t="n"/>
      <c r="F80" s="12" t="n"/>
      <c r="G80" s="12" t="n"/>
      <c r="H80" s="12" t="n"/>
    </row>
    <row r="81">
      <c r="A81" s="12" t="n"/>
      <c r="B81" s="12" t="n"/>
      <c r="C81" s="12" t="n"/>
      <c r="D81" s="12" t="n"/>
      <c r="E81" s="12" t="n"/>
      <c r="F81" s="12" t="n"/>
      <c r="G81" s="12" t="n"/>
      <c r="H81" s="12" t="n"/>
    </row>
    <row r="82">
      <c r="A82" s="12" t="n"/>
      <c r="B82" s="12" t="n"/>
      <c r="C82" s="12" t="n"/>
      <c r="D82" s="12" t="n"/>
      <c r="E82" s="12" t="n"/>
      <c r="F82" s="12" t="n"/>
      <c r="G82" s="12" t="n"/>
      <c r="H82" s="12" t="n"/>
    </row>
    <row r="83">
      <c r="A83" s="12" t="n"/>
      <c r="B83" s="12" t="n"/>
      <c r="C83" s="12" t="n"/>
      <c r="D83" s="12" t="n"/>
      <c r="E83" s="12" t="n"/>
      <c r="F83" s="12" t="n"/>
      <c r="G83" s="12" t="n"/>
      <c r="H83" s="12" t="n"/>
    </row>
    <row r="84">
      <c r="A84" s="12" t="n"/>
      <c r="B84" s="12" t="n"/>
      <c r="C84" s="12" t="n"/>
      <c r="D84" s="12" t="n"/>
      <c r="E84" s="12" t="n"/>
      <c r="F84" s="12" t="n"/>
      <c r="G84" s="12" t="n"/>
      <c r="H84" s="12" t="n"/>
    </row>
    <row r="85">
      <c r="A85" s="12" t="n"/>
      <c r="B85" s="12" t="n"/>
      <c r="C85" s="12" t="n"/>
      <c r="D85" s="12" t="n"/>
      <c r="E85" s="12" t="n"/>
      <c r="F85" s="12" t="n"/>
      <c r="G85" s="12" t="n"/>
      <c r="H85" s="12" t="n"/>
    </row>
    <row r="86">
      <c r="A86" s="12" t="n"/>
      <c r="B86" s="12" t="n"/>
      <c r="C86" s="12" t="n"/>
      <c r="D86" s="12" t="n"/>
      <c r="E86" s="12" t="n"/>
      <c r="F86" s="12" t="n"/>
      <c r="G86" s="12" t="n"/>
      <c r="H86" s="12" t="n"/>
    </row>
    <row r="87">
      <c r="A87" s="12" t="n"/>
      <c r="B87" s="12" t="n"/>
      <c r="C87" s="12" t="n"/>
      <c r="D87" s="12" t="n"/>
      <c r="E87" s="12" t="n"/>
      <c r="F87" s="12" t="n"/>
      <c r="G87" s="12" t="n"/>
      <c r="H87" s="12" t="n"/>
    </row>
    <row r="88">
      <c r="A88" s="12" t="n"/>
      <c r="B88" s="12" t="n"/>
      <c r="C88" s="12" t="n"/>
      <c r="D88" s="12" t="n"/>
      <c r="E88" s="12" t="n"/>
      <c r="F88" s="12" t="n"/>
      <c r="G88" s="12" t="n"/>
      <c r="H88" s="12" t="n"/>
    </row>
    <row r="89">
      <c r="A89" s="12" t="n"/>
      <c r="B89" s="12" t="n"/>
      <c r="C89" s="12" t="n"/>
      <c r="D89" s="12" t="n"/>
      <c r="E89" s="12" t="n"/>
      <c r="F89" s="12" t="n"/>
      <c r="G89" s="12" t="n"/>
      <c r="H89" s="12" t="n"/>
    </row>
    <row r="90">
      <c r="A90" s="12" t="n"/>
      <c r="B90" s="12" t="n"/>
      <c r="C90" s="12" t="n"/>
      <c r="D90" s="12" t="n"/>
      <c r="E90" s="12" t="n"/>
      <c r="F90" s="12" t="n"/>
      <c r="G90" s="12" t="n"/>
      <c r="H90" s="12" t="n"/>
    </row>
    <row r="91">
      <c r="A91" s="12" t="n"/>
      <c r="B91" s="12" t="n"/>
      <c r="C91" s="12" t="n"/>
      <c r="D91" s="12" t="n"/>
      <c r="E91" s="12" t="n"/>
      <c r="F91" s="12" t="n"/>
      <c r="G91" s="12" t="n"/>
      <c r="H91" s="12" t="n"/>
    </row>
    <row r="92">
      <c r="A92" s="12" t="n"/>
      <c r="B92" s="12" t="n"/>
      <c r="C92" s="12" t="n"/>
      <c r="D92" s="12" t="n"/>
      <c r="E92" s="12" t="n"/>
      <c r="F92" s="12" t="n"/>
      <c r="G92" s="12" t="n"/>
      <c r="H92" s="12" t="n"/>
    </row>
    <row r="93">
      <c r="A93" s="12" t="n"/>
      <c r="B93" s="12" t="n"/>
      <c r="C93" s="12" t="n"/>
      <c r="D93" s="12" t="n"/>
      <c r="E93" s="12" t="n"/>
      <c r="F93" s="12" t="n"/>
      <c r="G93" s="12" t="n"/>
      <c r="H93" s="12" t="n"/>
    </row>
    <row r="94">
      <c r="A94" s="12" t="n"/>
      <c r="B94" s="12" t="n"/>
      <c r="C94" s="12" t="n"/>
      <c r="D94" s="12" t="n"/>
      <c r="E94" s="12" t="n"/>
      <c r="F94" s="12" t="n"/>
      <c r="G94" s="12" t="n"/>
      <c r="H94" s="12" t="n"/>
    </row>
    <row r="95">
      <c r="A95" s="12" t="n"/>
      <c r="B95" s="12" t="n"/>
      <c r="C95" s="12" t="n"/>
      <c r="D95" s="12" t="n"/>
      <c r="E95" s="12" t="n"/>
      <c r="F95" s="12" t="n"/>
      <c r="G95" s="12" t="n"/>
      <c r="H95" s="12" t="n"/>
    </row>
    <row r="96">
      <c r="A96" s="12" t="n"/>
      <c r="B96" s="12" t="n"/>
      <c r="C96" s="12" t="n"/>
      <c r="D96" s="12" t="n"/>
      <c r="E96" s="12" t="n"/>
      <c r="F96" s="12" t="n"/>
      <c r="G96" s="12" t="n"/>
      <c r="H96" s="12" t="n"/>
    </row>
    <row r="97">
      <c r="A97" s="12" t="n"/>
      <c r="B97" s="12" t="n"/>
      <c r="C97" s="12" t="n"/>
      <c r="D97" s="12" t="n"/>
      <c r="E97" s="12" t="n"/>
      <c r="F97" s="12" t="n"/>
      <c r="G97" s="12" t="n"/>
      <c r="H97" s="12" t="n"/>
    </row>
    <row r="98">
      <c r="A98" s="12" t="n"/>
      <c r="B98" s="12" t="n"/>
      <c r="C98" s="12" t="n"/>
      <c r="D98" s="12" t="n"/>
      <c r="E98" s="12" t="n"/>
      <c r="F98" s="12" t="n"/>
      <c r="G98" s="12" t="n"/>
      <c r="H98" s="12" t="n"/>
    </row>
    <row r="99">
      <c r="A99" s="12" t="n"/>
      <c r="B99" s="12" t="n"/>
      <c r="C99" s="12" t="n"/>
      <c r="D99" s="12" t="n"/>
      <c r="E99" s="12" t="n"/>
      <c r="F99" s="12" t="n"/>
      <c r="G99" s="12" t="n"/>
      <c r="H99" s="12" t="n"/>
    </row>
    <row r="100">
      <c r="A100" s="12" t="n"/>
      <c r="B100" s="12" t="n"/>
      <c r="C100" s="12" t="n"/>
      <c r="D100" s="12" t="n"/>
      <c r="E100" s="12" t="n"/>
      <c r="F100" s="12" t="n"/>
      <c r="G100" s="12" t="n"/>
      <c r="H100" s="12" t="n"/>
    </row>
    <row r="101">
      <c r="A101" s="12" t="n"/>
      <c r="B101" s="12" t="n"/>
      <c r="C101" s="12" t="n"/>
      <c r="D101" s="12" t="n"/>
      <c r="E101" s="12" t="n"/>
      <c r="F101" s="12" t="n"/>
      <c r="G101" s="12" t="n"/>
      <c r="H101" s="12" t="n"/>
    </row>
    <row r="102">
      <c r="A102" s="12" t="n"/>
      <c r="B102" s="12" t="n"/>
      <c r="C102" s="12" t="n"/>
      <c r="D102" s="12" t="n"/>
      <c r="E102" s="12" t="n"/>
      <c r="F102" s="12" t="n"/>
      <c r="G102" s="12" t="n"/>
      <c r="H102" s="12" t="n"/>
    </row>
    <row r="103">
      <c r="A103" s="12" t="n"/>
      <c r="B103" s="12" t="n"/>
      <c r="C103" s="12" t="n"/>
      <c r="D103" s="12" t="n"/>
      <c r="E103" s="12" t="n"/>
      <c r="F103" s="12" t="n"/>
      <c r="G103" s="12" t="n"/>
      <c r="H103" s="12" t="n"/>
    </row>
    <row r="104">
      <c r="A104" s="12" t="n"/>
      <c r="B104" s="12" t="n"/>
      <c r="C104" s="12" t="n"/>
      <c r="D104" s="12" t="n"/>
      <c r="E104" s="12" t="n"/>
      <c r="F104" s="12" t="n"/>
      <c r="G104" s="12" t="n"/>
      <c r="H104" s="12" t="n"/>
    </row>
    <row r="105">
      <c r="A105" s="12" t="n"/>
      <c r="B105" s="12" t="n"/>
      <c r="C105" s="12" t="n"/>
      <c r="D105" s="12" t="n"/>
      <c r="E105" s="12" t="n"/>
      <c r="F105" s="12" t="n"/>
      <c r="G105" s="12" t="n"/>
      <c r="H105" s="12" t="n"/>
    </row>
    <row r="106">
      <c r="A106" s="12" t="n"/>
      <c r="B106" s="12" t="n"/>
      <c r="C106" s="12" t="n"/>
      <c r="D106" s="12" t="n"/>
      <c r="E106" s="12" t="n"/>
      <c r="F106" s="12" t="n"/>
      <c r="G106" s="12" t="n"/>
      <c r="H106" s="12" t="n"/>
    </row>
    <row r="107">
      <c r="A107" s="12" t="n"/>
      <c r="B107" s="12" t="n"/>
      <c r="C107" s="12" t="n"/>
      <c r="D107" s="12" t="n"/>
      <c r="E107" s="12" t="n"/>
      <c r="F107" s="12" t="n"/>
      <c r="G107" s="12" t="n"/>
      <c r="H107" s="12" t="n"/>
    </row>
    <row r="108">
      <c r="A108" s="12" t="n"/>
      <c r="B108" s="12" t="n"/>
      <c r="C108" s="12" t="n"/>
      <c r="D108" s="12" t="n"/>
      <c r="E108" s="12" t="n"/>
      <c r="F108" s="12" t="n"/>
      <c r="G108" s="12" t="n"/>
      <c r="H108" s="12" t="n"/>
    </row>
    <row r="109">
      <c r="A109" s="12" t="n"/>
      <c r="B109" s="12" t="n"/>
      <c r="C109" s="12" t="n"/>
      <c r="D109" s="12" t="n"/>
      <c r="E109" s="12" t="n"/>
      <c r="F109" s="12" t="n"/>
      <c r="G109" s="12" t="n"/>
      <c r="H109" s="12" t="n"/>
    </row>
    <row r="110">
      <c r="A110" s="12" t="n"/>
      <c r="B110" s="12" t="n"/>
      <c r="C110" s="12" t="n"/>
      <c r="D110" s="12" t="n"/>
      <c r="E110" s="12" t="n"/>
      <c r="F110" s="12" t="n"/>
      <c r="G110" s="12" t="n"/>
      <c r="H110" s="12" t="n"/>
    </row>
    <row r="111">
      <c r="A111" s="12" t="n"/>
      <c r="B111" s="12" t="n"/>
      <c r="C111" s="12" t="n"/>
      <c r="D111" s="12" t="n"/>
      <c r="E111" s="12" t="n"/>
      <c r="F111" s="12" t="n"/>
      <c r="G111" s="12" t="n"/>
      <c r="H111" s="12" t="n"/>
    </row>
    <row r="112">
      <c r="A112" s="12" t="n"/>
      <c r="B112" s="12" t="n"/>
      <c r="C112" s="12" t="n"/>
      <c r="D112" s="12" t="n"/>
      <c r="E112" s="12" t="n"/>
      <c r="F112" s="12" t="n"/>
      <c r="G112" s="12" t="n"/>
      <c r="H112" s="12" t="n"/>
    </row>
    <row r="113">
      <c r="A113" s="12" t="n"/>
      <c r="B113" s="12" t="n"/>
      <c r="C113" s="12" t="n"/>
      <c r="D113" s="12" t="n"/>
      <c r="E113" s="12" t="n"/>
      <c r="F113" s="12" t="n"/>
      <c r="G113" s="12" t="n"/>
      <c r="H113" s="12" t="n"/>
    </row>
    <row r="114">
      <c r="A114" s="12" t="n"/>
      <c r="B114" s="12" t="n"/>
      <c r="C114" s="12" t="n"/>
      <c r="D114" s="12" t="n"/>
      <c r="E114" s="12" t="n"/>
      <c r="F114" s="12" t="n"/>
      <c r="G114" s="12" t="n"/>
      <c r="H114" s="12" t="n"/>
    </row>
    <row r="115">
      <c r="A115" s="12" t="n"/>
      <c r="B115" s="12" t="n"/>
      <c r="C115" s="12" t="n"/>
      <c r="D115" s="12" t="n"/>
      <c r="E115" s="12" t="n"/>
      <c r="F115" s="12" t="n"/>
      <c r="G115" s="12" t="n"/>
      <c r="H115" s="12" t="n"/>
    </row>
    <row r="116">
      <c r="A116" s="12" t="n"/>
      <c r="B116" s="12" t="n"/>
      <c r="C116" s="12" t="n"/>
      <c r="D116" s="12" t="n"/>
      <c r="E116" s="12" t="n"/>
      <c r="F116" s="12" t="n"/>
      <c r="G116" s="12" t="n"/>
      <c r="H116" s="12" t="n"/>
    </row>
    <row r="117">
      <c r="A117" s="12" t="n"/>
      <c r="B117" s="12" t="n"/>
      <c r="C117" s="12" t="n"/>
      <c r="D117" s="12" t="n"/>
      <c r="E117" s="12" t="n"/>
      <c r="F117" s="12" t="n"/>
      <c r="G117" s="12" t="n"/>
      <c r="H117" s="12" t="n"/>
    </row>
    <row r="118">
      <c r="A118" s="12" t="n"/>
      <c r="B118" s="12" t="n"/>
      <c r="C118" s="12" t="n"/>
      <c r="D118" s="12" t="n"/>
      <c r="E118" s="12" t="n"/>
      <c r="F118" s="12" t="n"/>
      <c r="G118" s="12" t="n"/>
      <c r="H118" s="12" t="n"/>
    </row>
    <row r="119">
      <c r="A119" s="12" t="n"/>
      <c r="B119" s="12" t="n"/>
      <c r="C119" s="12" t="n"/>
      <c r="D119" s="12" t="n"/>
      <c r="E119" s="12" t="n"/>
      <c r="F119" s="12" t="n"/>
      <c r="G119" s="12" t="n"/>
      <c r="H119" s="12" t="n"/>
    </row>
    <row r="120">
      <c r="A120" s="12" t="n"/>
      <c r="B120" s="12" t="n"/>
      <c r="C120" s="12" t="n"/>
      <c r="D120" s="12" t="n"/>
      <c r="E120" s="12" t="n"/>
      <c r="F120" s="12" t="n"/>
      <c r="G120" s="12" t="n"/>
      <c r="H120" s="12" t="n"/>
    </row>
    <row r="121">
      <c r="A121" s="12" t="n"/>
      <c r="B121" s="12" t="n"/>
      <c r="C121" s="12" t="n"/>
      <c r="D121" s="12" t="n"/>
      <c r="E121" s="12" t="n"/>
      <c r="F121" s="12" t="n"/>
      <c r="G121" s="12" t="n"/>
      <c r="H121" s="12" t="n"/>
    </row>
    <row r="122">
      <c r="A122" s="12" t="n"/>
      <c r="B122" s="12" t="n"/>
      <c r="C122" s="12" t="n"/>
      <c r="D122" s="12" t="n"/>
      <c r="E122" s="12" t="n"/>
      <c r="F122" s="12" t="n"/>
      <c r="G122" s="12" t="n"/>
      <c r="H122" s="12" t="n"/>
    </row>
    <row r="123">
      <c r="A123" s="12" t="n"/>
      <c r="B123" s="12" t="n"/>
      <c r="C123" s="12" t="n"/>
      <c r="D123" s="12" t="n"/>
      <c r="E123" s="12" t="n"/>
      <c r="F123" s="12" t="n"/>
      <c r="G123" s="12" t="n"/>
      <c r="H123" s="12" t="n"/>
    </row>
    <row r="124">
      <c r="A124" s="12" t="n"/>
      <c r="B124" s="12" t="n"/>
      <c r="C124" s="12" t="n"/>
      <c r="D124" s="12" t="n"/>
      <c r="E124" s="12" t="n"/>
      <c r="F124" s="12" t="n"/>
      <c r="G124" s="12" t="n"/>
      <c r="H124" s="12" t="n"/>
    </row>
    <row r="125">
      <c r="A125" s="12" t="n"/>
      <c r="B125" s="12" t="n"/>
      <c r="C125" s="12" t="n"/>
      <c r="D125" s="12" t="n"/>
      <c r="E125" s="12" t="n"/>
      <c r="F125" s="12" t="n"/>
      <c r="G125" s="12" t="n"/>
      <c r="H125" s="12" t="n"/>
    </row>
    <row r="126">
      <c r="A126" s="12" t="n"/>
      <c r="B126" s="12" t="n"/>
      <c r="C126" s="12" t="n"/>
      <c r="D126" s="12" t="n"/>
      <c r="E126" s="12" t="n"/>
      <c r="F126" s="12" t="n"/>
      <c r="G126" s="12" t="n"/>
      <c r="H126" s="12" t="n"/>
    </row>
    <row r="127">
      <c r="A127" s="12" t="n"/>
      <c r="B127" s="12" t="n"/>
      <c r="C127" s="12" t="n"/>
      <c r="D127" s="12" t="n"/>
      <c r="E127" s="12" t="n"/>
      <c r="F127" s="12" t="n"/>
      <c r="G127" s="12" t="n"/>
      <c r="H127" s="12" t="n"/>
    </row>
    <row r="128">
      <c r="A128" s="12" t="n"/>
      <c r="B128" s="12" t="n"/>
      <c r="C128" s="12" t="n"/>
      <c r="D128" s="12" t="n"/>
      <c r="E128" s="12" t="n"/>
      <c r="F128" s="12" t="n"/>
      <c r="G128" s="12" t="n"/>
      <c r="H128" s="12" t="n"/>
    </row>
    <row r="129">
      <c r="A129" s="12" t="n"/>
      <c r="B129" s="12" t="n"/>
      <c r="C129" s="12" t="n"/>
      <c r="D129" s="12" t="n"/>
      <c r="E129" s="12" t="n"/>
      <c r="F129" s="12" t="n"/>
      <c r="G129" s="12" t="n"/>
      <c r="H129" s="12" t="n"/>
    </row>
    <row r="130">
      <c r="A130" s="12" t="n"/>
      <c r="B130" s="12" t="n"/>
      <c r="C130" s="12" t="n"/>
      <c r="D130" s="12" t="n"/>
      <c r="E130" s="12" t="n"/>
      <c r="F130" s="12" t="n"/>
      <c r="G130" s="12" t="n"/>
      <c r="H130" s="12" t="n"/>
    </row>
    <row r="131">
      <c r="A131" s="12" t="n"/>
      <c r="B131" s="12" t="n"/>
      <c r="C131" s="12" t="n"/>
      <c r="D131" s="12" t="n"/>
      <c r="E131" s="12" t="n"/>
      <c r="F131" s="12" t="n"/>
      <c r="G131" s="12" t="n"/>
      <c r="H131" s="12" t="n"/>
    </row>
    <row r="132">
      <c r="A132" s="12" t="n"/>
      <c r="B132" s="12" t="n"/>
      <c r="C132" s="12" t="n"/>
      <c r="D132" s="12" t="n"/>
      <c r="E132" s="12" t="n"/>
      <c r="F132" s="12" t="n"/>
      <c r="G132" s="12" t="n"/>
      <c r="H132" s="12" t="n"/>
    </row>
    <row r="133">
      <c r="A133" s="12" t="n"/>
      <c r="B133" s="12" t="n"/>
      <c r="C133" s="12" t="n"/>
      <c r="D133" s="12" t="n"/>
      <c r="E133" s="12" t="n"/>
      <c r="F133" s="12" t="n"/>
      <c r="G133" s="12" t="n"/>
      <c r="H133" s="12" t="n"/>
    </row>
    <row r="134">
      <c r="A134" s="12" t="n"/>
      <c r="B134" s="12" t="n"/>
      <c r="C134" s="12" t="n"/>
      <c r="D134" s="12" t="n"/>
      <c r="E134" s="12" t="n"/>
      <c r="F134" s="12" t="n"/>
      <c r="G134" s="12" t="n"/>
      <c r="H134" s="12" t="n"/>
    </row>
    <row r="135">
      <c r="A135" s="12" t="n"/>
      <c r="B135" s="12" t="n"/>
      <c r="C135" s="12" t="n"/>
      <c r="D135" s="12" t="n"/>
      <c r="E135" s="12" t="n"/>
      <c r="F135" s="12" t="n"/>
      <c r="G135" s="12" t="n"/>
      <c r="H135" s="12" t="n"/>
    </row>
    <row r="136">
      <c r="A136" s="12" t="n"/>
      <c r="B136" s="12" t="n"/>
      <c r="C136" s="12" t="n"/>
      <c r="D136" s="12" t="n"/>
      <c r="E136" s="12" t="n"/>
      <c r="F136" s="12" t="n"/>
      <c r="G136" s="12" t="n"/>
      <c r="H136" s="12" t="n"/>
    </row>
    <row r="137">
      <c r="A137" s="12" t="n"/>
      <c r="B137" s="12" t="n"/>
      <c r="C137" s="12" t="n"/>
      <c r="D137" s="12" t="n"/>
      <c r="E137" s="12" t="n"/>
      <c r="F137" s="12" t="n"/>
      <c r="G137" s="12" t="n"/>
      <c r="H137" s="12" t="n"/>
    </row>
    <row r="138">
      <c r="A138" s="12" t="n"/>
      <c r="B138" s="12" t="n"/>
      <c r="C138" s="12" t="n"/>
      <c r="D138" s="12" t="n"/>
      <c r="E138" s="12" t="n"/>
      <c r="F138" s="12" t="n"/>
      <c r="G138" s="12" t="n"/>
      <c r="H138" s="12" t="n"/>
    </row>
    <row r="139">
      <c r="A139" s="12" t="n"/>
      <c r="B139" s="12" t="n"/>
      <c r="C139" s="12" t="n"/>
      <c r="D139" s="12" t="n"/>
      <c r="E139" s="12" t="n"/>
      <c r="F139" s="12" t="n"/>
      <c r="G139" s="12" t="n"/>
      <c r="H139" s="12" t="n"/>
    </row>
    <row r="140">
      <c r="A140" s="12" t="n"/>
      <c r="B140" s="12" t="n"/>
      <c r="C140" s="12" t="n"/>
      <c r="D140" s="12" t="n"/>
      <c r="E140" s="12" t="n"/>
      <c r="F140" s="12" t="n"/>
      <c r="G140" s="12" t="n"/>
      <c r="H140" s="12" t="n"/>
    </row>
    <row r="141">
      <c r="A141" s="12" t="n"/>
      <c r="B141" s="12" t="n"/>
      <c r="C141" s="12" t="n"/>
      <c r="D141" s="12" t="n"/>
      <c r="E141" s="12" t="n"/>
      <c r="F141" s="12" t="n"/>
      <c r="G141" s="12" t="n"/>
      <c r="H141" s="12" t="n"/>
    </row>
    <row r="142">
      <c r="A142" s="12" t="n"/>
      <c r="B142" s="12" t="n"/>
      <c r="C142" s="12" t="n"/>
      <c r="D142" s="12" t="n"/>
      <c r="E142" s="12" t="n"/>
      <c r="F142" s="12" t="n"/>
      <c r="G142" s="12" t="n"/>
      <c r="H142" s="12" t="n"/>
    </row>
    <row r="143">
      <c r="A143" s="12" t="n"/>
      <c r="B143" s="12" t="n"/>
      <c r="C143" s="12" t="n"/>
      <c r="D143" s="12" t="n"/>
      <c r="E143" s="12" t="n"/>
      <c r="F143" s="12" t="n"/>
      <c r="G143" s="12" t="n"/>
      <c r="H143" s="12" t="n"/>
    </row>
    <row r="144">
      <c r="A144" s="12" t="n"/>
      <c r="B144" s="12" t="n"/>
      <c r="C144" s="12" t="n"/>
      <c r="D144" s="12" t="n"/>
      <c r="E144" s="12" t="n"/>
      <c r="F144" s="12" t="n"/>
      <c r="G144" s="12" t="n"/>
      <c r="H144" s="12" t="n"/>
    </row>
    <row r="145">
      <c r="A145" s="12" t="n"/>
      <c r="B145" s="12" t="n"/>
      <c r="C145" s="12" t="n"/>
      <c r="D145" s="12" t="n"/>
      <c r="E145" s="12" t="n"/>
      <c r="F145" s="12" t="n"/>
      <c r="G145" s="12" t="n"/>
      <c r="H145" s="12" t="n"/>
    </row>
    <row r="146">
      <c r="A146" s="12" t="n"/>
      <c r="B146" s="12" t="n"/>
      <c r="C146" s="12" t="n"/>
      <c r="D146" s="12" t="n"/>
      <c r="E146" s="12" t="n"/>
      <c r="F146" s="12" t="n"/>
      <c r="G146" s="12" t="n"/>
      <c r="H146" s="12" t="n"/>
    </row>
    <row r="147">
      <c r="A147" s="12" t="n"/>
      <c r="B147" s="12" t="n"/>
      <c r="C147" s="12" t="n"/>
      <c r="D147" s="12" t="n"/>
      <c r="E147" s="12" t="n"/>
      <c r="F147" s="12" t="n"/>
      <c r="G147" s="12" t="n"/>
      <c r="H147" s="12" t="n"/>
    </row>
    <row r="148">
      <c r="A148" s="12" t="n"/>
      <c r="B148" s="12" t="n"/>
      <c r="C148" s="12" t="n"/>
      <c r="D148" s="12" t="n"/>
      <c r="E148" s="12" t="n"/>
      <c r="F148" s="12" t="n"/>
      <c r="G148" s="12" t="n"/>
      <c r="H148" s="12" t="n"/>
    </row>
    <row r="149">
      <c r="A149" s="12" t="n"/>
      <c r="B149" s="12" t="n"/>
      <c r="C149" s="12" t="n"/>
      <c r="D149" s="12" t="n"/>
      <c r="E149" s="12" t="n"/>
      <c r="F149" s="12" t="n"/>
      <c r="G149" s="12" t="n"/>
      <c r="H149" s="12" t="n"/>
    </row>
    <row r="150">
      <c r="A150" s="12" t="n"/>
      <c r="B150" s="12" t="n"/>
      <c r="C150" s="12" t="n"/>
      <c r="D150" s="12" t="n"/>
      <c r="E150" s="12" t="n"/>
      <c r="F150" s="12" t="n"/>
      <c r="G150" s="12" t="n"/>
      <c r="H150" s="12" t="n"/>
    </row>
    <row r="151">
      <c r="A151" s="12" t="n"/>
      <c r="B151" s="12" t="n"/>
      <c r="C151" s="12" t="n"/>
      <c r="D151" s="12" t="n"/>
      <c r="E151" s="12" t="n"/>
      <c r="F151" s="12" t="n"/>
      <c r="G151" s="12" t="n"/>
      <c r="H151" s="12" t="n"/>
    </row>
    <row r="152">
      <c r="A152" s="12" t="n"/>
      <c r="B152" s="12" t="n"/>
      <c r="C152" s="12" t="n"/>
      <c r="D152" s="12" t="n"/>
      <c r="E152" s="12" t="n"/>
      <c r="F152" s="12" t="n"/>
      <c r="G152" s="12" t="n"/>
      <c r="H152" s="12" t="n"/>
    </row>
    <row r="153">
      <c r="A153" s="12" t="n"/>
      <c r="B153" s="12" t="n"/>
      <c r="C153" s="12" t="n"/>
      <c r="D153" s="12" t="n"/>
      <c r="E153" s="12" t="n"/>
      <c r="F153" s="12" t="n"/>
      <c r="G153" s="12" t="n"/>
      <c r="H153" s="12" t="n"/>
    </row>
    <row r="154">
      <c r="A154" s="12" t="n"/>
      <c r="B154" s="12" t="n"/>
      <c r="C154" s="12" t="n"/>
      <c r="D154" s="12" t="n"/>
      <c r="E154" s="12" t="n"/>
      <c r="F154" s="12" t="n"/>
      <c r="G154" s="12" t="n"/>
      <c r="H154" s="12" t="n"/>
    </row>
    <row r="155">
      <c r="A155" s="12" t="n"/>
      <c r="B155" s="12" t="n"/>
      <c r="C155" s="12" t="n"/>
      <c r="D155" s="12" t="n"/>
      <c r="E155" s="12" t="n"/>
      <c r="F155" s="12" t="n"/>
      <c r="G155" s="12" t="n"/>
      <c r="H155" s="12" t="n"/>
    </row>
    <row r="156">
      <c r="A156" s="12" t="n"/>
      <c r="B156" s="12" t="n"/>
      <c r="C156" s="12" t="n"/>
      <c r="D156" s="12" t="n"/>
      <c r="E156" s="12" t="n"/>
      <c r="F156" s="12" t="n"/>
      <c r="G156" s="12" t="n"/>
      <c r="H156" s="12" t="n"/>
    </row>
    <row r="157">
      <c r="A157" s="12" t="n"/>
      <c r="B157" s="12" t="n"/>
      <c r="C157" s="12" t="n"/>
      <c r="D157" s="12" t="n"/>
      <c r="E157" s="12" t="n"/>
      <c r="F157" s="12" t="n"/>
      <c r="G157" s="12" t="n"/>
      <c r="H157" s="12" t="n"/>
    </row>
    <row r="158">
      <c r="A158" s="12" t="n"/>
      <c r="B158" s="12" t="n"/>
      <c r="C158" s="12" t="n"/>
      <c r="D158" s="12" t="n"/>
      <c r="E158" s="12" t="n"/>
      <c r="F158" s="12" t="n"/>
      <c r="G158" s="12" t="n"/>
      <c r="H158" s="12" t="n"/>
    </row>
    <row r="159">
      <c r="A159" s="12" t="n"/>
      <c r="B159" s="12" t="n"/>
      <c r="C159" s="12" t="n"/>
      <c r="D159" s="12" t="n"/>
      <c r="E159" s="12" t="n"/>
      <c r="F159" s="12" t="n"/>
      <c r="G159" s="12" t="n"/>
      <c r="H159" s="12" t="n"/>
    </row>
    <row r="160">
      <c r="A160" s="12" t="n"/>
      <c r="B160" s="12" t="n"/>
      <c r="C160" s="12" t="n"/>
      <c r="D160" s="12" t="n"/>
      <c r="E160" s="12" t="n"/>
      <c r="F160" s="12" t="n"/>
      <c r="G160" s="12" t="n"/>
      <c r="H160" s="12" t="n"/>
    </row>
    <row r="161">
      <c r="A161" s="12" t="n"/>
      <c r="B161" s="12" t="n"/>
      <c r="C161" s="12" t="n"/>
      <c r="D161" s="12" t="n"/>
      <c r="E161" s="12" t="n"/>
      <c r="F161" s="12" t="n"/>
      <c r="G161" s="12" t="n"/>
      <c r="H161" s="12" t="n"/>
    </row>
    <row r="162">
      <c r="A162" s="12" t="n"/>
      <c r="B162" s="12" t="n"/>
      <c r="C162" s="12" t="n"/>
      <c r="D162" s="12" t="n"/>
      <c r="E162" s="12" t="n"/>
      <c r="F162" s="12" t="n"/>
      <c r="G162" s="12" t="n"/>
      <c r="H162" s="12" t="n"/>
    </row>
    <row r="163">
      <c r="A163" s="12" t="n"/>
      <c r="B163" s="12" t="n"/>
      <c r="C163" s="12" t="n"/>
      <c r="D163" s="12" t="n"/>
      <c r="E163" s="12" t="n"/>
      <c r="F163" s="12" t="n"/>
      <c r="G163" s="12" t="n"/>
      <c r="H163" s="12" t="n"/>
    </row>
    <row r="164">
      <c r="A164" s="12" t="n"/>
      <c r="B164" s="12" t="n"/>
      <c r="C164" s="12" t="n"/>
      <c r="D164" s="12" t="n"/>
      <c r="E164" s="12" t="n"/>
      <c r="F164" s="12" t="n"/>
      <c r="G164" s="12" t="n"/>
      <c r="H164" s="12" t="n"/>
    </row>
    <row r="165">
      <c r="A165" s="12" t="n"/>
      <c r="B165" s="12" t="n"/>
      <c r="C165" s="12" t="n"/>
      <c r="D165" s="12" t="n"/>
      <c r="E165" s="12" t="n"/>
      <c r="F165" s="12" t="n"/>
      <c r="G165" s="12" t="n"/>
      <c r="H165" s="12" t="n"/>
    </row>
    <row r="166">
      <c r="A166" s="12" t="n"/>
      <c r="B166" s="12" t="n"/>
      <c r="C166" s="12" t="n"/>
      <c r="D166" s="12" t="n"/>
      <c r="E166" s="12" t="n"/>
      <c r="F166" s="12" t="n"/>
      <c r="G166" s="12" t="n"/>
      <c r="H166" s="12" t="n"/>
    </row>
    <row r="167">
      <c r="A167" s="12" t="n"/>
      <c r="B167" s="12" t="n"/>
      <c r="C167" s="12" t="n"/>
      <c r="D167" s="12" t="n"/>
      <c r="E167" s="12" t="n"/>
      <c r="F167" s="12" t="n"/>
      <c r="G167" s="12" t="n"/>
      <c r="H167" s="12" t="n"/>
    </row>
    <row r="168">
      <c r="A168" s="12" t="n"/>
      <c r="B168" s="12" t="n"/>
      <c r="C168" s="12" t="n"/>
      <c r="D168" s="12" t="n"/>
      <c r="E168" s="12" t="n"/>
      <c r="F168" s="12" t="n"/>
      <c r="G168" s="12" t="n"/>
      <c r="H168" s="12" t="n"/>
    </row>
    <row r="169">
      <c r="A169" s="12" t="n"/>
      <c r="B169" s="12" t="n"/>
      <c r="C169" s="12" t="n"/>
      <c r="D169" s="12" t="n"/>
      <c r="E169" s="12" t="n"/>
      <c r="F169" s="12" t="n"/>
      <c r="G169" s="12" t="n"/>
      <c r="H169" s="12" t="n"/>
    </row>
    <row r="170">
      <c r="A170" s="12" t="n"/>
      <c r="B170" s="12" t="n"/>
      <c r="C170" s="12" t="n"/>
      <c r="D170" s="12" t="n"/>
      <c r="E170" s="12" t="n"/>
      <c r="F170" s="12" t="n"/>
      <c r="G170" s="12" t="n"/>
      <c r="H170" s="12" t="n"/>
    </row>
    <row r="171">
      <c r="A171" s="12" t="n"/>
      <c r="B171" s="12" t="n"/>
      <c r="C171" s="12" t="n"/>
      <c r="D171" s="12" t="n"/>
      <c r="E171" s="12" t="n"/>
      <c r="F171" s="12" t="n"/>
      <c r="G171" s="12" t="n"/>
      <c r="H171" s="12" t="n"/>
    </row>
    <row r="172">
      <c r="A172" s="12" t="n"/>
      <c r="B172" s="12" t="n"/>
      <c r="C172" s="12" t="n"/>
      <c r="D172" s="12" t="n"/>
      <c r="E172" s="12" t="n"/>
      <c r="F172" s="12" t="n"/>
      <c r="G172" s="12" t="n"/>
      <c r="H172" s="12" t="n"/>
    </row>
    <row r="173">
      <c r="A173" s="12" t="n"/>
      <c r="B173" s="12" t="n"/>
      <c r="C173" s="12" t="n"/>
      <c r="D173" s="12" t="n"/>
      <c r="E173" s="12" t="n"/>
      <c r="F173" s="12" t="n"/>
      <c r="G173" s="12" t="n"/>
      <c r="H173" s="12" t="n"/>
    </row>
    <row r="174">
      <c r="A174" s="12" t="n"/>
      <c r="B174" s="12" t="n"/>
      <c r="C174" s="12" t="n"/>
      <c r="D174" s="12" t="n"/>
      <c r="E174" s="12" t="n"/>
      <c r="F174" s="12" t="n"/>
      <c r="G174" s="12" t="n"/>
      <c r="H174" s="12" t="n"/>
    </row>
    <row r="175">
      <c r="A175" s="12" t="n"/>
      <c r="B175" s="12" t="n"/>
      <c r="C175" s="12" t="n"/>
      <c r="D175" s="12" t="n"/>
      <c r="E175" s="12" t="n"/>
      <c r="F175" s="12" t="n"/>
      <c r="G175" s="12" t="n"/>
      <c r="H175" s="12" t="n"/>
    </row>
    <row r="176">
      <c r="A176" s="12" t="n"/>
      <c r="B176" s="12" t="n"/>
      <c r="C176" s="12" t="n"/>
      <c r="D176" s="12" t="n"/>
      <c r="E176" s="12" t="n"/>
      <c r="F176" s="12" t="n"/>
      <c r="G176" s="12" t="n"/>
      <c r="H176" s="12" t="n"/>
    </row>
    <row r="177">
      <c r="A177" s="12" t="n"/>
      <c r="B177" s="12" t="n"/>
      <c r="C177" s="12" t="n"/>
      <c r="D177" s="12" t="n"/>
      <c r="E177" s="12" t="n"/>
      <c r="F177" s="12" t="n"/>
      <c r="G177" s="12" t="n"/>
      <c r="H177" s="12" t="n"/>
    </row>
    <row r="178">
      <c r="A178" s="12" t="n"/>
      <c r="B178" s="12" t="n"/>
      <c r="C178" s="12" t="n"/>
      <c r="D178" s="12" t="n"/>
      <c r="E178" s="12" t="n"/>
      <c r="F178" s="12" t="n"/>
      <c r="G178" s="12" t="n"/>
      <c r="H178" s="12" t="n"/>
    </row>
    <row r="179">
      <c r="A179" s="12" t="n"/>
      <c r="B179" s="12" t="n"/>
      <c r="C179" s="12" t="n"/>
      <c r="D179" s="12" t="n"/>
      <c r="E179" s="12" t="n"/>
      <c r="F179" s="12" t="n"/>
      <c r="G179" s="12" t="n"/>
      <c r="H179" s="12" t="n"/>
    </row>
    <row r="180">
      <c r="A180" s="12" t="n"/>
      <c r="B180" s="12" t="n"/>
      <c r="C180" s="12" t="n"/>
      <c r="D180" s="12" t="n"/>
      <c r="E180" s="12" t="n"/>
      <c r="F180" s="12" t="n"/>
      <c r="G180" s="12" t="n"/>
      <c r="H180" s="12" t="n"/>
    </row>
    <row r="181">
      <c r="A181" s="12" t="n"/>
      <c r="B181" s="12" t="n"/>
      <c r="C181" s="12" t="n"/>
      <c r="D181" s="12" t="n"/>
      <c r="E181" s="12" t="n"/>
      <c r="F181" s="12" t="n"/>
      <c r="G181" s="12" t="n"/>
      <c r="H181" s="12" t="n"/>
    </row>
    <row r="182">
      <c r="A182" s="12" t="n"/>
      <c r="B182" s="12" t="n"/>
      <c r="C182" s="12" t="n"/>
      <c r="D182" s="12" t="n"/>
      <c r="E182" s="12" t="n"/>
      <c r="F182" s="12" t="n"/>
      <c r="G182" s="12" t="n"/>
      <c r="H182" s="12" t="n"/>
    </row>
    <row r="183">
      <c r="A183" s="12" t="n"/>
      <c r="B183" s="12" t="n"/>
      <c r="C183" s="12" t="n"/>
      <c r="D183" s="12" t="n"/>
      <c r="E183" s="12" t="n"/>
      <c r="F183" s="12" t="n"/>
      <c r="G183" s="12" t="n"/>
      <c r="H183" s="12" t="n"/>
    </row>
    <row r="184">
      <c r="A184" s="12" t="n"/>
      <c r="B184" s="12" t="n"/>
      <c r="C184" s="12" t="n"/>
      <c r="D184" s="12" t="n"/>
      <c r="E184" s="12" t="n"/>
      <c r="F184" s="12" t="n"/>
      <c r="G184" s="12" t="n"/>
      <c r="H184" s="12" t="n"/>
    </row>
    <row r="185">
      <c r="A185" s="12" t="n"/>
      <c r="B185" s="12" t="n"/>
      <c r="C185" s="12" t="n"/>
      <c r="D185" s="12" t="n"/>
      <c r="E185" s="12" t="n"/>
      <c r="F185" s="12" t="n"/>
      <c r="G185" s="12" t="n"/>
      <c r="H185" s="12" t="n"/>
    </row>
    <row r="186">
      <c r="A186" s="12" t="n"/>
      <c r="B186" s="12" t="n"/>
      <c r="C186" s="12" t="n"/>
      <c r="D186" s="12" t="n"/>
      <c r="E186" s="12" t="n"/>
      <c r="F186" s="12" t="n"/>
      <c r="G186" s="12" t="n"/>
      <c r="H186" s="12" t="n"/>
    </row>
    <row r="187">
      <c r="A187" s="12" t="n"/>
      <c r="B187" s="12" t="n"/>
      <c r="C187" s="12" t="n"/>
      <c r="D187" s="12" t="n"/>
      <c r="E187" s="12" t="n"/>
      <c r="F187" s="12" t="n"/>
      <c r="G187" s="12" t="n"/>
      <c r="H187" s="12" t="n"/>
    </row>
    <row r="188">
      <c r="A188" s="12" t="n"/>
      <c r="B188" s="12" t="n"/>
      <c r="C188" s="12" t="n"/>
      <c r="D188" s="12" t="n"/>
      <c r="E188" s="12" t="n"/>
      <c r="F188" s="12" t="n"/>
      <c r="G188" s="12" t="n"/>
      <c r="H188" s="12" t="n"/>
    </row>
    <row r="189">
      <c r="A189" s="12" t="n"/>
      <c r="B189" s="12" t="n"/>
      <c r="C189" s="12" t="n"/>
      <c r="D189" s="12" t="n"/>
      <c r="E189" s="12" t="n"/>
      <c r="F189" s="12" t="n"/>
      <c r="G189" s="12" t="n"/>
      <c r="H189" s="12" t="n"/>
    </row>
    <row r="190">
      <c r="A190" s="12" t="n"/>
      <c r="B190" s="12" t="n"/>
      <c r="C190" s="12" t="n"/>
      <c r="D190" s="12" t="n"/>
      <c r="E190" s="12" t="n"/>
      <c r="F190" s="12" t="n"/>
      <c r="G190" s="12" t="n"/>
      <c r="H190" s="12" t="n"/>
    </row>
    <row r="191">
      <c r="A191" s="12" t="n"/>
      <c r="B191" s="12" t="n"/>
      <c r="C191" s="12" t="n"/>
      <c r="D191" s="12" t="n"/>
      <c r="E191" s="12" t="n"/>
      <c r="F191" s="12" t="n"/>
      <c r="G191" s="12" t="n"/>
      <c r="H191" s="12" t="n"/>
    </row>
    <row r="192">
      <c r="A192" s="12" t="n"/>
      <c r="B192" s="12" t="n"/>
      <c r="C192" s="12" t="n"/>
      <c r="D192" s="12" t="n"/>
      <c r="E192" s="12" t="n"/>
      <c r="F192" s="12" t="n"/>
      <c r="G192" s="12" t="n"/>
      <c r="H192" s="12" t="n"/>
    </row>
    <row r="193">
      <c r="A193" s="12" t="n"/>
      <c r="B193" s="12" t="n"/>
      <c r="C193" s="12" t="n"/>
      <c r="D193" s="12" t="n"/>
      <c r="E193" s="12" t="n"/>
      <c r="F193" s="12" t="n"/>
      <c r="G193" s="12" t="n"/>
      <c r="H193" s="12" t="n"/>
    </row>
    <row r="194">
      <c r="A194" s="12" t="n"/>
      <c r="B194" s="12" t="n"/>
      <c r="C194" s="12" t="n"/>
      <c r="D194" s="12" t="n"/>
      <c r="E194" s="12" t="n"/>
      <c r="F194" s="12" t="n"/>
      <c r="G194" s="12" t="n"/>
      <c r="H194" s="12" t="n"/>
    </row>
    <row r="195">
      <c r="A195" s="12" t="n"/>
      <c r="B195" s="12" t="n"/>
      <c r="C195" s="12" t="n"/>
      <c r="D195" s="12" t="n"/>
      <c r="E195" s="12" t="n"/>
      <c r="F195" s="12" t="n"/>
      <c r="G195" s="12" t="n"/>
      <c r="H195" s="12" t="n"/>
    </row>
    <row r="196">
      <c r="A196" s="12" t="n"/>
      <c r="B196" s="12" t="n"/>
      <c r="C196" s="12" t="n"/>
      <c r="D196" s="12" t="n"/>
      <c r="E196" s="12" t="n"/>
      <c r="F196" s="12" t="n"/>
      <c r="G196" s="12" t="n"/>
      <c r="H196" s="12" t="n"/>
    </row>
    <row r="197">
      <c r="A197" s="12" t="n"/>
      <c r="B197" s="12" t="n"/>
      <c r="C197" s="12" t="n"/>
      <c r="D197" s="12" t="n"/>
      <c r="E197" s="12" t="n"/>
      <c r="F197" s="12" t="n"/>
      <c r="G197" s="12" t="n"/>
      <c r="H197" s="12" t="n"/>
    </row>
    <row r="198">
      <c r="A198" s="12" t="n"/>
      <c r="B198" s="12" t="n"/>
      <c r="C198" s="12" t="n"/>
      <c r="D198" s="12" t="n"/>
      <c r="E198" s="12" t="n"/>
      <c r="F198" s="12" t="n"/>
      <c r="G198" s="12" t="n"/>
      <c r="H198" s="12" t="n"/>
    </row>
    <row r="199">
      <c r="A199" s="12" t="n"/>
      <c r="B199" s="12" t="n"/>
      <c r="C199" s="12" t="n"/>
      <c r="D199" s="12" t="n"/>
      <c r="E199" s="12" t="n"/>
      <c r="F199" s="12" t="n"/>
      <c r="G199" s="12" t="n"/>
      <c r="H199" s="12" t="n"/>
    </row>
    <row r="200">
      <c r="A200" s="12" t="n"/>
      <c r="B200" s="12" t="n"/>
      <c r="C200" s="12" t="n"/>
      <c r="D200" s="12" t="n"/>
      <c r="E200" s="12" t="n"/>
      <c r="F200" s="12" t="n"/>
      <c r="G200" s="12" t="n"/>
      <c r="H200" s="12" t="n"/>
    </row>
  </sheetData>
  <mergeCells count="1">
    <mergeCell ref="A1:H1"/>
  </mergeCells>
  <conditionalFormatting sqref="F4:F20">
    <cfRule type="expression" priority="1" dxfId="7">
      <formula>F4="Red"</formula>
    </cfRule>
  </conditionalFormatting>
  <dataValidations count="1">
    <dataValidation sqref="F4:F50" showDropDown="0" showInputMessage="0" showErrorMessage="0" allowBlank="0" type="list">
      <formula1>"Green,Amber,Red"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Regulatory Obligation Register</t>
        </is>
      </c>
      <c r="B1" s="1" t="n"/>
      <c r="C1" s="1" t="n"/>
      <c r="D1" s="1" t="n"/>
      <c r="E1" s="1" t="n"/>
      <c r="F1" s="1" t="n"/>
      <c r="G1" s="1" t="n"/>
      <c r="H1" s="1" t="n"/>
      <c r="I1" s="1" t="n"/>
      <c r="J1" s="1" t="n"/>
      <c r="K1" s="1" t="n"/>
      <c r="L1" s="1" t="n"/>
      <c r="M1" s="87" t="n"/>
      <c r="N1" s="87" t="n"/>
      <c r="O1" s="87" t="n"/>
      <c r="P1" s="87" t="n"/>
      <c r="Q1" s="87" t="n"/>
      <c r="R1" s="87" t="n"/>
      <c r="S1" s="87" t="n"/>
      <c r="T1" s="87" t="n"/>
      <c r="U1" s="87" t="n"/>
      <c r="V1" s="87" t="n"/>
      <c r="W1" s="87" t="n"/>
      <c r="X1" s="87" t="n"/>
      <c r="Y1" s="87" t="n"/>
      <c r="Z1" s="87" t="n"/>
    </row>
    <row r="2" ht="22" customHeight="1" s="44">
      <c r="A2" s="140" t="inlineStr">
        <is>
          <t>Master inventory of recurring/ad-hoc regulatory obligations for Manulife Vietnam</t>
        </is>
      </c>
      <c r="B2" s="1" t="n"/>
      <c r="C2" s="1" t="n"/>
      <c r="D2" s="1" t="n"/>
      <c r="E2" s="1" t="n"/>
      <c r="F2" s="1" t="n"/>
      <c r="G2" s="1" t="n"/>
      <c r="H2" s="1" t="n"/>
      <c r="I2" s="1" t="n"/>
      <c r="J2" s="1" t="n"/>
      <c r="K2" s="1" t="n"/>
      <c r="L2" s="1" t="n"/>
    </row>
    <row r="4" ht="30" customHeight="1" s="44">
      <c r="A4" s="86" t="inlineStr">
        <is>
          <t>Obligation ID</t>
        </is>
      </c>
      <c r="B4" s="86" t="inlineStr">
        <is>
          <t>Obligation</t>
        </is>
      </c>
      <c r="C4" s="86" t="inlineStr">
        <is>
          <t>Regulator</t>
        </is>
      </c>
      <c r="D4" s="86" t="inlineStr">
        <is>
          <t>Legal Basis / Source</t>
        </is>
      </c>
      <c r="E4" s="86" t="inlineStr">
        <is>
          <t>Frequency</t>
        </is>
      </c>
      <c r="F4" s="86" t="inlineStr">
        <is>
          <t>Owner Dept</t>
        </is>
      </c>
      <c r="G4" s="86" t="inlineStr">
        <is>
          <t>Submission Channel</t>
        </is>
      </c>
      <c r="H4" s="86" t="inlineStr">
        <is>
          <t>Due Rule</t>
        </is>
      </c>
      <c r="I4" s="86" t="inlineStr">
        <is>
          <t>Next Due Date</t>
        </is>
      </c>
      <c r="J4" s="86" t="inlineStr">
        <is>
          <t>Penalty / Consequence</t>
        </is>
      </c>
      <c r="K4" s="86" t="inlineStr">
        <is>
          <t>Criticality</t>
        </is>
      </c>
      <c r="L4" s="86" t="inlineStr">
        <is>
          <t>Evidence Required</t>
        </is>
      </c>
      <c r="M4" s="86" t="inlineStr">
        <is>
          <t>Control Owner</t>
        </is>
      </c>
      <c r="N4" s="86" t="inlineStr">
        <is>
          <t>Status</t>
        </is>
      </c>
      <c r="O4" s="86" t="inlineStr">
        <is>
          <t>Days to Due</t>
        </is>
      </c>
      <c r="P4" s="86" t="inlineStr">
        <is>
          <t>RAG</t>
        </is>
      </c>
    </row>
    <row r="5">
      <c r="A5" s="87" t="inlineStr">
        <is>
          <t>OBL-001</t>
        </is>
      </c>
      <c r="B5" s="87" t="inlineStr">
        <is>
          <t>Monthly solvency monitoring report</t>
        </is>
      </c>
      <c r="C5" s="87" t="inlineStr">
        <is>
          <t>ISA / MOF</t>
        </is>
      </c>
      <c r="D5" s="87" t="inlineStr">
        <is>
          <t>Insurance Law / MOF guidance</t>
        </is>
      </c>
      <c r="E5" s="87" t="inlineStr">
        <is>
          <t>Monthly</t>
        </is>
      </c>
      <c r="F5" s="87" t="inlineStr">
        <is>
          <t>Finance</t>
        </is>
      </c>
      <c r="G5" s="87" t="inlineStr">
        <is>
          <t>e-Portal + hard copy</t>
        </is>
      </c>
      <c r="H5" s="87" t="inlineStr">
        <is>
          <t>10th working day</t>
        </is>
      </c>
      <c r="I5" s="141" t="n">
        <v>46193</v>
      </c>
      <c r="J5" s="87" t="inlineStr">
        <is>
          <t>Regulatory reminder / inspection focus</t>
        </is>
      </c>
      <c r="K5" s="87" t="inlineStr">
        <is>
          <t>Critical</t>
        </is>
      </c>
      <c r="L5" s="87" t="inlineStr">
        <is>
          <t>Signed report, calculation file, management approval</t>
        </is>
      </c>
      <c r="M5" s="87" t="inlineStr">
        <is>
          <t>Regulatory Affairs</t>
        </is>
      </c>
      <c r="N5" s="87" t="inlineStr">
        <is>
          <t>Open</t>
        </is>
      </c>
      <c r="O5" s="142">
        <f>I5-TODAY()</f>
        <v/>
      </c>
      <c r="P5" s="87">
        <f>IF(O5&lt;0,"Red",IF(O5&lt;=7,"Amber","Green"))</f>
        <v/>
      </c>
    </row>
    <row r="6">
      <c r="A6" s="87" t="inlineStr">
        <is>
          <t>OBL-002</t>
        </is>
      </c>
      <c r="B6" s="87" t="inlineStr">
        <is>
          <t>Quarterly capital adequacy report</t>
        </is>
      </c>
      <c r="C6" s="87" t="inlineStr">
        <is>
          <t>MOF</t>
        </is>
      </c>
      <c r="D6" s="87" t="inlineStr">
        <is>
          <t>Insurance supervisory reporting rules</t>
        </is>
      </c>
      <c r="E6" s="87" t="inlineStr">
        <is>
          <t>Quarterly</t>
        </is>
      </c>
      <c r="F6" s="87" t="inlineStr">
        <is>
          <t>Finance / Risk</t>
        </is>
      </c>
      <c r="G6" s="87" t="inlineStr">
        <is>
          <t>Hard copy + official letter</t>
        </is>
      </c>
      <c r="H6" s="87" t="inlineStr">
        <is>
          <t>Quarter end + 15 days</t>
        </is>
      </c>
      <c r="I6" s="141" t="n">
        <v>46218</v>
      </c>
      <c r="J6" s="87" t="inlineStr">
        <is>
          <t>High regulatory concern if delayed</t>
        </is>
      </c>
      <c r="K6" s="87" t="inlineStr">
        <is>
          <t>Critical</t>
        </is>
      </c>
      <c r="L6" s="87" t="inlineStr">
        <is>
          <t>Actuary sign-off, Finance review, Compliance review</t>
        </is>
      </c>
      <c r="M6" s="87" t="inlineStr">
        <is>
          <t>Finance</t>
        </is>
      </c>
      <c r="N6" s="87" t="inlineStr">
        <is>
          <t>Open</t>
        </is>
      </c>
      <c r="O6" s="142">
        <f>I6-TODAY()</f>
        <v/>
      </c>
      <c r="P6" s="87">
        <f>IF(O6&lt;0,"Red",IF(O6&lt;=7,"Amber","Green"))</f>
        <v/>
      </c>
    </row>
    <row r="7">
      <c r="A7" s="87" t="inlineStr">
        <is>
          <t>OBL-003</t>
        </is>
      </c>
      <c r="B7" s="87" t="inlineStr">
        <is>
          <t>New product filing / approval dossier</t>
        </is>
      </c>
      <c r="C7" s="87" t="inlineStr">
        <is>
          <t>ISA</t>
        </is>
      </c>
      <c r="D7" s="87" t="inlineStr">
        <is>
          <t>Product approval requirements</t>
        </is>
      </c>
      <c r="E7" s="87" t="inlineStr">
        <is>
          <t>Ad-hoc</t>
        </is>
      </c>
      <c r="F7" s="87" t="inlineStr">
        <is>
          <t>Product / Legal</t>
        </is>
      </c>
      <c r="G7" s="87" t="inlineStr">
        <is>
          <t>Hard copy one-stop desk</t>
        </is>
      </c>
      <c r="H7" s="87" t="inlineStr">
        <is>
          <t>Before launch</t>
        </is>
      </c>
      <c r="I7" s="141" t="n">
        <v>46201</v>
      </c>
      <c r="J7" s="87" t="inlineStr">
        <is>
          <t>Product launch delay</t>
        </is>
      </c>
      <c r="K7" s="87" t="inlineStr">
        <is>
          <t>High</t>
        </is>
      </c>
      <c r="L7" s="87" t="inlineStr">
        <is>
          <t>Product wording, pricing note, disclosure, legal opinion</t>
        </is>
      </c>
      <c r="M7" s="87" t="inlineStr">
        <is>
          <t>Product</t>
        </is>
      </c>
      <c r="N7" s="87" t="inlineStr">
        <is>
          <t>In Progress</t>
        </is>
      </c>
      <c r="O7" s="142">
        <f>I7-TODAY()</f>
        <v/>
      </c>
      <c r="P7" s="87">
        <f>IF(O7&lt;0,"Red",IF(O7&lt;=7,"Amber","Green"))</f>
        <v/>
      </c>
    </row>
    <row r="8">
      <c r="A8" s="87" t="inlineStr">
        <is>
          <t>OBL-004</t>
        </is>
      </c>
      <c r="B8" s="87" t="inlineStr">
        <is>
          <t>Agent training program registration</t>
        </is>
      </c>
      <c r="C8" s="87" t="inlineStr">
        <is>
          <t>ISA</t>
        </is>
      </c>
      <c r="D8" s="87" t="inlineStr">
        <is>
          <t>Agency management regulation</t>
        </is>
      </c>
      <c r="E8" s="87" t="inlineStr">
        <is>
          <t>Ad-hoc</t>
        </is>
      </c>
      <c r="F8" s="87" t="inlineStr">
        <is>
          <t>Agency / Distribution</t>
        </is>
      </c>
      <c r="G8" s="87" t="inlineStr">
        <is>
          <t>Hard copy</t>
        </is>
      </c>
      <c r="H8" s="87" t="inlineStr">
        <is>
          <t>Before training roll-out</t>
        </is>
      </c>
      <c r="I8" s="141" t="n">
        <v>46191</v>
      </c>
      <c r="J8" s="87" t="inlineStr">
        <is>
          <t>Training delay / distribution impact</t>
        </is>
      </c>
      <c r="K8" s="87" t="inlineStr">
        <is>
          <t>Medium</t>
        </is>
      </c>
      <c r="L8" s="87" t="inlineStr">
        <is>
          <t>Training materials, trainer list, timetable</t>
        </is>
      </c>
      <c r="M8" s="87" t="inlineStr">
        <is>
          <t>Agency</t>
        </is>
      </c>
      <c r="N8" s="87" t="inlineStr">
        <is>
          <t>Open</t>
        </is>
      </c>
      <c r="O8" s="142">
        <f>I8-TODAY()</f>
        <v/>
      </c>
      <c r="P8" s="87">
        <f>IF(O8&lt;0,"Red",IF(O8&lt;=7,"Amber","Green"))</f>
        <v/>
      </c>
    </row>
    <row r="9">
      <c r="A9" s="87" t="inlineStr">
        <is>
          <t>OBL-005</t>
        </is>
      </c>
      <c r="B9" s="87" t="inlineStr">
        <is>
          <t>Anti-money laundering periodic update</t>
        </is>
      </c>
      <c r="C9" s="87" t="inlineStr">
        <is>
          <t>SBV / MOF</t>
        </is>
      </c>
      <c r="D9" s="87" t="inlineStr">
        <is>
          <t>AML regulatory framework</t>
        </is>
      </c>
      <c r="E9" s="87" t="inlineStr">
        <is>
          <t>Quarterly</t>
        </is>
      </c>
      <c r="F9" s="87" t="inlineStr">
        <is>
          <t>Compliance</t>
        </is>
      </c>
      <c r="G9" s="87" t="inlineStr">
        <is>
          <t>e-Portal</t>
        </is>
      </c>
      <c r="H9" s="87" t="inlineStr">
        <is>
          <t>Quarter end + 20 days</t>
        </is>
      </c>
      <c r="I9" s="141" t="n">
        <v>46223</v>
      </c>
      <c r="J9" s="87" t="inlineStr">
        <is>
          <t>Compliance finding</t>
        </is>
      </c>
      <c r="K9" s="87" t="inlineStr">
        <is>
          <t>High</t>
        </is>
      </c>
      <c r="L9" s="87" t="inlineStr">
        <is>
          <t>AML statistics, suspicious transaction controls</t>
        </is>
      </c>
      <c r="M9" s="87" t="inlineStr">
        <is>
          <t>Compliance</t>
        </is>
      </c>
      <c r="N9" s="87" t="inlineStr">
        <is>
          <t>Open</t>
        </is>
      </c>
      <c r="O9" s="142">
        <f>I9-TODAY()</f>
        <v/>
      </c>
      <c r="P9" s="87">
        <f>IF(O9&lt;0,"Red",IF(O9&lt;=7,"Amber","Green"))</f>
        <v/>
      </c>
    </row>
    <row r="10">
      <c r="A10" s="87" t="inlineStr">
        <is>
          <t>OBL-006</t>
        </is>
      </c>
      <c r="B10" s="87" t="inlineStr">
        <is>
          <t>Personal data processing compliance update</t>
        </is>
      </c>
      <c r="C10" s="87" t="inlineStr">
        <is>
          <t>MIC / MPS</t>
        </is>
      </c>
      <c r="D10" s="87" t="inlineStr">
        <is>
          <t>Personal data protection decree</t>
        </is>
      </c>
      <c r="E10" s="87" t="inlineStr">
        <is>
          <t>Annual / Ad-hoc</t>
        </is>
      </c>
      <c r="F10" s="87" t="inlineStr">
        <is>
          <t>IT / Legal</t>
        </is>
      </c>
      <c r="G10" s="87" t="inlineStr">
        <is>
          <t>Official letter</t>
        </is>
      </c>
      <c r="H10" s="87" t="inlineStr">
        <is>
          <t>Upon request / annual refresh</t>
        </is>
      </c>
      <c r="I10" s="141" t="n">
        <v>46239</v>
      </c>
      <c r="J10" s="87" t="inlineStr">
        <is>
          <t>Data privacy remediation order</t>
        </is>
      </c>
      <c r="K10" s="87" t="inlineStr">
        <is>
          <t>High</t>
        </is>
      </c>
      <c r="L10" s="87" t="inlineStr">
        <is>
          <t>DPIA, consent process, data inventory</t>
        </is>
      </c>
      <c r="M10" s="87" t="inlineStr">
        <is>
          <t>Legal</t>
        </is>
      </c>
      <c r="N10" s="87" t="inlineStr">
        <is>
          <t>Monitoring</t>
        </is>
      </c>
      <c r="O10" s="142">
        <f>I10-TODAY()</f>
        <v/>
      </c>
      <c r="P10" s="87">
        <f>IF(O10&lt;0,"Red",IF(O10&lt;=7,"Amber","Green"))</f>
        <v/>
      </c>
    </row>
    <row r="11">
      <c r="A11" s="87" t="inlineStr">
        <is>
          <t>OBL-007</t>
        </is>
      </c>
      <c r="B11" s="87" t="inlineStr">
        <is>
          <t>Consumer complaint handling report</t>
        </is>
      </c>
      <c r="C11" s="87" t="inlineStr">
        <is>
          <t>MOF / ISA</t>
        </is>
      </c>
      <c r="D11" s="87" t="inlineStr">
        <is>
          <t>Market conduct supervision</t>
        </is>
      </c>
      <c r="E11" s="87" t="inlineStr">
        <is>
          <t>Monthly</t>
        </is>
      </c>
      <c r="F11" s="87" t="inlineStr">
        <is>
          <t>Customer Service</t>
        </is>
      </c>
      <c r="G11" s="87" t="inlineStr">
        <is>
          <t>Email + hard copy</t>
        </is>
      </c>
      <c r="H11" s="87" t="inlineStr">
        <is>
          <t>5th working day</t>
        </is>
      </c>
      <c r="I11" s="141" t="n">
        <v>46188</v>
      </c>
      <c r="J11" s="87" t="inlineStr">
        <is>
          <t>Market conduct scrutiny</t>
        </is>
      </c>
      <c r="K11" s="87" t="inlineStr">
        <is>
          <t>High</t>
        </is>
      </c>
      <c r="L11" s="87" t="inlineStr">
        <is>
          <t>Complaint log, resolution SLA, root-cause analysis</t>
        </is>
      </c>
      <c r="M11" s="87" t="inlineStr">
        <is>
          <t>Customer Service</t>
        </is>
      </c>
      <c r="N11" s="87" t="inlineStr">
        <is>
          <t>Open</t>
        </is>
      </c>
      <c r="O11" s="142">
        <f>I11-TODAY()</f>
        <v/>
      </c>
      <c r="P11" s="87">
        <f>IF(O11&lt;0,"Red",IF(O11&lt;=7,"Amber","Green"))</f>
        <v/>
      </c>
    </row>
    <row r="12">
      <c r="A12" s="87" t="inlineStr">
        <is>
          <t>OBL-008</t>
        </is>
      </c>
      <c r="B12" s="87" t="inlineStr">
        <is>
          <t>Bancassurance conduct update</t>
        </is>
      </c>
      <c r="C12" s="87" t="inlineStr">
        <is>
          <t>MOF / ISA / SBV</t>
        </is>
      </c>
      <c r="D12" s="87" t="inlineStr">
        <is>
          <t>Bancassurance supervision guidance</t>
        </is>
      </c>
      <c r="E12" s="87" t="inlineStr">
        <is>
          <t>Ad-hoc</t>
        </is>
      </c>
      <c r="F12" s="87" t="inlineStr">
        <is>
          <t>Partnership Distribution</t>
        </is>
      </c>
      <c r="G12" s="87" t="inlineStr">
        <is>
          <t>Working group / letter</t>
        </is>
      </c>
      <c r="H12" s="87" t="inlineStr">
        <is>
          <t>Upon regulator request</t>
        </is>
      </c>
      <c r="I12" s="141" t="n">
        <v>46205</v>
      </c>
      <c r="J12" s="87" t="inlineStr">
        <is>
          <t>Distribution channel restriction risk</t>
        </is>
      </c>
      <c r="K12" s="87" t="inlineStr">
        <is>
          <t>High</t>
        </is>
      </c>
      <c r="L12" s="87" t="inlineStr">
        <is>
          <t>Sales scripts, training evidence, bank partner data</t>
        </is>
      </c>
      <c r="M12" s="87" t="inlineStr">
        <is>
          <t>Distribution</t>
        </is>
      </c>
      <c r="N12" s="87" t="inlineStr">
        <is>
          <t>Open</t>
        </is>
      </c>
      <c r="O12" s="142">
        <f>I12-TODAY()</f>
        <v/>
      </c>
      <c r="P12" s="87">
        <f>IF(O12&lt;0,"Red",IF(O12&lt;=7,"Amber","Green"))</f>
        <v/>
      </c>
    </row>
    <row r="13">
      <c r="A13" s="87" t="inlineStr">
        <is>
          <t>OBL-009</t>
        </is>
      </c>
      <c r="B13" s="87" t="inlineStr">
        <is>
          <t>ESG / sustainable finance disclosure readiness</t>
        </is>
      </c>
      <c r="C13" s="87" t="inlineStr">
        <is>
          <t>MOF</t>
        </is>
      </c>
      <c r="D13" s="87" t="inlineStr">
        <is>
          <t>ESG disclosure roadmap</t>
        </is>
      </c>
      <c r="E13" s="87" t="inlineStr">
        <is>
          <t>Annual</t>
        </is>
      </c>
      <c r="F13" s="87" t="inlineStr">
        <is>
          <t>Strategy / Finance</t>
        </is>
      </c>
      <c r="G13" s="87" t="inlineStr">
        <is>
          <t>Regional pack + local submission</t>
        </is>
      </c>
      <c r="H13" s="87" t="inlineStr">
        <is>
          <t>Annual planning cycle</t>
        </is>
      </c>
      <c r="I13" s="141" t="n">
        <v>46295</v>
      </c>
      <c r="J13" s="87" t="inlineStr">
        <is>
          <t>Reputation / regional reporting gap</t>
        </is>
      </c>
      <c r="K13" s="87" t="inlineStr">
        <is>
          <t>Medium</t>
        </is>
      </c>
      <c r="L13" s="87" t="inlineStr">
        <is>
          <t>ESG KPI, governance note, investment policy summary</t>
        </is>
      </c>
      <c r="M13" s="87" t="inlineStr">
        <is>
          <t>Strategy</t>
        </is>
      </c>
      <c r="N13" s="87" t="inlineStr">
        <is>
          <t>Monitoring</t>
        </is>
      </c>
      <c r="O13" s="142">
        <f>I13-TODAY()</f>
        <v/>
      </c>
      <c r="P13" s="87">
        <f>IF(O13&lt;0,"Red",IF(O13&lt;=7,"Amber","Green"))</f>
        <v/>
      </c>
    </row>
    <row r="14">
      <c r="A14" s="87" t="inlineStr">
        <is>
          <t>OBL-010</t>
        </is>
      </c>
      <c r="B14" s="87" t="inlineStr">
        <is>
          <t>Regulator meeting minutes and action tracking</t>
        </is>
      </c>
      <c r="C14" s="87" t="inlineStr">
        <is>
          <t>MOF / ISA / IAV</t>
        </is>
      </c>
      <c r="D14" s="87" t="inlineStr">
        <is>
          <t>Internal PA operating standard</t>
        </is>
      </c>
      <c r="E14" s="87" t="inlineStr">
        <is>
          <t>After each meeting</t>
        </is>
      </c>
      <c r="F14" s="87" t="inlineStr">
        <is>
          <t>Regulatory &amp; PA</t>
        </is>
      </c>
      <c r="G14" s="87" t="inlineStr">
        <is>
          <t>Internal archive</t>
        </is>
      </c>
      <c r="H14" s="87" t="inlineStr">
        <is>
          <t>2 working days after meeting</t>
        </is>
      </c>
      <c r="I14" s="141" t="n">
        <v>46186</v>
      </c>
      <c r="J14" s="87" t="inlineStr">
        <is>
          <t>Loss of institutional memory</t>
        </is>
      </c>
      <c r="K14" s="87" t="inlineStr">
        <is>
          <t>Medium</t>
        </is>
      </c>
      <c r="L14" s="87" t="inlineStr">
        <is>
          <t>Minutes, action log, owner confirmation</t>
        </is>
      </c>
      <c r="M14" s="87" t="inlineStr">
        <is>
          <t>Regulatory Affairs</t>
        </is>
      </c>
      <c r="N14" s="87" t="inlineStr">
        <is>
          <t>Open</t>
        </is>
      </c>
      <c r="O14" s="142">
        <f>I14-TODAY()</f>
        <v/>
      </c>
      <c r="P14" s="87">
        <f>IF(O14&lt;0,"Red",IF(O14&lt;=7,"Amber","Green"))</f>
        <v/>
      </c>
    </row>
  </sheetData>
  <mergeCells count="2">
    <mergeCell ref="A2:L2"/>
    <mergeCell ref="A1:L1"/>
  </mergeCells>
  <conditionalFormatting sqref="P5:P14">
    <cfRule type="expression" priority="1" dxfId="3">
      <formula>P5="Red"</formula>
    </cfRule>
    <cfRule type="expression" priority="2" dxfId="5">
      <formula>P5="Amber"</formula>
    </cfRule>
    <cfRule type="expression" priority="3" dxfId="6">
      <formula>P5="Green"</formula>
    </cfRule>
  </conditionalFormatting>
  <dataValidations count="4">
    <dataValidation sqref="K5:K50" showDropDown="0" showInputMessage="0" showErrorMessage="0" allowBlank="0" type="list">
      <formula1>"Low,Medium,High,Critical"</formula1>
    </dataValidation>
    <dataValidation sqref="N5:N50" showDropDown="0" showInputMessage="0" showErrorMessage="0" allowBlank="0" type="list">
      <formula1>"Open,In Progress,Submitted,Approved,Closed,Monitoring"</formula1>
    </dataValidation>
    <dataValidation sqref="D4:D200" showDropDown="0" showInputMessage="0" showErrorMessage="0" allowBlank="0" type="list">
      <formula1>"MOF,ISA,IAV,SBV,MIC,VCA,Regional Office"</formula1>
    </dataValidation>
    <dataValidation sqref="E4:E200" showDropDown="0" showInputMessage="0" showErrorMessage="0" allowBlank="0" type="list">
      <formula1>"Legal,Compliance,Finance,Product,Agency,Bancassurance,Operations,CEO Office,Public Affairs,Risk"</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Regulatory Response Tracker</t>
        </is>
      </c>
      <c r="B1" s="1" t="n"/>
      <c r="C1" s="1" t="n"/>
      <c r="D1" s="1" t="n"/>
      <c r="E1" s="1" t="n"/>
      <c r="F1" s="1" t="n"/>
      <c r="G1" s="1" t="n"/>
      <c r="H1" s="1" t="n"/>
      <c r="I1" s="1" t="n"/>
      <c r="J1" s="1" t="n"/>
      <c r="K1" s="1" t="n"/>
      <c r="L1" s="1" t="n"/>
      <c r="M1" s="1" t="n"/>
      <c r="N1" s="1" t="n"/>
      <c r="O1" s="87" t="n"/>
      <c r="P1" s="87" t="n"/>
      <c r="Q1" s="87" t="n"/>
      <c r="R1" s="87" t="n"/>
      <c r="S1" s="87" t="n"/>
      <c r="T1" s="87" t="n"/>
      <c r="U1" s="87" t="n"/>
      <c r="V1" s="87" t="n"/>
      <c r="W1" s="87" t="n"/>
      <c r="X1" s="87" t="n"/>
      <c r="Y1" s="87" t="n"/>
      <c r="Z1" s="87" t="n"/>
    </row>
    <row r="2" ht="22" customHeight="1" s="44">
      <c r="A2" s="140" t="inlineStr">
        <is>
          <t>Track incoming/outgoing official letters, regulator requests and response SLA</t>
        </is>
      </c>
      <c r="B2" s="1" t="n"/>
      <c r="C2" s="1" t="n"/>
      <c r="D2" s="1" t="n"/>
      <c r="E2" s="1" t="n"/>
      <c r="F2" s="1" t="n"/>
      <c r="G2" s="1" t="n"/>
      <c r="H2" s="1" t="n"/>
      <c r="I2" s="1" t="n"/>
      <c r="J2" s="1" t="n"/>
      <c r="K2" s="1" t="n"/>
      <c r="L2" s="1" t="n"/>
      <c r="M2" s="1" t="n"/>
      <c r="N2" s="1" t="n"/>
    </row>
    <row r="4" ht="30" customHeight="1" s="44">
      <c r="A4" s="86" t="inlineStr">
        <is>
          <t>Ref No</t>
        </is>
      </c>
      <c r="B4" s="86" t="inlineStr">
        <is>
          <t>Date Received / Sent</t>
        </is>
      </c>
      <c r="C4" s="86" t="inlineStr">
        <is>
          <t>Direction</t>
        </is>
      </c>
      <c r="D4" s="86" t="inlineStr">
        <is>
          <t>Regulator</t>
        </is>
      </c>
      <c r="E4" s="86" t="inlineStr">
        <is>
          <t>Topic</t>
        </is>
      </c>
      <c r="F4" s="86" t="inlineStr">
        <is>
          <t>Linked Obligation / Submission</t>
        </is>
      </c>
      <c r="G4" s="86" t="inlineStr">
        <is>
          <t>Internal Owner</t>
        </is>
      </c>
      <c r="H4" s="86" t="inlineStr">
        <is>
          <t>Response Due Date</t>
        </is>
      </c>
      <c r="I4" s="86" t="inlineStr">
        <is>
          <t>Status</t>
        </is>
      </c>
      <c r="J4" s="86" t="inlineStr">
        <is>
          <t>Response Sent Date</t>
        </is>
      </c>
      <c r="K4" s="86" t="inlineStr">
        <is>
          <t>Days Open</t>
        </is>
      </c>
      <c r="L4" s="86" t="inlineStr">
        <is>
          <t>SLA Status</t>
        </is>
      </c>
      <c r="M4" s="86" t="inlineStr">
        <is>
          <t>Next Action</t>
        </is>
      </c>
      <c r="N4" s="86" t="inlineStr">
        <is>
          <t>Archive Location</t>
        </is>
      </c>
    </row>
    <row r="5">
      <c r="A5" s="87" t="inlineStr">
        <is>
          <t>ISA-IN-2026-021</t>
        </is>
      </c>
      <c r="B5" s="141" t="n">
        <v>46178</v>
      </c>
      <c r="C5" s="87" t="inlineStr">
        <is>
          <t>Incoming</t>
        </is>
      </c>
      <c r="D5" s="87" t="inlineStr">
        <is>
          <t>ISA</t>
        </is>
      </c>
      <c r="E5" s="87" t="inlineStr">
        <is>
          <t>Clarification on product filing dossier</t>
        </is>
      </c>
      <c r="F5" s="87" t="inlineStr">
        <is>
          <t>OBL-003</t>
        </is>
      </c>
      <c r="G5" s="87" t="inlineStr">
        <is>
          <t>Product / Legal</t>
        </is>
      </c>
      <c r="H5" s="141" t="n">
        <v>46187</v>
      </c>
      <c r="I5" s="87" t="inlineStr">
        <is>
          <t>Open</t>
        </is>
      </c>
      <c r="J5" s="141" t="str"/>
      <c r="K5" s="87">
        <f>IF(J5="",TODAY()-B5,J5-B5)</f>
        <v/>
      </c>
      <c r="L5" s="87">
        <f>IF(AND(J5="",H5&lt;TODAY()),"Overdue",IF(AND(J5="",H5-TODAY()&lt;=3),"Due Soon","On Track"))</f>
        <v/>
      </c>
      <c r="M5" s="87" t="inlineStr">
        <is>
          <t>Prepare Q&amp;A and supporting product disclosure</t>
        </is>
      </c>
      <c r="N5" s="87" t="inlineStr">
        <is>
          <t>/Regulatory/ISA/ProductA/</t>
        </is>
      </c>
    </row>
    <row r="6">
      <c r="A6" s="87" t="inlineStr">
        <is>
          <t>MOF-OUT-2026-034</t>
        </is>
      </c>
      <c r="B6" s="141" t="n">
        <v>46179</v>
      </c>
      <c r="C6" s="87" t="inlineStr">
        <is>
          <t>Outgoing</t>
        </is>
      </c>
      <c r="D6" s="87" t="inlineStr">
        <is>
          <t>MOF</t>
        </is>
      </c>
      <c r="E6" s="87" t="inlineStr">
        <is>
          <t>Quarterly capital adequacy submission</t>
        </is>
      </c>
      <c r="F6" s="87" t="inlineStr">
        <is>
          <t>OBL-002</t>
        </is>
      </c>
      <c r="G6" s="87" t="inlineStr">
        <is>
          <t>Finance</t>
        </is>
      </c>
      <c r="H6" s="141" t="n">
        <v>46218</v>
      </c>
      <c r="I6" s="87" t="inlineStr">
        <is>
          <t>Waiting Reply</t>
        </is>
      </c>
      <c r="J6" s="141" t="n">
        <v>46179</v>
      </c>
      <c r="K6" s="87">
        <f>IF(J6="",TODAY()-B6,J6-B6)</f>
        <v/>
      </c>
      <c r="L6" s="87">
        <f>IF(AND(J6="",H6&lt;TODAY()),"Overdue",IF(AND(J6="",H6-TODAY()&lt;=3),"Due Soon","On Track"))</f>
        <v/>
      </c>
      <c r="M6" s="87" t="inlineStr">
        <is>
          <t>Monitor acknowledgement from MOF</t>
        </is>
      </c>
      <c r="N6" s="87" t="inlineStr">
        <is>
          <t>/Regulatory/MOF/Capital/</t>
        </is>
      </c>
    </row>
    <row r="7">
      <c r="A7" s="87" t="inlineStr">
        <is>
          <t>MOF-IN-2026-022</t>
        </is>
      </c>
      <c r="B7" s="141" t="n">
        <v>46180</v>
      </c>
      <c r="C7" s="87" t="inlineStr">
        <is>
          <t>Incoming</t>
        </is>
      </c>
      <c r="D7" s="87" t="inlineStr">
        <is>
          <t>MOF</t>
        </is>
      </c>
      <c r="E7" s="87" t="inlineStr">
        <is>
          <t>Request for complaint-handling statistics</t>
        </is>
      </c>
      <c r="F7" s="87" t="inlineStr">
        <is>
          <t>OBL-007</t>
        </is>
      </c>
      <c r="G7" s="87" t="inlineStr">
        <is>
          <t>Customer Service</t>
        </is>
      </c>
      <c r="H7" s="141" t="n">
        <v>46188</v>
      </c>
      <c r="I7" s="87" t="inlineStr">
        <is>
          <t>In Progress</t>
        </is>
      </c>
      <c r="J7" s="141" t="str"/>
      <c r="K7" s="87">
        <f>IF(J7="",TODAY()-B7,J7-B7)</f>
        <v/>
      </c>
      <c r="L7" s="87">
        <f>IF(AND(J7="",H7&lt;TODAY()),"Overdue",IF(AND(J7="",H7-TODAY()&lt;=3),"Due Soon","On Track"))</f>
        <v/>
      </c>
      <c r="M7" s="87" t="inlineStr">
        <is>
          <t>Collect complaint SLA data and root-cause summary</t>
        </is>
      </c>
      <c r="N7" s="87" t="inlineStr">
        <is>
          <t>/Regulatory/MOF/MarketConduct/</t>
        </is>
      </c>
    </row>
    <row r="8">
      <c r="A8" s="87" t="inlineStr">
        <is>
          <t>SBV-IN-2026-006</t>
        </is>
      </c>
      <c r="B8" s="141" t="n">
        <v>46175</v>
      </c>
      <c r="C8" s="87" t="inlineStr">
        <is>
          <t>Incoming</t>
        </is>
      </c>
      <c r="D8" s="87" t="inlineStr">
        <is>
          <t>SBV</t>
        </is>
      </c>
      <c r="E8" s="87" t="inlineStr">
        <is>
          <t>Bancassurance conduct information request</t>
        </is>
      </c>
      <c r="F8" s="87" t="inlineStr">
        <is>
          <t>OBL-008</t>
        </is>
      </c>
      <c r="G8" s="87" t="inlineStr">
        <is>
          <t>Distribution / Compliance</t>
        </is>
      </c>
      <c r="H8" s="141" t="n">
        <v>46185</v>
      </c>
      <c r="I8" s="87" t="inlineStr">
        <is>
          <t>Open</t>
        </is>
      </c>
      <c r="J8" s="141" t="str"/>
      <c r="K8" s="87">
        <f>IF(J8="",TODAY()-B8,J8-B8)</f>
        <v/>
      </c>
      <c r="L8" s="87">
        <f>IF(AND(J8="",H8&lt;TODAY()),"Overdue",IF(AND(J8="",H8-TODAY()&lt;=3),"Due Soon","On Track"))</f>
        <v/>
      </c>
      <c r="M8" s="87" t="inlineStr">
        <is>
          <t>Align data with bank partner before response</t>
        </is>
      </c>
      <c r="N8" s="87" t="inlineStr">
        <is>
          <t>/Regulatory/SBV/Banca/</t>
        </is>
      </c>
    </row>
    <row r="9">
      <c r="A9" s="87" t="inlineStr">
        <is>
          <t>MIC-IN-2026-004</t>
        </is>
      </c>
      <c r="B9" s="141" t="n">
        <v>46170</v>
      </c>
      <c r="C9" s="87" t="inlineStr">
        <is>
          <t>Incoming</t>
        </is>
      </c>
      <c r="D9" s="87" t="inlineStr">
        <is>
          <t>MIC</t>
        </is>
      </c>
      <c r="E9" s="87" t="inlineStr">
        <is>
          <t>Data localization consultation draft</t>
        </is>
      </c>
      <c r="F9" s="87" t="inlineStr">
        <is>
          <t>OBL-006</t>
        </is>
      </c>
      <c r="G9" s="87" t="inlineStr">
        <is>
          <t>IT / Legal</t>
        </is>
      </c>
      <c r="H9" s="141" t="n">
        <v>46193</v>
      </c>
      <c r="I9" s="87" t="inlineStr">
        <is>
          <t>In Progress</t>
        </is>
      </c>
      <c r="J9" s="141" t="str"/>
      <c r="K9" s="87">
        <f>IF(J9="",TODAY()-B9,J9-B9)</f>
        <v/>
      </c>
      <c r="L9" s="87">
        <f>IF(AND(J9="",H9&lt;TODAY()),"Overdue",IF(AND(J9="",H9-TODAY()&lt;=3),"Due Soon","On Track"))</f>
        <v/>
      </c>
      <c r="M9" s="87" t="inlineStr">
        <is>
          <t>Submit industry feedback through IAV where appropriate</t>
        </is>
      </c>
      <c r="N9" s="87" t="inlineStr">
        <is>
          <t>/Regulatory/MIC/Data/</t>
        </is>
      </c>
    </row>
    <row r="10">
      <c r="A10" s="87" t="inlineStr">
        <is>
          <t>IAV-IN-2026-011</t>
        </is>
      </c>
      <c r="B10" s="141" t="n">
        <v>46176</v>
      </c>
      <c r="C10" s="87" t="inlineStr">
        <is>
          <t>Incoming</t>
        </is>
      </c>
      <c r="D10" s="87" t="inlineStr">
        <is>
          <t>IAV</t>
        </is>
      </c>
      <c r="E10" s="87" t="inlineStr">
        <is>
          <t>Industry working group on product transparency</t>
        </is>
      </c>
      <c r="F10" s="87" t="inlineStr">
        <is>
          <t>OBL-003</t>
        </is>
      </c>
      <c r="G10" s="87" t="inlineStr">
        <is>
          <t>Regulatory &amp; PA</t>
        </is>
      </c>
      <c r="H10" s="141" t="n">
        <v>46186</v>
      </c>
      <c r="I10" s="87" t="inlineStr">
        <is>
          <t>Closed</t>
        </is>
      </c>
      <c r="J10" s="141" t="n">
        <v>46183</v>
      </c>
      <c r="K10" s="87">
        <f>IF(J10="",TODAY()-B10,J10-B10)</f>
        <v/>
      </c>
      <c r="L10" s="87">
        <f>IF(AND(J10="",H10&lt;TODAY()),"Overdue",IF(AND(J10="",H10-TODAY()&lt;=3),"Due Soon","On Track"))</f>
        <v/>
      </c>
      <c r="M10" s="87" t="inlineStr">
        <is>
          <t>Prepare internal summary of IAV position</t>
        </is>
      </c>
      <c r="N10" s="87" t="inlineStr">
        <is>
          <t>/Regulatory/IAV/ProductTransparency/</t>
        </is>
      </c>
    </row>
    <row r="11">
      <c r="A11" s="87" t="inlineStr">
        <is>
          <t>ISA-OUT-2026-035</t>
        </is>
      </c>
      <c r="B11" s="141" t="n">
        <v>46182</v>
      </c>
      <c r="C11" s="87" t="inlineStr">
        <is>
          <t>Outgoing</t>
        </is>
      </c>
      <c r="D11" s="87" t="inlineStr">
        <is>
          <t>ISA</t>
        </is>
      </c>
      <c r="E11" s="87" t="inlineStr">
        <is>
          <t>Agent training materials registration</t>
        </is>
      </c>
      <c r="F11" s="87" t="inlineStr">
        <is>
          <t>OBL-004</t>
        </is>
      </c>
      <c r="G11" s="87" t="inlineStr">
        <is>
          <t>Agency</t>
        </is>
      </c>
      <c r="H11" s="141" t="n">
        <v>46191</v>
      </c>
      <c r="I11" s="87" t="inlineStr">
        <is>
          <t>Submitted</t>
        </is>
      </c>
      <c r="J11" s="141" t="n">
        <v>46182</v>
      </c>
      <c r="K11" s="87">
        <f>IF(J11="",TODAY()-B11,J11-B11)</f>
        <v/>
      </c>
      <c r="L11" s="87">
        <f>IF(AND(J11="",H11&lt;TODAY()),"Overdue",IF(AND(J11="",H11-TODAY()&lt;=3),"Due Soon","On Track"))</f>
        <v/>
      </c>
      <c r="M11" s="87" t="inlineStr">
        <is>
          <t>Wait for receipt stamp and update archive</t>
        </is>
      </c>
      <c r="N11" s="87" t="inlineStr">
        <is>
          <t>/Regulatory/ISA/AgentTraining/</t>
        </is>
      </c>
    </row>
  </sheetData>
  <mergeCells count="2">
    <mergeCell ref="A2:N2"/>
    <mergeCell ref="A1:N1"/>
  </mergeCells>
  <conditionalFormatting sqref="L5:L11">
    <cfRule type="expression" priority="1" dxfId="3">
      <formula>L5="Overdue"</formula>
    </cfRule>
    <cfRule type="expression" priority="2" dxfId="5">
      <formula>L5="Due Soon"</formula>
    </cfRule>
  </conditionalFormatting>
  <dataValidations count="4">
    <dataValidation sqref="C5:C80" showDropDown="0" showInputMessage="0" showErrorMessage="0" allowBlank="0" type="list">
      <formula1>"Incoming,Outgoing"</formula1>
    </dataValidation>
    <dataValidation sqref="I5:I80" showDropDown="0" showInputMessage="0" showErrorMessage="0" allowBlank="0" type="list">
      <formula1>"Open,In Progress,Submitted,Waiting Reply,Closed,Overdue"</formula1>
    </dataValidation>
    <dataValidation sqref="D4:D200" showDropDown="0" showInputMessage="0" showErrorMessage="0" allowBlank="0" type="list">
      <formula1>"MOF,ISA,IAV,SBV,MIC,VCA,Regional Office"</formula1>
    </dataValidation>
    <dataValidation sqref="C4:C200" showDropDown="0" showInputMessage="0" showErrorMessage="0" allowBlank="0" type="list">
      <formula1>"Incoming,Outgoing"</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Product Approval Command Center</t>
        </is>
      </c>
      <c r="B1" s="1" t="n"/>
      <c r="C1" s="1" t="n"/>
      <c r="D1" s="1" t="n"/>
      <c r="E1" s="1" t="n"/>
      <c r="F1" s="1" t="n"/>
      <c r="G1" s="1" t="n"/>
      <c r="H1" s="1" t="n"/>
      <c r="I1" s="1" t="n"/>
      <c r="J1" s="1" t="n"/>
      <c r="K1" s="1" t="n"/>
      <c r="L1" s="1" t="n"/>
      <c r="M1" s="1" t="n"/>
      <c r="N1" s="1" t="n"/>
      <c r="O1" s="87" t="n"/>
      <c r="P1" s="87" t="n"/>
      <c r="Q1" s="87" t="n"/>
      <c r="R1" s="87" t="n"/>
      <c r="S1" s="87" t="n"/>
      <c r="T1" s="87" t="n"/>
      <c r="U1" s="87" t="n"/>
      <c r="V1" s="87" t="n"/>
      <c r="W1" s="87" t="n"/>
      <c r="X1" s="87" t="n"/>
      <c r="Y1" s="87" t="n"/>
      <c r="Z1" s="87" t="n"/>
    </row>
    <row r="2" ht="22" customHeight="1" s="44">
      <c r="A2" s="140" t="inlineStr">
        <is>
          <t>Dedicated tracker for product approval dossiers, bottlenecks and expected timeline</t>
        </is>
      </c>
      <c r="B2" s="1" t="n"/>
      <c r="C2" s="1" t="n"/>
      <c r="D2" s="1" t="n"/>
      <c r="E2" s="1" t="n"/>
      <c r="F2" s="1" t="n"/>
      <c r="G2" s="1" t="n"/>
      <c r="H2" s="1" t="n"/>
      <c r="I2" s="1" t="n"/>
      <c r="J2" s="1" t="n"/>
      <c r="K2" s="1" t="n"/>
      <c r="L2" s="1" t="n"/>
      <c r="M2" s="1" t="n"/>
      <c r="N2" s="1" t="n"/>
    </row>
    <row r="4" ht="30" customHeight="1" s="44">
      <c r="A4" s="86" t="inlineStr">
        <is>
          <t>Product ID</t>
        </is>
      </c>
      <c r="B4" s="86" t="inlineStr">
        <is>
          <t>Product Name</t>
        </is>
      </c>
      <c r="C4" s="86" t="inlineStr">
        <is>
          <t>Product Type</t>
        </is>
      </c>
      <c r="D4" s="86" t="inlineStr">
        <is>
          <t>Business Owner</t>
        </is>
      </c>
      <c r="E4" s="86" t="inlineStr">
        <is>
          <t>Regulator</t>
        </is>
      </c>
      <c r="F4" s="86" t="inlineStr">
        <is>
          <t>Current Stage</t>
        </is>
      </c>
      <c r="G4" s="86" t="inlineStr">
        <is>
          <t>Request Date</t>
        </is>
      </c>
      <c r="H4" s="86" t="inlineStr">
        <is>
          <t>Submitted Date</t>
        </is>
      </c>
      <c r="I4" s="86" t="inlineStr">
        <is>
          <t>Target Approval Date</t>
        </is>
      </c>
      <c r="J4" s="86" t="inlineStr">
        <is>
          <t>Expected Approval Days</t>
        </is>
      </c>
      <c r="K4" s="86" t="inlineStr">
        <is>
          <t>Actual Approval Date</t>
        </is>
      </c>
      <c r="L4" s="86" t="inlineStr">
        <is>
          <t>Bottleneck</t>
        </is>
      </c>
      <c r="M4" s="86" t="inlineStr">
        <is>
          <t>Approval Risk</t>
        </is>
      </c>
      <c r="N4" s="86" t="inlineStr">
        <is>
          <t>Next Action</t>
        </is>
      </c>
    </row>
    <row r="5">
      <c r="A5" s="87" t="inlineStr">
        <is>
          <t>PROD-001</t>
        </is>
      </c>
      <c r="B5" s="87" t="inlineStr">
        <is>
          <t>FutureCare UL Plus</t>
        </is>
      </c>
      <c r="C5" s="87" t="inlineStr">
        <is>
          <t>Unit-linked</t>
        </is>
      </c>
      <c r="D5" s="87" t="inlineStr">
        <is>
          <t>Product</t>
        </is>
      </c>
      <c r="E5" s="87" t="inlineStr">
        <is>
          <t>ISA</t>
        </is>
      </c>
      <c r="F5" s="87" t="inlineStr">
        <is>
          <t>Regulator Review</t>
        </is>
      </c>
      <c r="G5" s="141" t="n">
        <v>46154</v>
      </c>
      <c r="H5" s="141" t="n">
        <v>46175</v>
      </c>
      <c r="I5" s="141" t="n">
        <v>46218</v>
      </c>
      <c r="J5" s="87">
        <f>IF(K5="",I5-G5,K5-G5)</f>
        <v/>
      </c>
      <c r="K5" s="141" t="str"/>
      <c r="L5" s="87" t="inlineStr">
        <is>
          <t>Additional disclosure questions</t>
        </is>
      </c>
      <c r="M5" s="87" t="inlineStr">
        <is>
          <t>Medium</t>
        </is>
      </c>
      <c r="N5" s="87" t="inlineStr">
        <is>
          <t>Prepare written clarification on benefit illustration</t>
        </is>
      </c>
    </row>
    <row r="6">
      <c r="A6" s="87" t="inlineStr">
        <is>
          <t>PROD-002</t>
        </is>
      </c>
      <c r="B6" s="87" t="inlineStr">
        <is>
          <t>Health Shield Rider 2026</t>
        </is>
      </c>
      <c r="C6" s="87" t="inlineStr">
        <is>
          <t>Health rider</t>
        </is>
      </c>
      <c r="D6" s="87" t="inlineStr">
        <is>
          <t>Product / Actuary</t>
        </is>
      </c>
      <c r="E6" s="87" t="inlineStr">
        <is>
          <t>ISA</t>
        </is>
      </c>
      <c r="F6" s="87" t="inlineStr">
        <is>
          <t>Internal Legal Review</t>
        </is>
      </c>
      <c r="G6" s="141" t="n">
        <v>46174</v>
      </c>
      <c r="H6" s="141" t="str"/>
      <c r="I6" s="141" t="n">
        <v>46233</v>
      </c>
      <c r="J6" s="87">
        <f>IF(K6="",I6-G6,K6-G6)</f>
        <v/>
      </c>
      <c r="K6" s="141" t="str"/>
      <c r="L6" s="87" t="inlineStr">
        <is>
          <t>Legal wording and exclusion clauses</t>
        </is>
      </c>
      <c r="M6" s="87" t="inlineStr">
        <is>
          <t>Medium</t>
        </is>
      </c>
      <c r="N6" s="87" t="inlineStr">
        <is>
          <t>Finalize wording and submit to Compliance</t>
        </is>
      </c>
    </row>
    <row r="7">
      <c r="A7" s="87" t="inlineStr">
        <is>
          <t>PROD-003</t>
        </is>
      </c>
      <c r="B7" s="87" t="inlineStr">
        <is>
          <t>Retirement Income Plan</t>
        </is>
      </c>
      <c r="C7" s="87" t="inlineStr">
        <is>
          <t>Pension / savings</t>
        </is>
      </c>
      <c r="D7" s="87" t="inlineStr">
        <is>
          <t>Product / Finance</t>
        </is>
      </c>
      <c r="E7" s="87" t="inlineStr">
        <is>
          <t>ISA</t>
        </is>
      </c>
      <c r="F7" s="87" t="inlineStr">
        <is>
          <t>Drafting</t>
        </is>
      </c>
      <c r="G7" s="141" t="n">
        <v>46178</v>
      </c>
      <c r="H7" s="141" t="str"/>
      <c r="I7" s="141" t="n">
        <v>46254</v>
      </c>
      <c r="J7" s="87">
        <f>IF(K7="",I7-G7,K7-G7)</f>
        <v/>
      </c>
      <c r="K7" s="141" t="str"/>
      <c r="L7" s="87" t="inlineStr">
        <is>
          <t>Pricing assumptions alignment</t>
        </is>
      </c>
      <c r="M7" s="87" t="inlineStr">
        <is>
          <t>Low</t>
        </is>
      </c>
      <c r="N7" s="87" t="inlineStr">
        <is>
          <t>Complete actuarial memo</t>
        </is>
      </c>
    </row>
    <row r="8">
      <c r="A8" s="87" t="inlineStr">
        <is>
          <t>PROD-004</t>
        </is>
      </c>
      <c r="B8" s="87" t="inlineStr">
        <is>
          <t>Family Protection 2026</t>
        </is>
      </c>
      <c r="C8" s="87" t="inlineStr">
        <is>
          <t>Traditional life</t>
        </is>
      </c>
      <c r="D8" s="87" t="inlineStr">
        <is>
          <t>Product</t>
        </is>
      </c>
      <c r="E8" s="87" t="inlineStr">
        <is>
          <t>ISA</t>
        </is>
      </c>
      <c r="F8" s="87" t="inlineStr">
        <is>
          <t>Approved</t>
        </is>
      </c>
      <c r="G8" s="141" t="n">
        <v>46127</v>
      </c>
      <c r="H8" s="141" t="n">
        <v>46147</v>
      </c>
      <c r="I8" s="141" t="n">
        <v>46198</v>
      </c>
      <c r="J8" s="87">
        <f>IF(K8="",I8-G8,K8-G8)</f>
        <v/>
      </c>
      <c r="K8" s="141" t="n">
        <v>46181</v>
      </c>
      <c r="L8" s="87" t="inlineStr">
        <is>
          <t>None</t>
        </is>
      </c>
      <c r="M8" s="87" t="inlineStr">
        <is>
          <t>Low</t>
        </is>
      </c>
      <c r="N8" s="87" t="inlineStr">
        <is>
          <t>Archive approval and notify distribution</t>
        </is>
      </c>
    </row>
    <row r="9">
      <c r="A9" s="87" t="inlineStr">
        <is>
          <t>PROD-005</t>
        </is>
      </c>
      <c r="B9" s="87" t="inlineStr">
        <is>
          <t>Digital Term Life</t>
        </is>
      </c>
      <c r="C9" s="87" t="inlineStr">
        <is>
          <t>Protection / digital</t>
        </is>
      </c>
      <c r="D9" s="87" t="inlineStr">
        <is>
          <t>Digital / Product</t>
        </is>
      </c>
      <c r="E9" s="87" t="inlineStr">
        <is>
          <t>ISA / MIC</t>
        </is>
      </c>
      <c r="F9" s="87" t="inlineStr">
        <is>
          <t>Pre-consultation</t>
        </is>
      </c>
      <c r="G9" s="141" t="n">
        <v>46176</v>
      </c>
      <c r="H9" s="141" t="str"/>
      <c r="I9" s="141" t="n">
        <v>46275</v>
      </c>
      <c r="J9" s="87">
        <f>IF(K9="",I9-G9,K9-G9)</f>
        <v/>
      </c>
      <c r="K9" s="141" t="str"/>
      <c r="L9" s="87" t="inlineStr">
        <is>
          <t>Data consent and e-KYC process</t>
        </is>
      </c>
      <c r="M9" s="87" t="inlineStr">
        <is>
          <t>High</t>
        </is>
      </c>
      <c r="N9" s="87" t="inlineStr">
        <is>
          <t>Hold pre-consultation with data/legal team</t>
        </is>
      </c>
    </row>
    <row r="10">
      <c r="A10" s="87" t="inlineStr">
        <is>
          <t>PROD-006</t>
        </is>
      </c>
      <c r="B10" s="87" t="inlineStr">
        <is>
          <t>Banca Savings Plan</t>
        </is>
      </c>
      <c r="C10" s="87" t="inlineStr">
        <is>
          <t>Bancassurance</t>
        </is>
      </c>
      <c r="D10" s="87" t="inlineStr">
        <is>
          <t>Partnership Distribution</t>
        </is>
      </c>
      <c r="E10" s="87" t="inlineStr">
        <is>
          <t>ISA / SBV</t>
        </is>
      </c>
      <c r="F10" s="87" t="inlineStr">
        <is>
          <t>On Hold</t>
        </is>
      </c>
      <c r="G10" s="141" t="n">
        <v>46162</v>
      </c>
      <c r="H10" s="141" t="str"/>
      <c r="I10" s="141" t="n">
        <v>46239</v>
      </c>
      <c r="J10" s="87">
        <f>IF(K10="",I10-G10,K10-G10)</f>
        <v/>
      </c>
      <c r="K10" s="141" t="str"/>
      <c r="L10" s="87" t="inlineStr">
        <is>
          <t>Bancassurance conduct review</t>
        </is>
      </c>
      <c r="M10" s="87" t="inlineStr">
        <is>
          <t>High</t>
        </is>
      </c>
      <c r="N10" s="87" t="inlineStr">
        <is>
          <t>Await internal conduct remediation evidence</t>
        </is>
      </c>
    </row>
  </sheetData>
  <mergeCells count="2">
    <mergeCell ref="A2:N2"/>
    <mergeCell ref="A1:N1"/>
  </mergeCells>
  <conditionalFormatting sqref="M5:M10">
    <cfRule type="expression" priority="1" dxfId="3">
      <formula>M5="High"</formula>
    </cfRule>
    <cfRule type="expression" priority="2" dxfId="5">
      <formula>M5="Medium"</formula>
    </cfRule>
  </conditionalFormatting>
  <dataValidations count="3">
    <dataValidation sqref="F5:F80" showDropDown="0" showInputMessage="0" showErrorMessage="0" allowBlank="0" type="list">
      <formula1>"Drafting,Internal Legal Review,Compliance Review,Submitted,Regulator Review,Pre-consultation,Approved,On Hold,Rejected/Withdrawn"</formula1>
    </dataValidation>
    <dataValidation sqref="M5:M80" showDropDown="0" showInputMessage="0" showErrorMessage="0" allowBlank="0" type="list">
      <formula1>"Low,Medium,High"</formula1>
    </dataValidation>
    <dataValidation sqref="D4:D200" showDropDown="0" showInputMessage="0" showErrorMessage="0" allowBlank="0" type="list">
      <formula1>"MOF,ISA,IAV,SBV,MIC,VCA,Regional Office"</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Internal Coordination Tracker</t>
        </is>
      </c>
      <c r="B1" s="1" t="n"/>
      <c r="C1" s="1" t="n"/>
      <c r="D1" s="1" t="n"/>
      <c r="E1" s="1" t="n"/>
      <c r="F1" s="1" t="n"/>
      <c r="G1" s="1" t="n"/>
      <c r="H1" s="1" t="n"/>
      <c r="I1" s="1" t="n"/>
      <c r="J1" s="1" t="n"/>
      <c r="K1" s="1" t="n"/>
      <c r="L1" s="1" t="n"/>
      <c r="M1" s="1" t="n"/>
      <c r="N1" s="87" t="n"/>
      <c r="O1" s="87" t="n"/>
      <c r="P1" s="87" t="n"/>
      <c r="Q1" s="87" t="n"/>
      <c r="R1" s="87" t="n"/>
      <c r="S1" s="87" t="n"/>
      <c r="T1" s="87" t="n"/>
      <c r="U1" s="87" t="n"/>
      <c r="V1" s="87" t="n"/>
      <c r="W1" s="87" t="n"/>
      <c r="X1" s="87" t="n"/>
      <c r="Y1" s="87" t="n"/>
      <c r="Z1" s="87" t="n"/>
    </row>
    <row r="2" ht="22" customHeight="1" s="44">
      <c r="A2" s="140" t="inlineStr">
        <is>
          <t>Follow-up matrix with Legal, Compliance, Product, Finance, Distribution and Regional Office</t>
        </is>
      </c>
      <c r="B2" s="1" t="n"/>
      <c r="C2" s="1" t="n"/>
      <c r="D2" s="1" t="n"/>
      <c r="E2" s="1" t="n"/>
      <c r="F2" s="1" t="n"/>
      <c r="G2" s="1" t="n"/>
      <c r="H2" s="1" t="n"/>
      <c r="I2" s="1" t="n"/>
      <c r="J2" s="1" t="n"/>
      <c r="K2" s="1" t="n"/>
      <c r="L2" s="1" t="n"/>
      <c r="M2" s="1" t="n"/>
    </row>
    <row r="4" ht="30" customHeight="1" s="44">
      <c r="A4" s="86" t="inlineStr">
        <is>
          <t>Item ID</t>
        </is>
      </c>
      <c r="B4" s="86" t="inlineStr">
        <is>
          <t>Department</t>
        </is>
      </c>
      <c r="C4" s="86" t="inlineStr">
        <is>
          <t>Request / Input Needed</t>
        </is>
      </c>
      <c r="D4" s="86" t="inlineStr">
        <is>
          <t>Linked Matter</t>
        </is>
      </c>
      <c r="E4" s="86" t="inlineStr">
        <is>
          <t>Request Date</t>
        </is>
      </c>
      <c r="F4" s="86" t="inlineStr">
        <is>
          <t>Due Date</t>
        </is>
      </c>
      <c r="G4" s="86" t="inlineStr">
        <is>
          <t>SLA Days</t>
        </is>
      </c>
      <c r="H4" s="86" t="inlineStr">
        <is>
          <t>Owner</t>
        </is>
      </c>
      <c r="I4" s="86" t="inlineStr">
        <is>
          <t>Status</t>
        </is>
      </c>
      <c r="J4" s="86" t="inlineStr">
        <is>
          <t>Escalation</t>
        </is>
      </c>
      <c r="K4" s="86" t="inlineStr">
        <is>
          <t>Days to Due</t>
        </is>
      </c>
      <c r="L4" s="86" t="inlineStr">
        <is>
          <t>Reminder Sent</t>
        </is>
      </c>
      <c r="M4" s="86" t="inlineStr">
        <is>
          <t>Management Attention</t>
        </is>
      </c>
    </row>
    <row r="5">
      <c r="A5" s="87" t="inlineStr">
        <is>
          <t>INT-001</t>
        </is>
      </c>
      <c r="B5" s="87" t="inlineStr">
        <is>
          <t>Legal</t>
        </is>
      </c>
      <c r="C5" s="87" t="inlineStr">
        <is>
          <t>Review official letter to ISA for product clarification</t>
        </is>
      </c>
      <c r="D5" s="87" t="inlineStr">
        <is>
          <t>PROD-001</t>
        </is>
      </c>
      <c r="E5" s="141" t="n">
        <v>46181</v>
      </c>
      <c r="F5" s="141" t="n">
        <v>46186</v>
      </c>
      <c r="G5" s="87">
        <f>F5-E5</f>
        <v/>
      </c>
      <c r="H5" s="87" t="inlineStr">
        <is>
          <t>Legal Counsel</t>
        </is>
      </c>
      <c r="I5" s="87" t="inlineStr">
        <is>
          <t>In Progress</t>
        </is>
      </c>
      <c r="J5" s="87" t="inlineStr">
        <is>
          <t>No</t>
        </is>
      </c>
      <c r="K5" s="87">
        <f>F5-TODAY()</f>
        <v/>
      </c>
      <c r="L5" s="87" t="inlineStr">
        <is>
          <t>Yes</t>
        </is>
      </c>
      <c r="M5" s="87">
        <f>IF(K5&lt;0,"Yes",IF(AND(K5&lt;=2,I5&lt;&gt;"Done"),"Potential","No"))</f>
        <v/>
      </c>
    </row>
    <row r="6">
      <c r="A6" s="87" t="inlineStr">
        <is>
          <t>INT-002</t>
        </is>
      </c>
      <c r="B6" s="87" t="inlineStr">
        <is>
          <t>Compliance</t>
        </is>
      </c>
      <c r="C6" s="87" t="inlineStr">
        <is>
          <t>Confirm market conduct controls for bancassurance response</t>
        </is>
      </c>
      <c r="D6" s="87" t="inlineStr">
        <is>
          <t>SBV-IN-2026-006</t>
        </is>
      </c>
      <c r="E6" s="141" t="n">
        <v>46179</v>
      </c>
      <c r="F6" s="141" t="n">
        <v>46185</v>
      </c>
      <c r="G6" s="87">
        <f>F6-E6</f>
        <v/>
      </c>
      <c r="H6" s="87" t="inlineStr">
        <is>
          <t>Compliance Manager</t>
        </is>
      </c>
      <c r="I6" s="87" t="inlineStr">
        <is>
          <t>Pending</t>
        </is>
      </c>
      <c r="J6" s="87" t="inlineStr">
        <is>
          <t>Yes</t>
        </is>
      </c>
      <c r="K6" s="87">
        <f>F6-TODAY()</f>
        <v/>
      </c>
      <c r="L6" s="87" t="inlineStr">
        <is>
          <t>Yes</t>
        </is>
      </c>
      <c r="M6" s="87">
        <f>IF(K6&lt;0,"Yes",IF(AND(K6&lt;=2,I6&lt;&gt;"Done"),"Potential","No"))</f>
        <v/>
      </c>
    </row>
    <row r="7">
      <c r="A7" s="87" t="inlineStr">
        <is>
          <t>INT-003</t>
        </is>
      </c>
      <c r="B7" s="87" t="inlineStr">
        <is>
          <t>Finance</t>
        </is>
      </c>
      <c r="C7" s="87" t="inlineStr">
        <is>
          <t>Provide capital adequacy figures and management sign-off</t>
        </is>
      </c>
      <c r="D7" s="87" t="inlineStr">
        <is>
          <t>OBL-002</t>
        </is>
      </c>
      <c r="E7" s="141" t="n">
        <v>46183</v>
      </c>
      <c r="F7" s="141" t="n">
        <v>46191</v>
      </c>
      <c r="G7" s="87">
        <f>F7-E7</f>
        <v/>
      </c>
      <c r="H7" s="87" t="inlineStr">
        <is>
          <t>Finance Controller</t>
        </is>
      </c>
      <c r="I7" s="87" t="inlineStr">
        <is>
          <t>Open</t>
        </is>
      </c>
      <c r="J7" s="87" t="inlineStr">
        <is>
          <t>No</t>
        </is>
      </c>
      <c r="K7" s="87">
        <f>F7-TODAY()</f>
        <v/>
      </c>
      <c r="L7" s="87" t="inlineStr">
        <is>
          <t>No</t>
        </is>
      </c>
      <c r="M7" s="87">
        <f>IF(K7&lt;0,"Yes",IF(AND(K7&lt;=2,I7&lt;&gt;"Done"),"Potential","No"))</f>
        <v/>
      </c>
    </row>
    <row r="8">
      <c r="A8" s="87" t="inlineStr">
        <is>
          <t>INT-004</t>
        </is>
      </c>
      <c r="B8" s="87" t="inlineStr">
        <is>
          <t>Product</t>
        </is>
      </c>
      <c r="C8" s="87" t="inlineStr">
        <is>
          <t>Update product disclosure comparison table</t>
        </is>
      </c>
      <c r="D8" s="87" t="inlineStr">
        <is>
          <t>PROD-001</t>
        </is>
      </c>
      <c r="E8" s="141" t="n">
        <v>46182</v>
      </c>
      <c r="F8" s="141" t="n">
        <v>46187</v>
      </c>
      <c r="G8" s="87">
        <f>F8-E8</f>
        <v/>
      </c>
      <c r="H8" s="87" t="inlineStr">
        <is>
          <t>Product Lead</t>
        </is>
      </c>
      <c r="I8" s="87" t="inlineStr">
        <is>
          <t>In Progress</t>
        </is>
      </c>
      <c r="J8" s="87" t="inlineStr">
        <is>
          <t>No</t>
        </is>
      </c>
      <c r="K8" s="87">
        <f>F8-TODAY()</f>
        <v/>
      </c>
      <c r="L8" s="87" t="inlineStr">
        <is>
          <t>Yes</t>
        </is>
      </c>
      <c r="M8" s="87">
        <f>IF(K8&lt;0,"Yes",IF(AND(K8&lt;=2,I8&lt;&gt;"Done"),"Potential","No"))</f>
        <v/>
      </c>
    </row>
    <row r="9">
      <c r="A9" s="87" t="inlineStr">
        <is>
          <t>INT-005</t>
        </is>
      </c>
      <c r="B9" s="87" t="inlineStr">
        <is>
          <t>Customer Service</t>
        </is>
      </c>
      <c r="C9" s="87" t="inlineStr">
        <is>
          <t>Extract monthly complaint statistics and root-cause analysis</t>
        </is>
      </c>
      <c r="D9" s="87" t="inlineStr">
        <is>
          <t>MOF-IN-2026-022</t>
        </is>
      </c>
      <c r="E9" s="141" t="n">
        <v>46180</v>
      </c>
      <c r="F9" s="141" t="n">
        <v>46186</v>
      </c>
      <c r="G9" s="87">
        <f>F9-E9</f>
        <v/>
      </c>
      <c r="H9" s="87" t="inlineStr">
        <is>
          <t>CS Manager</t>
        </is>
      </c>
      <c r="I9" s="87" t="inlineStr">
        <is>
          <t>In Progress</t>
        </is>
      </c>
      <c r="J9" s="87" t="inlineStr">
        <is>
          <t>No</t>
        </is>
      </c>
      <c r="K9" s="87">
        <f>F9-TODAY()</f>
        <v/>
      </c>
      <c r="L9" s="87" t="inlineStr">
        <is>
          <t>Yes</t>
        </is>
      </c>
      <c r="M9" s="87">
        <f>IF(K9&lt;0,"Yes",IF(AND(K9&lt;=2,I9&lt;&gt;"Done"),"Potential","No"))</f>
        <v/>
      </c>
    </row>
    <row r="10">
      <c r="A10" s="87" t="inlineStr">
        <is>
          <t>INT-006</t>
        </is>
      </c>
      <c r="B10" s="87" t="inlineStr">
        <is>
          <t>IT / Data</t>
        </is>
      </c>
      <c r="C10" s="87" t="inlineStr">
        <is>
          <t>Validate data processing inventory for MIC consultation</t>
        </is>
      </c>
      <c r="D10" s="87" t="inlineStr">
        <is>
          <t>MIC-IN-2026-004</t>
        </is>
      </c>
      <c r="E10" s="141" t="n">
        <v>46178</v>
      </c>
      <c r="F10" s="141" t="n">
        <v>46192</v>
      </c>
      <c r="G10" s="87">
        <f>F10-E10</f>
        <v/>
      </c>
      <c r="H10" s="87" t="inlineStr">
        <is>
          <t>Data Privacy Officer</t>
        </is>
      </c>
      <c r="I10" s="87" t="inlineStr">
        <is>
          <t>Open</t>
        </is>
      </c>
      <c r="J10" s="87" t="inlineStr">
        <is>
          <t>No</t>
        </is>
      </c>
      <c r="K10" s="87">
        <f>F10-TODAY()</f>
        <v/>
      </c>
      <c r="L10" s="87" t="inlineStr">
        <is>
          <t>No</t>
        </is>
      </c>
      <c r="M10" s="87">
        <f>IF(K10&lt;0,"Yes",IF(AND(K10&lt;=2,I10&lt;&gt;"Done"),"Potential","No"))</f>
        <v/>
      </c>
    </row>
    <row r="11">
      <c r="A11" s="87" t="inlineStr">
        <is>
          <t>INT-007</t>
        </is>
      </c>
      <c r="B11" s="87" t="inlineStr">
        <is>
          <t>Regional Office</t>
        </is>
      </c>
      <c r="C11" s="87" t="inlineStr">
        <is>
          <t>Confirm APAC position on ESG disclosure readiness</t>
        </is>
      </c>
      <c r="D11" s="87" t="inlineStr">
        <is>
          <t>OBL-009</t>
        </is>
      </c>
      <c r="E11" s="141" t="n">
        <v>46183</v>
      </c>
      <c r="F11" s="141" t="n">
        <v>46198</v>
      </c>
      <c r="G11" s="87">
        <f>F11-E11</f>
        <v/>
      </c>
      <c r="H11" s="87" t="inlineStr">
        <is>
          <t>Regional PA</t>
        </is>
      </c>
      <c r="I11" s="87" t="inlineStr">
        <is>
          <t>Open</t>
        </is>
      </c>
      <c r="J11" s="87" t="inlineStr">
        <is>
          <t>No</t>
        </is>
      </c>
      <c r="K11" s="87">
        <f>F11-TODAY()</f>
        <v/>
      </c>
      <c r="L11" s="87" t="inlineStr">
        <is>
          <t>No</t>
        </is>
      </c>
      <c r="M11" s="87">
        <f>IF(K11&lt;0,"Yes",IF(AND(K11&lt;=2,I11&lt;&gt;"Done"),"Potential","No"))</f>
        <v/>
      </c>
    </row>
  </sheetData>
  <mergeCells count="2">
    <mergeCell ref="A2:M2"/>
    <mergeCell ref="A1:M1"/>
  </mergeCells>
  <conditionalFormatting sqref="J5:J11">
    <cfRule type="expression" priority="1" dxfId="3">
      <formula>J5="Yes"</formula>
    </cfRule>
  </conditionalFormatting>
  <conditionalFormatting sqref="M5:M11">
    <cfRule type="expression" priority="2" dxfId="3">
      <formula>M5="Yes"</formula>
    </cfRule>
  </conditionalFormatting>
  <dataValidations count="3">
    <dataValidation sqref="I5:I80" showDropDown="0" showInputMessage="0" showErrorMessage="0" allowBlank="0" type="list">
      <formula1>"Open,Pending,In Progress,Done,Blocked"</formula1>
    </dataValidation>
    <dataValidation sqref="C4:C200" showDropDown="0" showInputMessage="0" showErrorMessage="0" allowBlank="0" type="list">
      <formula1>"Legal,Compliance,Finance,Product,Agency,Bancassurance,Operations,CEO Office,Public Affairs,Risk"</formula1>
    </dataValidation>
    <dataValidation sqref="H4:H200" showDropDown="0" showInputMessage="0" showErrorMessage="0" allowBlank="0" type="list">
      <formula1>"On Track,Due Soon,Overdue,Submitted,Approved,In Review,Drafting,Waiting Internal Input,Open,Closed,In Progress,Blocked,Pending,Done,Not Started"</formula1>
    </dataValidation>
  </dataValidations>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Meeting Intelligence</t>
        </is>
      </c>
      <c r="B1" s="132" t="n"/>
      <c r="C1" s="132" t="n"/>
      <c r="D1" s="132" t="n"/>
      <c r="E1" s="132" t="n"/>
      <c r="F1" s="132" t="n"/>
      <c r="G1" s="132" t="n"/>
      <c r="H1" s="132" t="n"/>
      <c r="I1" s="132" t="n"/>
      <c r="J1" s="132" t="n"/>
      <c r="K1" s="132" t="n"/>
      <c r="L1" s="132" t="n"/>
      <c r="M1" s="132" t="n"/>
      <c r="N1" s="132" t="n"/>
      <c r="O1" s="132" t="n"/>
      <c r="P1" s="87" t="n"/>
      <c r="Q1" s="87" t="n"/>
      <c r="R1" s="87" t="n"/>
      <c r="S1" s="87" t="n"/>
      <c r="T1" s="87" t="n"/>
      <c r="U1" s="87" t="n"/>
      <c r="V1" s="87" t="n"/>
      <c r="W1" s="87" t="n"/>
      <c r="X1" s="87" t="n"/>
      <c r="Y1" s="87" t="n"/>
      <c r="Z1" s="87" t="n"/>
    </row>
    <row r="2" ht="22" customHeight="1" s="44">
      <c r="A2" s="143" t="inlineStr">
        <is>
          <t>Before-meeting preparation and after-meeting commitments/action tracking</t>
        </is>
      </c>
      <c r="B2" s="132" t="n"/>
      <c r="C2" s="132" t="n"/>
      <c r="D2" s="132" t="n"/>
      <c r="E2" s="132" t="n"/>
      <c r="F2" s="132" t="n"/>
      <c r="G2" s="132" t="n"/>
      <c r="H2" s="132" t="n"/>
      <c r="I2" s="132" t="n"/>
      <c r="J2" s="132" t="n"/>
      <c r="K2" s="132" t="n"/>
      <c r="L2" s="132" t="n"/>
      <c r="M2" s="132" t="n"/>
      <c r="N2" s="132" t="n"/>
      <c r="O2" s="132" t="n"/>
      <c r="P2" s="87" t="n"/>
      <c r="Q2" s="87" t="n"/>
      <c r="R2" s="87" t="n"/>
      <c r="S2" s="87" t="n"/>
      <c r="T2" s="87" t="n"/>
      <c r="U2" s="87" t="n"/>
      <c r="V2" s="87" t="n"/>
      <c r="W2" s="87" t="n"/>
      <c r="X2" s="87" t="n"/>
      <c r="Y2" s="87" t="n"/>
      <c r="Z2" s="87" t="n"/>
    </row>
    <row r="3">
      <c r="A3" s="87" t="n"/>
      <c r="B3" s="87" t="n"/>
      <c r="C3" s="87" t="n"/>
      <c r="D3" s="87" t="n"/>
      <c r="E3" s="87" t="n"/>
      <c r="F3" s="87" t="n"/>
      <c r="G3" s="87" t="n"/>
      <c r="H3" s="87" t="n"/>
      <c r="I3" s="87" t="n"/>
      <c r="J3" s="87" t="n"/>
      <c r="K3" s="87" t="n"/>
      <c r="L3" s="87" t="n"/>
      <c r="M3" s="87" t="n"/>
      <c r="N3" s="87" t="n"/>
      <c r="O3" s="87" t="n"/>
      <c r="P3" s="87" t="n"/>
      <c r="Q3" s="87" t="n"/>
      <c r="R3" s="87" t="n"/>
      <c r="S3" s="87" t="n"/>
      <c r="T3" s="87" t="n"/>
      <c r="U3" s="87" t="n"/>
      <c r="V3" s="87" t="n"/>
      <c r="W3" s="87" t="n"/>
      <c r="X3" s="87" t="n"/>
      <c r="Y3" s="87" t="n"/>
      <c r="Z3" s="87" t="n"/>
    </row>
    <row r="4" ht="30" customHeight="1" s="44">
      <c r="A4" s="144" t="inlineStr">
        <is>
          <t>Meeting ID</t>
        </is>
      </c>
      <c r="B4" s="144" t="inlineStr">
        <is>
          <t>Date</t>
        </is>
      </c>
      <c r="C4" s="144" t="inlineStr">
        <is>
          <t>Regulator</t>
        </is>
      </c>
      <c r="D4" s="144" t="inlineStr">
        <is>
          <t>Topic</t>
        </is>
      </c>
      <c r="E4" s="144" t="inlineStr">
        <is>
          <t>Meeting Type</t>
        </is>
      </c>
      <c r="F4" s="144" t="inlineStr">
        <is>
          <t>Pre-Meeting Objective</t>
        </is>
      </c>
      <c r="G4" s="144" t="inlineStr">
        <is>
          <t>Key Talking Points</t>
        </is>
      </c>
      <c r="H4" s="144" t="inlineStr">
        <is>
          <t>Potential Regulator Questions</t>
        </is>
      </c>
      <c r="I4" s="144" t="inlineStr">
        <is>
          <t>Recommended Position</t>
        </is>
      </c>
      <c r="J4" s="144" t="inlineStr">
        <is>
          <t>Commitments Made</t>
        </is>
      </c>
      <c r="K4" s="144" t="inlineStr">
        <is>
          <t>Action Owner</t>
        </is>
      </c>
      <c r="L4" s="144" t="inlineStr">
        <is>
          <t>Action Due Date</t>
        </is>
      </c>
      <c r="M4" s="144" t="inlineStr">
        <is>
          <t>Status</t>
        </is>
      </c>
      <c r="N4" s="144" t="inlineStr">
        <is>
          <t>Institutional Memory Note</t>
        </is>
      </c>
      <c r="O4" s="144" t="inlineStr">
        <is>
          <t>Linked Documents</t>
        </is>
      </c>
      <c r="P4" s="87" t="n"/>
      <c r="Q4" s="87" t="n"/>
      <c r="R4" s="87" t="n"/>
      <c r="S4" s="87" t="n"/>
      <c r="T4" s="87" t="n"/>
      <c r="U4" s="87" t="n"/>
      <c r="V4" s="87" t="n"/>
      <c r="W4" s="87" t="n"/>
      <c r="X4" s="87" t="n"/>
      <c r="Y4" s="87" t="n"/>
      <c r="Z4" s="87" t="n"/>
    </row>
    <row r="5">
      <c r="A5" s="87" t="inlineStr">
        <is>
          <t>MTG-001</t>
        </is>
      </c>
      <c r="B5" s="141" t="n">
        <v>46187</v>
      </c>
      <c r="C5" s="87" t="inlineStr">
        <is>
          <t>ISA</t>
        </is>
      </c>
      <c r="D5" s="87" t="inlineStr">
        <is>
          <t>Product approval clarification</t>
        </is>
      </c>
      <c r="E5" s="87" t="inlineStr">
        <is>
          <t>Technical session</t>
        </is>
      </c>
      <c r="F5" s="87" t="inlineStr">
        <is>
          <t>Clarify disclosure and benefit illustration questions</t>
        </is>
      </c>
      <c r="G5" s="87" t="inlineStr">
        <is>
          <t>Customer protection; transparent illustration; internal controls</t>
        </is>
      </c>
      <c r="H5" s="87" t="inlineStr">
        <is>
          <t>How does the product avoid mis-selling? What disclosures are provided?</t>
        </is>
      </c>
      <c r="I5" s="87" t="inlineStr">
        <is>
          <t>Support ISA's customer protection objective with evidence</t>
        </is>
      </c>
      <c r="J5" s="87" t="inlineStr">
        <is>
          <t>Submit revised Q&amp;A and disclosure note</t>
        </is>
      </c>
      <c r="K5" s="87" t="inlineStr">
        <is>
          <t>Product / Legal</t>
        </is>
      </c>
      <c r="L5" s="141" t="n">
        <v>46190</v>
      </c>
      <c r="M5" s="87" t="inlineStr">
        <is>
          <t>Open</t>
        </is>
      </c>
      <c r="N5" s="87" t="inlineStr">
        <is>
          <t>ISA focused strongly on customer understanding and sales training evidence</t>
        </is>
      </c>
      <c r="O5" s="87" t="inlineStr">
        <is>
          <t>PROD-001 dossier</t>
        </is>
      </c>
      <c r="P5" s="87" t="n"/>
      <c r="Q5" s="87" t="n"/>
      <c r="R5" s="87" t="n"/>
      <c r="S5" s="87" t="n"/>
      <c r="T5" s="87" t="n"/>
      <c r="U5" s="87" t="n"/>
      <c r="V5" s="87" t="n"/>
      <c r="W5" s="87" t="n"/>
      <c r="X5" s="87" t="n"/>
      <c r="Y5" s="87" t="n"/>
      <c r="Z5" s="87" t="n"/>
    </row>
    <row r="6">
      <c r="A6" s="87" t="inlineStr">
        <is>
          <t>MTG-002</t>
        </is>
      </c>
      <c r="B6" s="141" t="n">
        <v>46191</v>
      </c>
      <c r="C6" s="87" t="inlineStr">
        <is>
          <t>MOF</t>
        </is>
      </c>
      <c r="D6" s="87" t="inlineStr">
        <is>
          <t>Capital adequacy reporting</t>
        </is>
      </c>
      <c r="E6" s="87" t="inlineStr">
        <is>
          <t>Strategic dialogue</t>
        </is>
      </c>
      <c r="F6" s="87" t="inlineStr">
        <is>
          <t>Confirm reporting expectations and timeline</t>
        </is>
      </c>
      <c r="G6" s="87" t="inlineStr">
        <is>
          <t>Capital strength; consistency; no delay</t>
        </is>
      </c>
      <c r="H6" s="87" t="inlineStr">
        <is>
          <t>Are solvency assumptions consistent with last quarter?</t>
        </is>
      </c>
      <c r="I6" s="87" t="inlineStr">
        <is>
          <t>Transparent and technical, avoid over-promising</t>
        </is>
      </c>
      <c r="J6" s="87" t="inlineStr">
        <is>
          <t>Provide signed actuarial memo</t>
        </is>
      </c>
      <c r="K6" s="87" t="inlineStr">
        <is>
          <t>Finance</t>
        </is>
      </c>
      <c r="L6" s="141" t="n">
        <v>46195</v>
      </c>
      <c r="M6" s="87" t="inlineStr">
        <is>
          <t>Open</t>
        </is>
      </c>
      <c r="N6" s="87" t="inlineStr">
        <is>
          <t>MOF values concise explanations and audited evidence</t>
        </is>
      </c>
      <c r="O6" s="87" t="inlineStr">
        <is>
          <t>Capital report pack</t>
        </is>
      </c>
      <c r="P6" s="87" t="n"/>
      <c r="Q6" s="87" t="n"/>
      <c r="R6" s="87" t="n"/>
      <c r="S6" s="87" t="n"/>
      <c r="T6" s="87" t="n"/>
      <c r="U6" s="87" t="n"/>
      <c r="V6" s="87" t="n"/>
      <c r="W6" s="87" t="n"/>
      <c r="X6" s="87" t="n"/>
      <c r="Y6" s="87" t="n"/>
      <c r="Z6" s="87" t="n"/>
    </row>
    <row r="7">
      <c r="A7" s="87" t="inlineStr">
        <is>
          <t>MTG-003</t>
        </is>
      </c>
      <c r="B7" s="141" t="n">
        <v>46193</v>
      </c>
      <c r="C7" s="87" t="inlineStr">
        <is>
          <t>IAV</t>
        </is>
      </c>
      <c r="D7" s="87" t="inlineStr">
        <is>
          <t>Product transparency working group</t>
        </is>
      </c>
      <c r="E7" s="87" t="inlineStr">
        <is>
          <t>Industry working group</t>
        </is>
      </c>
      <c r="F7" s="87" t="inlineStr">
        <is>
          <t>Align industry feedback on product disclosure</t>
        </is>
      </c>
      <c r="G7" s="87" t="inlineStr">
        <is>
          <t>Comparable disclosure; consumer education; implementation timeline</t>
        </is>
      </c>
      <c r="H7" s="87" t="inlineStr">
        <is>
          <t>Can industry agree on minimum disclosure standards?</t>
        </is>
      </c>
      <c r="I7" s="87" t="inlineStr">
        <is>
          <t>Use IAV channel to support balanced implementation</t>
        </is>
      </c>
      <c r="J7" s="87" t="inlineStr">
        <is>
          <t>Share Manulife draft position</t>
        </is>
      </c>
      <c r="K7" s="87" t="inlineStr">
        <is>
          <t>Regulatory &amp; PA</t>
        </is>
      </c>
      <c r="L7" s="141" t="n">
        <v>46197</v>
      </c>
      <c r="M7" s="87" t="inlineStr">
        <is>
          <t>Open</t>
        </is>
      </c>
      <c r="N7" s="87" t="inlineStr">
        <is>
          <t>IAV can help aggregate technical input</t>
        </is>
      </c>
      <c r="O7" s="87" t="inlineStr">
        <is>
          <t>IAV memo</t>
        </is>
      </c>
      <c r="P7" s="87" t="n"/>
      <c r="Q7" s="87" t="n"/>
      <c r="R7" s="87" t="n"/>
      <c r="S7" s="87" t="n"/>
      <c r="T7" s="87" t="n"/>
      <c r="U7" s="87" t="n"/>
      <c r="V7" s="87" t="n"/>
      <c r="W7" s="87" t="n"/>
      <c r="X7" s="87" t="n"/>
      <c r="Y7" s="87" t="n"/>
      <c r="Z7" s="87" t="n"/>
    </row>
    <row r="8">
      <c r="A8" s="87" t="inlineStr">
        <is>
          <t>MTG-004</t>
        </is>
      </c>
      <c r="B8" s="141" t="n">
        <v>46198</v>
      </c>
      <c r="C8" s="87" t="inlineStr">
        <is>
          <t>MIC</t>
        </is>
      </c>
      <c r="D8" s="87" t="inlineStr">
        <is>
          <t>Data localization consultation</t>
        </is>
      </c>
      <c r="E8" s="87" t="inlineStr">
        <is>
          <t>Consultation meeting</t>
        </is>
      </c>
      <c r="F8" s="87" t="inlineStr">
        <is>
          <t>Understand data storage interpretation</t>
        </is>
      </c>
      <c r="G8" s="87" t="inlineStr">
        <is>
          <t>Data security; cross-border processing; customer consent</t>
        </is>
      </c>
      <c r="H8" s="87" t="inlineStr">
        <is>
          <t>What data is stored overseas and why?</t>
        </is>
      </c>
      <c r="I8" s="87" t="inlineStr">
        <is>
          <t>Acknowledge policy objective; propose practical transition period</t>
        </is>
      </c>
      <c r="J8" s="87" t="inlineStr">
        <is>
          <t>Submit data flow summary</t>
        </is>
      </c>
      <c r="K8" s="87" t="inlineStr">
        <is>
          <t>IT / Legal</t>
        </is>
      </c>
      <c r="L8" s="141" t="n">
        <v>46203</v>
      </c>
      <c r="M8" s="87" t="inlineStr">
        <is>
          <t>Planned</t>
        </is>
      </c>
      <c r="N8" s="87" t="inlineStr">
        <is>
          <t>MIC likely expects clear mapping of customer data flows</t>
        </is>
      </c>
      <c r="O8" s="87" t="inlineStr">
        <is>
          <t>Data privacy inventory</t>
        </is>
      </c>
      <c r="P8" s="87" t="n"/>
      <c r="Q8" s="87" t="n"/>
      <c r="R8" s="87" t="n"/>
      <c r="S8" s="87" t="n"/>
      <c r="T8" s="87" t="n"/>
      <c r="U8" s="87" t="n"/>
      <c r="V8" s="87" t="n"/>
      <c r="W8" s="87" t="n"/>
      <c r="X8" s="87" t="n"/>
      <c r="Y8" s="87" t="n"/>
      <c r="Z8" s="87" t="n"/>
    </row>
    <row r="9">
      <c r="A9" s="87" t="n"/>
      <c r="B9" s="87" t="n"/>
      <c r="C9" s="87" t="n"/>
      <c r="D9" s="87" t="n"/>
      <c r="E9" s="87" t="n"/>
      <c r="F9" s="87" t="n"/>
      <c r="G9" s="87" t="n"/>
      <c r="H9" s="87" t="n"/>
      <c r="I9" s="87" t="n"/>
      <c r="J9" s="87" t="n"/>
      <c r="K9" s="87" t="n"/>
      <c r="L9" s="87" t="n"/>
      <c r="M9" s="87" t="n"/>
      <c r="N9" s="87" t="n"/>
      <c r="O9" s="87" t="n"/>
      <c r="P9" s="87" t="n"/>
      <c r="Q9" s="87" t="n"/>
      <c r="R9" s="87" t="n"/>
      <c r="S9" s="87" t="n"/>
      <c r="T9" s="87" t="n"/>
      <c r="U9" s="87" t="n"/>
      <c r="V9" s="87" t="n"/>
      <c r="W9" s="87" t="n"/>
      <c r="X9" s="87" t="n"/>
      <c r="Y9" s="87" t="n"/>
      <c r="Z9" s="87" t="n"/>
    </row>
    <row r="10">
      <c r="A10" s="87" t="inlineStr">
        <is>
          <t>Consolidation Note</t>
        </is>
      </c>
      <c r="B10" s="87" t="inlineStr">
        <is>
          <t>Merged Meeting_Brief into Meeting_Intelligence. Use this sheet for before-meeting briefs, commitments and follow-ups.</t>
        </is>
      </c>
      <c r="C10" s="87" t="n"/>
      <c r="D10" s="87" t="n"/>
      <c r="E10" s="87" t="n"/>
      <c r="F10" s="87" t="n"/>
      <c r="G10" s="87" t="n"/>
      <c r="H10" s="87" t="n"/>
      <c r="I10" s="87" t="n"/>
      <c r="J10" s="87" t="n"/>
      <c r="K10" s="87" t="n"/>
      <c r="L10" s="87" t="n"/>
      <c r="M10" s="87" t="n"/>
      <c r="N10" s="87" t="n"/>
      <c r="O10" s="87" t="n"/>
      <c r="P10" s="87" t="n"/>
      <c r="Q10" s="87" t="n"/>
      <c r="R10" s="87" t="n"/>
      <c r="S10" s="87" t="n"/>
      <c r="T10" s="87" t="n"/>
      <c r="U10" s="87" t="n"/>
      <c r="V10" s="87" t="n"/>
      <c r="W10" s="87" t="n"/>
      <c r="X10" s="87" t="n"/>
      <c r="Y10" s="87" t="n"/>
      <c r="Z10" s="87" t="n"/>
    </row>
    <row r="11">
      <c r="A11" s="87" t="inlineStr">
        <is>
          <t>Legacy Meeting Brief Summary</t>
        </is>
      </c>
      <c r="B11" s="87" t="inlineStr">
        <is>
          <t>Brief Field: Content | Meeting Title: ISA Technical Working Session - Product Approval | Date: 2026-06-11 00:00:00 | Purpose: Clarify regulator questions and present Manulife's compliance approach. | Background: Manulife has submitted a new product approval dossier and is awaiting technical feedback. | Key Talking Points: 1) Customer protection; 2) Product transparency; 3) Agent training; 4) Timely response to questions. | Potential Questions: How does Manulife prevent mis-selling? What disclosures are provided to customers? | Recommended Position: Support policy objectives, provide transparent evidence, avoid confrontational language. | Next Actions: Send follow-up note within 2 working days; assign owners for additional documents.</t>
        </is>
      </c>
      <c r="C11" s="87" t="n"/>
      <c r="D11" s="87" t="n"/>
      <c r="E11" s="87" t="n"/>
      <c r="F11" s="87" t="n"/>
      <c r="G11" s="87" t="n"/>
      <c r="H11" s="87" t="n"/>
      <c r="I11" s="87" t="n"/>
      <c r="J11" s="87" t="n"/>
      <c r="K11" s="87" t="n"/>
      <c r="L11" s="87" t="n"/>
      <c r="M11" s="87" t="n"/>
      <c r="N11" s="87" t="n"/>
      <c r="O11" s="87" t="n"/>
      <c r="P11" s="87" t="n"/>
      <c r="Q11" s="87" t="n"/>
      <c r="R11" s="87" t="n"/>
      <c r="S11" s="87" t="n"/>
      <c r="T11" s="87" t="n"/>
      <c r="U11" s="87" t="n"/>
      <c r="V11" s="87" t="n"/>
      <c r="W11" s="87" t="n"/>
      <c r="X11" s="87" t="n"/>
      <c r="Y11" s="87" t="n"/>
      <c r="Z11" s="87" t="n"/>
    </row>
  </sheetData>
  <mergeCells count="2">
    <mergeCell ref="A1:O1"/>
    <mergeCell ref="A2:O2"/>
  </mergeCells>
  <dataValidations count="1">
    <dataValidation sqref="M5:M80" showDropDown="0" showInputMessage="0" showErrorMessage="0" allowBlank="0" type="list">
      <formula1>"Planned,Open,In Progress,Closed"</formula1>
    </dataValidation>
  </dataValidation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Regulatory Inspection Readiness</t>
        </is>
      </c>
      <c r="B1" s="1" t="n"/>
      <c r="C1" s="1" t="n"/>
      <c r="D1" s="1" t="n"/>
      <c r="E1" s="1" t="n"/>
      <c r="F1" s="1" t="n"/>
      <c r="G1" s="1" t="n"/>
      <c r="H1" s="1" t="n"/>
      <c r="I1" s="1" t="n"/>
      <c r="J1" s="1" t="n"/>
      <c r="K1" s="1" t="n"/>
      <c r="L1" s="87" t="n"/>
      <c r="M1" s="87" t="n"/>
      <c r="N1" s="87" t="n"/>
      <c r="O1" s="87" t="n"/>
      <c r="P1" s="87" t="n"/>
      <c r="Q1" s="87" t="n"/>
      <c r="R1" s="87" t="n"/>
      <c r="S1" s="87" t="n"/>
      <c r="T1" s="87" t="n"/>
      <c r="U1" s="87" t="n"/>
      <c r="V1" s="87" t="n"/>
      <c r="W1" s="87" t="n"/>
      <c r="X1" s="87" t="n"/>
      <c r="Y1" s="87" t="n"/>
      <c r="Z1" s="87" t="n"/>
    </row>
    <row r="2" ht="22" customHeight="1" s="44">
      <c r="A2" s="140" t="inlineStr">
        <is>
          <t>Self-assessment dashboard for regulator inspection preparedness</t>
        </is>
      </c>
      <c r="B2" s="1" t="n"/>
      <c r="C2" s="1" t="n"/>
      <c r="D2" s="1" t="n"/>
      <c r="E2" s="1" t="n"/>
      <c r="F2" s="1" t="n"/>
      <c r="G2" s="1" t="n"/>
      <c r="H2" s="1" t="n"/>
      <c r="I2" s="1" t="n"/>
      <c r="J2" s="1" t="n"/>
      <c r="K2" s="1" t="n"/>
    </row>
    <row r="4" ht="30" customHeight="1" s="44">
      <c r="A4" s="86" t="inlineStr">
        <is>
          <t>Area</t>
        </is>
      </c>
      <c r="B4" s="86" t="inlineStr">
        <is>
          <t>Regulator Focus</t>
        </is>
      </c>
      <c r="C4" s="86" t="inlineStr">
        <is>
          <t>Required Evidence</t>
        </is>
      </c>
      <c r="D4" s="86" t="inlineStr">
        <is>
          <t>Owner</t>
        </is>
      </c>
      <c r="E4" s="86" t="inlineStr">
        <is>
          <t>Last Review Date</t>
        </is>
      </c>
      <c r="F4" s="86" t="inlineStr">
        <is>
          <t>Readiness Score (0-100)</t>
        </is>
      </c>
      <c r="G4" s="86" t="inlineStr">
        <is>
          <t>Gap</t>
        </is>
      </c>
      <c r="H4" s="86" t="inlineStr">
        <is>
          <t>Remediation Action</t>
        </is>
      </c>
      <c r="I4" s="86" t="inlineStr">
        <is>
          <t>Due Date</t>
        </is>
      </c>
      <c r="J4" s="86" t="inlineStr">
        <is>
          <t>Status</t>
        </is>
      </c>
      <c r="K4" s="86" t="inlineStr">
        <is>
          <t>RAG</t>
        </is>
      </c>
    </row>
    <row r="5">
      <c r="A5" s="87" t="inlineStr">
        <is>
          <t>Regulatory reporting</t>
        </is>
      </c>
      <c r="B5" s="87" t="inlineStr">
        <is>
          <t>Timeliness and accuracy of periodic reports</t>
        </is>
      </c>
      <c r="C5" s="87" t="inlineStr">
        <is>
          <t>Submission log, signed reports, proof of receipt</t>
        </is>
      </c>
      <c r="D5" s="87" t="inlineStr">
        <is>
          <t>Regulatory Affairs</t>
        </is>
      </c>
      <c r="E5" s="141" t="n">
        <v>46174</v>
      </c>
      <c r="F5" s="87" t="n">
        <v>88</v>
      </c>
      <c r="G5" s="87" t="inlineStr">
        <is>
          <t>Some hard-copy receipts not archived</t>
        </is>
      </c>
      <c r="H5" s="87" t="inlineStr">
        <is>
          <t>Scan and archive receipt stamps</t>
        </is>
      </c>
      <c r="I5" s="141" t="n">
        <v>46193</v>
      </c>
      <c r="J5" s="87" t="inlineStr">
        <is>
          <t>In Progress</t>
        </is>
      </c>
      <c r="K5" s="87">
        <f>IF(F5&lt;70,"Red",IF(F5&lt;85,"Amber","Green"))</f>
        <v/>
      </c>
    </row>
    <row r="6">
      <c r="A6" s="87" t="inlineStr">
        <is>
          <t>Product filing</t>
        </is>
      </c>
      <c r="B6" s="87" t="inlineStr">
        <is>
          <t>Approval dossier completeness</t>
        </is>
      </c>
      <c r="C6" s="87" t="inlineStr">
        <is>
          <t>Product wordings, approval letters, actuarial memo</t>
        </is>
      </c>
      <c r="D6" s="87" t="inlineStr">
        <is>
          <t>Product / Legal</t>
        </is>
      </c>
      <c r="E6" s="141" t="n">
        <v>46176</v>
      </c>
      <c r="F6" s="87" t="n">
        <v>82</v>
      </c>
      <c r="G6" s="87" t="inlineStr">
        <is>
          <t>Benefit illustration Q&amp;A pending</t>
        </is>
      </c>
      <c r="H6" s="87" t="inlineStr">
        <is>
          <t>Finalize regulator Q&amp;A pack</t>
        </is>
      </c>
      <c r="I6" s="141" t="n">
        <v>46190</v>
      </c>
      <c r="J6" s="87" t="inlineStr">
        <is>
          <t>In Progress</t>
        </is>
      </c>
      <c r="K6" s="87">
        <f>IF(F6&lt;70,"Red",IF(F6&lt;85,"Amber","Green"))</f>
        <v/>
      </c>
    </row>
    <row r="7">
      <c r="A7" s="87" t="inlineStr">
        <is>
          <t>Market conduct</t>
        </is>
      </c>
      <c r="B7" s="87" t="inlineStr">
        <is>
          <t>Complaint handling and sales conduct</t>
        </is>
      </c>
      <c r="C7" s="87" t="inlineStr">
        <is>
          <t>Complaint log, training evidence, root cause analysis</t>
        </is>
      </c>
      <c r="D7" s="87" t="inlineStr">
        <is>
          <t>Compliance / CS</t>
        </is>
      </c>
      <c r="E7" s="141" t="n">
        <v>46178</v>
      </c>
      <c r="F7" s="87" t="n">
        <v>76</v>
      </c>
      <c r="G7" s="87" t="inlineStr">
        <is>
          <t>Root-cause analysis incomplete</t>
        </is>
      </c>
      <c r="H7" s="87" t="inlineStr">
        <is>
          <t>Complete complaint trend report</t>
        </is>
      </c>
      <c r="I7" s="141" t="n">
        <v>46188</v>
      </c>
      <c r="J7" s="87" t="inlineStr">
        <is>
          <t>Open</t>
        </is>
      </c>
      <c r="K7" s="87">
        <f>IF(F7&lt;70,"Red",IF(F7&lt;85,"Amber","Green"))</f>
        <v/>
      </c>
    </row>
    <row r="8">
      <c r="A8" s="87" t="inlineStr">
        <is>
          <t>Bancassurance</t>
        </is>
      </c>
      <c r="B8" s="87" t="inlineStr">
        <is>
          <t>Bank partner sales practice controls</t>
        </is>
      </c>
      <c r="C8" s="87" t="inlineStr">
        <is>
          <t>Partner training, scripts, monitoring evidence</t>
        </is>
      </c>
      <c r="D8" s="87" t="inlineStr">
        <is>
          <t>Distribution / Compliance</t>
        </is>
      </c>
      <c r="E8" s="141" t="n">
        <v>46170</v>
      </c>
      <c r="F8" s="87" t="n">
        <v>68</v>
      </c>
      <c r="G8" s="87" t="inlineStr">
        <is>
          <t>Bank partner data validation not complete</t>
        </is>
      </c>
      <c r="H8" s="87" t="inlineStr">
        <is>
          <t>Escalate to partnership distribution</t>
        </is>
      </c>
      <c r="I8" s="141" t="n">
        <v>46185</v>
      </c>
      <c r="J8" s="87" t="inlineStr">
        <is>
          <t>Escalated</t>
        </is>
      </c>
      <c r="K8" s="87">
        <f>IF(F8&lt;70,"Red",IF(F8&lt;85,"Amber","Green"))</f>
        <v/>
      </c>
    </row>
    <row r="9">
      <c r="A9" s="87" t="inlineStr">
        <is>
          <t>Data privacy</t>
        </is>
      </c>
      <c r="B9" s="87" t="inlineStr">
        <is>
          <t>Consent, data flow, localization readiness</t>
        </is>
      </c>
      <c r="C9" s="87" t="inlineStr">
        <is>
          <t>DPIA, consent logs, data map</t>
        </is>
      </c>
      <c r="D9" s="87" t="inlineStr">
        <is>
          <t>IT / Legal</t>
        </is>
      </c>
      <c r="E9" s="141" t="n">
        <v>46175</v>
      </c>
      <c r="F9" s="87" t="n">
        <v>74</v>
      </c>
      <c r="G9" s="87" t="inlineStr">
        <is>
          <t>Data flow inventory needs update</t>
        </is>
      </c>
      <c r="H9" s="87" t="inlineStr">
        <is>
          <t>Update customer data map</t>
        </is>
      </c>
      <c r="I9" s="141" t="n">
        <v>46203</v>
      </c>
      <c r="J9" s="87" t="inlineStr">
        <is>
          <t>Open</t>
        </is>
      </c>
      <c r="K9" s="87">
        <f>IF(F9&lt;70,"Red",IF(F9&lt;85,"Amber","Green"))</f>
        <v/>
      </c>
    </row>
    <row r="10">
      <c r="A10" s="87" t="inlineStr">
        <is>
          <t>Governance archive</t>
        </is>
      </c>
      <c r="B10" s="87" t="inlineStr">
        <is>
          <t>Institutional memory and document traceability</t>
        </is>
      </c>
      <c r="C10" s="87" t="inlineStr">
        <is>
          <t>Meeting minutes, official letters, tracker references</t>
        </is>
      </c>
      <c r="D10" s="87" t="inlineStr">
        <is>
          <t>Regulatory Affairs</t>
        </is>
      </c>
      <c r="E10" s="141" t="n">
        <v>46179</v>
      </c>
      <c r="F10" s="87" t="n">
        <v>90</v>
      </c>
      <c r="G10" s="87" t="inlineStr">
        <is>
          <t>No major gap</t>
        </is>
      </c>
      <c r="H10" s="87" t="inlineStr">
        <is>
          <t>Maintain monthly archive review</t>
        </is>
      </c>
      <c r="I10" s="141" t="n">
        <v>46208</v>
      </c>
      <c r="J10" s="87" t="inlineStr">
        <is>
          <t>On Track</t>
        </is>
      </c>
      <c r="K10" s="87">
        <f>IF(F10&lt;70,"Red",IF(F10&lt;85,"Amber","Green"))</f>
        <v/>
      </c>
    </row>
  </sheetData>
  <mergeCells count="2">
    <mergeCell ref="A2:K2"/>
    <mergeCell ref="A1:K1"/>
  </mergeCells>
  <conditionalFormatting sqref="F5:F10">
    <cfRule type="colorScale" priority="1">
      <colorScale>
        <cfvo type="min"/>
        <cfvo type="percentile" val="50"/>
        <cfvo type="max"/>
        <color rgb="00FECACA"/>
        <color rgb="00FEF3C7"/>
        <color rgb="00DCFCE7"/>
      </colorScale>
    </cfRule>
  </conditionalFormatting>
  <conditionalFormatting sqref="K5:K10">
    <cfRule type="expression" priority="2" dxfId="3">
      <formula>K5="Red"</formula>
    </cfRule>
    <cfRule type="expression" priority="3" dxfId="5">
      <formula>K5="Amber"</formula>
    </cfRule>
  </conditionalFormatting>
  <dataValidations count="1">
    <dataValidation sqref="J5:J80" showDropDown="0" showInputMessage="0" showErrorMessage="0" allowBlank="0" type="list">
      <formula1>"Open,In Progress,Escalated,On Track,Closed"</formula1>
    </dataValidation>
  </dataValidation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18" customWidth="1" style="44" min="6" max="6"/>
    <col width="18" customWidth="1" style="44" min="7" max="7"/>
    <col width="18" customWidth="1" style="44" min="8" max="8"/>
    <col width="18" customWidth="1" style="44" min="9" max="9"/>
    <col width="18" customWidth="1" style="44" min="10" max="10"/>
    <col width="18" customWidth="1" style="44" min="11" max="11"/>
    <col width="18" customWidth="1" style="44" min="12" max="12"/>
    <col width="18" customWidth="1" style="44" min="13" max="13"/>
    <col width="18" customWidth="1" style="44" min="14" max="14"/>
    <col width="18" customWidth="1" style="44" min="15" max="15"/>
    <col width="18" customWidth="1" style="44" min="16" max="16"/>
    <col width="18" customWidth="1" style="44" min="17" max="17"/>
    <col width="18" customWidth="1" style="44" min="18" max="18"/>
    <col width="18" customWidth="1" style="44" min="19" max="19"/>
    <col width="18" customWidth="1" style="44" min="20" max="20"/>
    <col width="18" customWidth="1" style="44" min="21" max="21"/>
    <col width="18" customWidth="1" style="44" min="22" max="22"/>
    <col width="18" customWidth="1" style="44" min="23" max="23"/>
    <col width="18" customWidth="1" style="44" min="24" max="24"/>
    <col width="18" customWidth="1" style="44" min="25" max="25"/>
    <col width="18" customWidth="1" style="44" min="26" max="26"/>
  </cols>
  <sheetData>
    <row r="1" ht="28" customHeight="1" s="44">
      <c r="A1" s="139" t="inlineStr">
        <is>
          <t>What Requires Management Attention Today?</t>
        </is>
      </c>
      <c r="B1" s="1" t="n"/>
      <c r="C1" s="1" t="n"/>
      <c r="D1" s="1" t="n"/>
      <c r="E1" s="1" t="n"/>
      <c r="F1" s="1" t="n"/>
      <c r="G1" s="1" t="n"/>
      <c r="H1" s="1" t="n"/>
      <c r="I1" s="87" t="n"/>
      <c r="J1" s="87" t="n"/>
      <c r="K1" s="87" t="n"/>
      <c r="L1" s="87" t="n"/>
      <c r="M1" s="87" t="n"/>
      <c r="N1" s="87" t="n"/>
      <c r="O1" s="87" t="n"/>
      <c r="P1" s="87" t="n"/>
      <c r="Q1" s="87" t="n"/>
      <c r="R1" s="87" t="n"/>
      <c r="S1" s="87" t="n"/>
      <c r="T1" s="87" t="n"/>
      <c r="U1" s="87" t="n"/>
      <c r="V1" s="87" t="n"/>
      <c r="W1" s="87" t="n"/>
      <c r="X1" s="87" t="n"/>
      <c r="Y1" s="87" t="n"/>
      <c r="Z1" s="87" t="n"/>
    </row>
    <row r="2" ht="22" customHeight="1" s="44">
      <c r="A2" s="140" t="inlineStr">
        <is>
          <t>One-page attention list for CEO/EMT and Regulatory &amp; Public Affairs manager</t>
        </is>
      </c>
      <c r="B2" s="1" t="n"/>
      <c r="C2" s="1" t="n"/>
      <c r="D2" s="1" t="n"/>
      <c r="E2" s="1" t="n"/>
      <c r="F2" s="1" t="n"/>
      <c r="G2" s="1" t="n"/>
      <c r="H2" s="1" t="n"/>
    </row>
    <row r="4" ht="30" customHeight="1" s="44">
      <c r="A4" s="86" t="inlineStr">
        <is>
          <t>Priority</t>
        </is>
      </c>
      <c r="B4" s="86" t="inlineStr">
        <is>
          <t>Item</t>
        </is>
      </c>
      <c r="C4" s="86" t="inlineStr">
        <is>
          <t>Source Module</t>
        </is>
      </c>
      <c r="D4" s="86" t="inlineStr">
        <is>
          <t>Owner</t>
        </is>
      </c>
      <c r="E4" s="86" t="inlineStr">
        <is>
          <t>Due Date</t>
        </is>
      </c>
      <c r="F4" s="86" t="inlineStr">
        <is>
          <t>Why It Matters</t>
        </is>
      </c>
      <c r="G4" s="86" t="inlineStr">
        <is>
          <t>Recommended Decision / Action</t>
        </is>
      </c>
      <c r="H4" s="86" t="inlineStr">
        <is>
          <t>Status</t>
        </is>
      </c>
    </row>
    <row r="5">
      <c r="A5" s="87" t="inlineStr">
        <is>
          <t>1</t>
        </is>
      </c>
      <c r="B5" s="87" t="inlineStr">
        <is>
          <t>Bancassurance conduct response due soon</t>
        </is>
      </c>
      <c r="C5" s="87" t="inlineStr">
        <is>
          <t>Regulatory Response Tracker</t>
        </is>
      </c>
      <c r="D5" s="87" t="inlineStr">
        <is>
          <t>Distribution / Compliance</t>
        </is>
      </c>
      <c r="E5" s="141" t="n">
        <v>46185</v>
      </c>
      <c r="F5" s="87" t="inlineStr">
        <is>
          <t>High regulator sensitivity and channel impact</t>
        </is>
      </c>
      <c r="G5" s="87" t="inlineStr">
        <is>
          <t>Escalate partner data validation and align final response</t>
        </is>
      </c>
      <c r="H5" s="87" t="inlineStr">
        <is>
          <t>Open</t>
        </is>
      </c>
    </row>
    <row r="6">
      <c r="A6" s="87" t="inlineStr">
        <is>
          <t>2</t>
        </is>
      </c>
      <c r="B6" s="87" t="inlineStr">
        <is>
          <t>ISA product approval clarification</t>
        </is>
      </c>
      <c r="C6" s="87" t="inlineStr">
        <is>
          <t>Product Approval Command Center</t>
        </is>
      </c>
      <c r="D6" s="87" t="inlineStr">
        <is>
          <t>Product / Legal</t>
        </is>
      </c>
      <c r="E6" s="141" t="n">
        <v>46190</v>
      </c>
      <c r="F6" s="87" t="inlineStr">
        <is>
          <t>Directly affects product launch timeline</t>
        </is>
      </c>
      <c r="G6" s="87" t="inlineStr">
        <is>
          <t>Approve Q&amp;A position and revised disclosure pack</t>
        </is>
      </c>
      <c r="H6" s="87" t="inlineStr">
        <is>
          <t>Open</t>
        </is>
      </c>
    </row>
    <row r="7">
      <c r="A7" s="87" t="inlineStr">
        <is>
          <t>3</t>
        </is>
      </c>
      <c r="B7" s="87" t="inlineStr">
        <is>
          <t>Complaint handling data request from MOF</t>
        </is>
      </c>
      <c r="C7" s="87" t="inlineStr">
        <is>
          <t>Response Tracker / Internal Coordination</t>
        </is>
      </c>
      <c r="D7" s="87" t="inlineStr">
        <is>
          <t>Customer Service</t>
        </is>
      </c>
      <c r="E7" s="141" t="n">
        <v>46188</v>
      </c>
      <c r="F7" s="87" t="inlineStr">
        <is>
          <t>Market conduct risk and reputation exposure</t>
        </is>
      </c>
      <c r="G7" s="87" t="inlineStr">
        <is>
          <t>Finalize complaint statistics and root-cause summary</t>
        </is>
      </c>
      <c r="H7" s="87" t="inlineStr">
        <is>
          <t>In Progress</t>
        </is>
      </c>
    </row>
    <row r="8">
      <c r="A8" s="87" t="inlineStr">
        <is>
          <t>4</t>
        </is>
      </c>
      <c r="B8" s="87" t="inlineStr">
        <is>
          <t>Data localization consultation</t>
        </is>
      </c>
      <c r="C8" s="87" t="inlineStr">
        <is>
          <t>Regulatory News Feed</t>
        </is>
      </c>
      <c r="D8" s="87" t="inlineStr">
        <is>
          <t>IT / Legal</t>
        </is>
      </c>
      <c r="E8" s="141" t="n">
        <v>46203</v>
      </c>
      <c r="F8" s="87" t="inlineStr">
        <is>
          <t>Potential digital/data processing business impact</t>
        </is>
      </c>
      <c r="G8" s="87" t="inlineStr">
        <is>
          <t>Prepare data-flow inventory and industry response</t>
        </is>
      </c>
      <c r="H8" s="87" t="inlineStr">
        <is>
          <t>Monitoring</t>
        </is>
      </c>
    </row>
    <row r="9">
      <c r="A9" s="87" t="inlineStr">
        <is>
          <t>5</t>
        </is>
      </c>
      <c r="B9" s="87" t="inlineStr">
        <is>
          <t>Inspection readiness gap in bancassurance</t>
        </is>
      </c>
      <c r="C9" s="87" t="inlineStr">
        <is>
          <t>Inspection Readiness</t>
        </is>
      </c>
      <c r="D9" s="87" t="inlineStr">
        <is>
          <t>Compliance / Distribution</t>
        </is>
      </c>
      <c r="E9" s="141" t="n">
        <v>46185</v>
      </c>
      <c r="F9" s="87" t="inlineStr">
        <is>
          <t>Readiness score below target threshold</t>
        </is>
      </c>
      <c r="G9" s="87" t="inlineStr">
        <is>
          <t>Complete evidence pack or escalate remediation</t>
        </is>
      </c>
      <c r="H9" s="87" t="inlineStr">
        <is>
          <t>Escalated</t>
        </is>
      </c>
    </row>
  </sheetData>
  <mergeCells count="2">
    <mergeCell ref="A2:H2"/>
    <mergeCell ref="A1:H1"/>
  </mergeCells>
  <conditionalFormatting sqref="A5:A9">
    <cfRule type="colorScale" priority="1">
      <colorScale>
        <cfvo type="min"/>
        <cfvo type="percentile" val="50"/>
        <cfvo type="max"/>
        <color rgb="00FECACA"/>
        <color rgb="00FEF3C7"/>
        <color rgb="00DCFCE7"/>
      </colorScale>
    </cfRule>
  </conditionalFormatting>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style="44" min="1" max="1"/>
    <col width="36" customWidth="1" style="44" min="2" max="2"/>
    <col width="22" customWidth="1" style="44" min="3" max="3"/>
    <col width="18" customWidth="1" style="44" min="4" max="4"/>
    <col width="32" customWidth="1" style="44" min="5" max="5"/>
    <col width="28" customWidth="1" style="44" min="6" max="6"/>
    <col width="22" customWidth="1" style="44" min="7" max="7"/>
    <col width="36" customWidth="1" style="44" min="8" max="8"/>
  </cols>
  <sheetData>
    <row r="1" ht="28" customHeight="1" s="44">
      <c r="A1" s="145" t="inlineStr">
        <is>
          <t>Data Dictionary &amp; User Guide - Handover-Ready Operating Manual</t>
        </is>
      </c>
      <c r="B1" s="1" t="n"/>
      <c r="C1" s="1" t="n"/>
      <c r="D1" s="1" t="n"/>
      <c r="E1" s="1" t="n"/>
      <c r="F1" s="1" t="n"/>
      <c r="G1" s="1" t="n"/>
      <c r="H1" s="1" t="n"/>
    </row>
    <row r="3">
      <c r="A3" s="102" t="inlineStr">
        <is>
          <t>Sheet / Module</t>
        </is>
      </c>
      <c r="B3" s="102" t="inlineStr">
        <is>
          <t>Purpose</t>
        </is>
      </c>
      <c r="C3" s="102" t="inlineStr">
        <is>
          <t>Primary User</t>
        </is>
      </c>
      <c r="D3" s="102" t="inlineStr">
        <is>
          <t>Update Frequency</t>
        </is>
      </c>
      <c r="E3" s="102" t="inlineStr">
        <is>
          <t>Key Inputs</t>
        </is>
      </c>
      <c r="F3" s="102" t="inlineStr">
        <is>
          <t>Key Outputs</t>
        </is>
      </c>
      <c r="G3" s="102" t="inlineStr">
        <is>
          <t>Typical KPI</t>
        </is>
      </c>
      <c r="H3" s="102" t="inlineStr">
        <is>
          <t>Notes</t>
        </is>
      </c>
    </row>
    <row r="4">
      <c r="A4" s="87" t="inlineStr">
        <is>
          <t>Executive_Dashboard</t>
        </is>
      </c>
      <c r="B4" s="87" t="inlineStr">
        <is>
          <t>Senior summary of overall PA/regulatory workload and risk.</t>
        </is>
      </c>
      <c r="C4" s="87" t="inlineStr">
        <is>
          <t>Head of Regulatory &amp; Public Affairs</t>
        </is>
      </c>
      <c r="D4" s="87" t="inlineStr">
        <is>
          <t>Weekly</t>
        </is>
      </c>
      <c r="E4" s="87" t="inlineStr">
        <is>
          <t>All tracker data</t>
        </is>
      </c>
      <c r="F4" s="87" t="inlineStr">
        <is>
          <t>KPIs, alerts, priorities</t>
        </is>
      </c>
      <c r="G4" s="87" t="inlineStr">
        <is>
          <t>Overall PA effectiveness</t>
        </is>
      </c>
      <c r="H4" s="87" t="inlineStr">
        <is>
          <t>Use in weekly management update.</t>
        </is>
      </c>
    </row>
    <row r="5">
      <c r="A5" s="87" t="inlineStr">
        <is>
          <t>Daily_Control_Tower</t>
        </is>
      </c>
      <c r="B5" s="87" t="inlineStr">
        <is>
          <t>Daily view of urgent work items.</t>
        </is>
      </c>
      <c r="C5" s="87" t="inlineStr">
        <is>
          <t>PA Executive</t>
        </is>
      </c>
      <c r="D5" s="87" t="inlineStr">
        <is>
          <t>Daily</t>
        </is>
      </c>
      <c r="E5" s="87" t="inlineStr">
        <is>
          <t>Deadlines, actions, meetings</t>
        </is>
      </c>
      <c r="F5" s="87" t="inlineStr">
        <is>
          <t>Today/this-week priorities</t>
        </is>
      </c>
      <c r="G5" s="87" t="inlineStr">
        <is>
          <t>Overdue actions</t>
        </is>
      </c>
      <c r="H5" s="87" t="inlineStr">
        <is>
          <t>Open first every morning.</t>
        </is>
      </c>
    </row>
    <row r="6">
      <c r="A6" s="87" t="inlineStr">
        <is>
          <t>Regulatory_Obligation_Register</t>
        </is>
      </c>
      <c r="B6" s="87" t="inlineStr">
        <is>
          <t>Master register of recurring and ad-hoc regulatory obligations.</t>
        </is>
      </c>
      <c r="C6" s="87" t="inlineStr">
        <is>
          <t>PA + Compliance</t>
        </is>
      </c>
      <c r="D6" s="87" t="inlineStr">
        <is>
          <t>Monthly or when rules change</t>
        </is>
      </c>
      <c r="E6" s="87" t="inlineStr">
        <is>
          <t>Obligation, regulator, owner, frequency, penalty</t>
        </is>
      </c>
      <c r="F6" s="87" t="inlineStr">
        <is>
          <t>Obligation map</t>
        </is>
      </c>
      <c r="G6" s="87" t="inlineStr">
        <is>
          <t>On-time completion rate</t>
        </is>
      </c>
      <c r="H6" s="87" t="inlineStr">
        <is>
          <t>Core control document.</t>
        </is>
      </c>
    </row>
    <row r="7">
      <c r="A7" s="87" t="inlineStr">
        <is>
          <t>Regulatory_Calendar</t>
        </is>
      </c>
      <c r="B7" s="87" t="inlineStr">
        <is>
          <t>Calendar of report due dates and regulatory milestones.</t>
        </is>
      </c>
      <c r="C7" s="87" t="inlineStr">
        <is>
          <t>PA Executive</t>
        </is>
      </c>
      <c r="D7" s="87" t="inlineStr">
        <is>
          <t>Daily/weekly</t>
        </is>
      </c>
      <c r="E7" s="87" t="inlineStr">
        <is>
          <t>Due date, regulator, owner, status</t>
        </is>
      </c>
      <c r="F7" s="87" t="inlineStr">
        <is>
          <t>Deadline countdown</t>
        </is>
      </c>
      <c r="G7" s="87" t="inlineStr">
        <is>
          <t>Reports due in 7 days</t>
        </is>
      </c>
      <c r="H7" s="87" t="inlineStr">
        <is>
          <t>Feeds daily attention view.</t>
        </is>
      </c>
    </row>
    <row r="8">
      <c r="A8" s="87" t="inlineStr">
        <is>
          <t>Submission_Tracker</t>
        </is>
      </c>
      <c r="B8" s="87" t="inlineStr">
        <is>
          <t>Tracks outgoing regulatory submissions.</t>
        </is>
      </c>
      <c r="C8" s="87" t="inlineStr">
        <is>
          <t>PA Executive</t>
        </is>
      </c>
      <c r="D8" s="87" t="inlineStr">
        <is>
          <t>Daily</t>
        </is>
      </c>
      <c r="E8" s="87" t="inlineStr">
        <is>
          <t>Submission details, status, ref no.</t>
        </is>
      </c>
      <c r="F8" s="87" t="inlineStr">
        <is>
          <t>Submission status</t>
        </is>
      </c>
      <c r="G8" s="87" t="inlineStr">
        <is>
          <t>On-time submission rate</t>
        </is>
      </c>
      <c r="H8" s="87" t="inlineStr">
        <is>
          <t>Use for MOF/ISA filings.</t>
        </is>
      </c>
    </row>
    <row r="9">
      <c r="A9" s="87" t="inlineStr">
        <is>
          <t>Regulatory_Response_Tracker</t>
        </is>
      </c>
      <c r="B9" s="87" t="inlineStr">
        <is>
          <t>Tracks incoming/outgoing regulatory letters and pending responses.</t>
        </is>
      </c>
      <c r="C9" s="87" t="inlineStr">
        <is>
          <t>PA + Legal</t>
        </is>
      </c>
      <c r="D9" s="87" t="inlineStr">
        <is>
          <t>Daily</t>
        </is>
      </c>
      <c r="E9" s="87" t="inlineStr">
        <is>
          <t>Request, response owner, due date</t>
        </is>
      </c>
      <c r="F9" s="87" t="inlineStr">
        <is>
          <t>Open regulator requests</t>
        </is>
      </c>
      <c r="G9" s="87" t="inlineStr">
        <is>
          <t>Average response time</t>
        </is>
      </c>
      <c r="H9" s="87" t="inlineStr">
        <is>
          <t>Useful for audit trail.</t>
        </is>
      </c>
    </row>
    <row r="10">
      <c r="A10" s="87" t="inlineStr">
        <is>
          <t>Product_Approval_Command_Center</t>
        </is>
      </c>
      <c r="B10" s="87" t="inlineStr">
        <is>
          <t>Tracks product/license/capital approval workflow.</t>
        </is>
      </c>
      <c r="C10" s="87" t="inlineStr">
        <is>
          <t>Product + PA + Legal</t>
        </is>
      </c>
      <c r="D10" s="87" t="inlineStr">
        <is>
          <t>Weekly</t>
        </is>
      </c>
      <c r="E10" s="87" t="inlineStr">
        <is>
          <t>Product, regulator, stage, owner</t>
        </is>
      </c>
      <c r="F10" s="87" t="inlineStr">
        <is>
          <t>Approval pipeline</t>
        </is>
      </c>
      <c r="G10" s="87" t="inlineStr">
        <is>
          <t>Average approval days</t>
        </is>
      </c>
      <c r="H10" s="87" t="inlineStr">
        <is>
          <t>Important for business enablement.</t>
        </is>
      </c>
    </row>
    <row r="11">
      <c r="A11" s="87" t="inlineStr">
        <is>
          <t>Internal_Coordination_Tracker</t>
        </is>
      </c>
      <c r="B11" s="87" t="inlineStr">
        <is>
          <t>Tracks follow-up with internal departments.</t>
        </is>
      </c>
      <c r="C11" s="87" t="inlineStr">
        <is>
          <t>PA Executive</t>
        </is>
      </c>
      <c r="D11" s="87" t="inlineStr">
        <is>
          <t>Daily</t>
        </is>
      </c>
      <c r="E11" s="87" t="inlineStr">
        <is>
          <t>Department, action, SLA, owner</t>
        </is>
      </c>
      <c r="F11" s="87" t="inlineStr">
        <is>
          <t>Overdue internal actions</t>
        </is>
      </c>
      <c r="G11" s="87" t="inlineStr">
        <is>
          <t>SLA compliance</t>
        </is>
      </c>
      <c r="H11" s="87" t="inlineStr">
        <is>
          <t>Supports cross-functional discipline.</t>
        </is>
      </c>
    </row>
    <row r="12">
      <c r="A12" s="87" t="inlineStr">
        <is>
          <t>Regulator_CRM</t>
        </is>
      </c>
      <c r="B12" s="87" t="inlineStr">
        <is>
          <t>Regulator relationship database.</t>
        </is>
      </c>
      <c r="C12" s="87" t="inlineStr">
        <is>
          <t>PA team</t>
        </is>
      </c>
      <c r="D12" s="87" t="inlineStr">
        <is>
          <t>After each meeting/contact</t>
        </is>
      </c>
      <c r="E12" s="87" t="inlineStr">
        <is>
          <t>Profile, contact history, open issues</t>
        </is>
      </c>
      <c r="F12" s="87" t="inlineStr">
        <is>
          <t>Relationship map</t>
        </is>
      </c>
      <c r="G12" s="87" t="inlineStr">
        <is>
          <t>Relationship score</t>
        </is>
      </c>
      <c r="H12" s="87" t="inlineStr">
        <is>
          <t>Institutional memory.</t>
        </is>
      </c>
    </row>
    <row r="13">
      <c r="A13" s="87" t="inlineStr">
        <is>
          <t>Meeting_Intelligence</t>
        </is>
      </c>
      <c r="B13" s="87" t="inlineStr">
        <is>
          <t>Before/after meeting brief and action log.</t>
        </is>
      </c>
      <c r="C13" s="87" t="inlineStr">
        <is>
          <t>PA + EMT</t>
        </is>
      </c>
      <c r="D13" s="87" t="inlineStr">
        <is>
          <t>Per meeting</t>
        </is>
      </c>
      <c r="E13" s="87" t="inlineStr">
        <is>
          <t>Objective, talking points, commitments</t>
        </is>
      </c>
      <c r="F13" s="87" t="inlineStr">
        <is>
          <t>Meeting brief and follow-ups</t>
        </is>
      </c>
      <c r="G13" s="87" t="inlineStr">
        <is>
          <t>Follow-up closure rate</t>
        </is>
      </c>
      <c r="H13" s="87" t="inlineStr">
        <is>
          <t>Fits JD briefing notes.</t>
        </is>
      </c>
    </row>
    <row r="14">
      <c r="A14" s="87" t="inlineStr">
        <is>
          <t>Document_QC_Checklist</t>
        </is>
      </c>
      <c r="B14" s="87" t="inlineStr">
        <is>
          <t>Quality control for official letters/reports before submission.</t>
        </is>
      </c>
      <c r="C14" s="87" t="inlineStr">
        <is>
          <t>PA + Legal + Compliance</t>
        </is>
      </c>
      <c r="D14" s="87" t="inlineStr">
        <is>
          <t>Per submission</t>
        </is>
      </c>
      <c r="E14" s="87" t="inlineStr">
        <is>
          <t>Template, attachment, review status</t>
        </is>
      </c>
      <c r="F14" s="87" t="inlineStr">
        <is>
          <t>Ready/not ready decision</t>
        </is>
      </c>
      <c r="G14" s="87" t="inlineStr">
        <is>
          <t>QC pass rate</t>
        </is>
      </c>
      <c r="H14" s="87" t="inlineStr">
        <is>
          <t>Pre-submission control gate.</t>
        </is>
      </c>
    </row>
    <row r="15">
      <c r="A15" s="87" t="inlineStr">
        <is>
          <t>Policy_Monitoring</t>
        </is>
      </c>
      <c r="B15" s="87" t="inlineStr">
        <is>
          <t>Monitors laws, circulars and regulatory developments.</t>
        </is>
      </c>
      <c r="C15" s="87" t="inlineStr">
        <is>
          <t>PA + Legal</t>
        </is>
      </c>
      <c r="D15" s="87" t="inlineStr">
        <is>
          <t>Weekly</t>
        </is>
      </c>
      <c r="E15" s="87" t="inlineStr">
        <is>
          <t>Policy item, source, impact, action</t>
        </is>
      </c>
      <c r="F15" s="87" t="inlineStr">
        <is>
          <t>Impact assessment</t>
        </is>
      </c>
      <c r="G15" s="87" t="inlineStr">
        <is>
          <t>New items assessed</t>
        </is>
      </c>
      <c r="H15" s="87" t="inlineStr">
        <is>
          <t>Supports research task in JD.</t>
        </is>
      </c>
    </row>
    <row r="16">
      <c r="A16" s="87" t="inlineStr">
        <is>
          <t>Risk_Radar</t>
        </is>
      </c>
      <c r="B16" s="87" t="inlineStr">
        <is>
          <t>Quantifies probability and business impact of policy issues.</t>
        </is>
      </c>
      <c r="C16" s="87" t="inlineStr">
        <is>
          <t>PA + Risk</t>
        </is>
      </c>
      <c r="D16" s="87" t="inlineStr">
        <is>
          <t>Monthly</t>
        </is>
      </c>
      <c r="E16" s="87" t="inlineStr">
        <is>
          <t>Probability, impact, mitigation</t>
        </is>
      </c>
      <c r="F16" s="87" t="inlineStr">
        <is>
          <t>Risk score</t>
        </is>
      </c>
      <c r="G16" s="87" t="inlineStr">
        <is>
          <t>High-risk items</t>
        </is>
      </c>
      <c r="H16" s="87" t="inlineStr">
        <is>
          <t>Differentiates candidate with risk background.</t>
        </is>
      </c>
    </row>
    <row r="17">
      <c r="A17" s="87" t="inlineStr">
        <is>
          <t>Regional_Report_Pack</t>
        </is>
      </c>
      <c r="B17" s="87" t="inlineStr">
        <is>
          <t>Regional Office update pack.</t>
        </is>
      </c>
      <c r="C17" s="87" t="inlineStr">
        <is>
          <t>PA Manager</t>
        </is>
      </c>
      <c r="D17" s="87" t="inlineStr">
        <is>
          <t>Monthly/ad-hoc</t>
        </is>
      </c>
      <c r="E17" s="87" t="inlineStr">
        <is>
          <t>Key developments, approvals, risks</t>
        </is>
      </c>
      <c r="F17" s="87" t="inlineStr">
        <is>
          <t>RO report</t>
        </is>
      </c>
      <c r="G17" s="87" t="inlineStr">
        <is>
          <t>Report readiness</t>
        </is>
      </c>
      <c r="H17" s="87" t="inlineStr">
        <is>
          <t>Use for APAC reporting.</t>
        </is>
      </c>
    </row>
    <row r="18">
      <c r="A18" s="87" t="inlineStr">
        <is>
          <t>Translation_Tracker</t>
        </is>
      </c>
      <c r="B18" s="87" t="inlineStr">
        <is>
          <t>Tracks VN/EN translation work.</t>
        </is>
      </c>
      <c r="C18" s="87" t="inlineStr">
        <is>
          <t>PA Executive</t>
        </is>
      </c>
      <c r="D18" s="87" t="inlineStr">
        <is>
          <t>As needed</t>
        </is>
      </c>
      <c r="E18" s="87" t="inlineStr">
        <is>
          <t>Document, language, owner, due date</t>
        </is>
      </c>
      <c r="F18" s="87" t="inlineStr">
        <is>
          <t>Translation status</t>
        </is>
      </c>
      <c r="G18" s="87" t="inlineStr">
        <is>
          <t>Turnaround time</t>
        </is>
      </c>
      <c r="H18" s="87" t="inlineStr">
        <is>
          <t>Small but directly in JD.</t>
        </is>
      </c>
    </row>
    <row r="19">
      <c r="A19" s="87" t="inlineStr">
        <is>
          <t>Inspection_Readiness</t>
        </is>
      </c>
      <c r="B19" s="87" t="inlineStr">
        <is>
          <t>Self-assessment for regulatory inspection readiness.</t>
        </is>
      </c>
      <c r="C19" s="87" t="inlineStr">
        <is>
          <t>PA + Compliance</t>
        </is>
      </c>
      <c r="D19" s="87" t="inlineStr">
        <is>
          <t>Quarterly</t>
        </is>
      </c>
      <c r="E19" s="87" t="inlineStr">
        <is>
          <t>Documentation and controls score</t>
        </is>
      </c>
      <c r="F19" s="87" t="inlineStr">
        <is>
          <t>Readiness score</t>
        </is>
      </c>
      <c r="G19" s="87" t="inlineStr">
        <is>
          <t>Inspection readiness %</t>
        </is>
      </c>
      <c r="H19" s="87" t="inlineStr">
        <is>
          <t>Useful for regulated industry.</t>
        </is>
      </c>
    </row>
    <row r="20">
      <c r="A20" s="87" t="inlineStr">
        <is>
          <t>Knowledge_Base</t>
        </is>
      </c>
      <c r="B20" s="87" t="inlineStr">
        <is>
          <t>Regulatory knowledge repository.</t>
        </is>
      </c>
      <c r="C20" s="87" t="inlineStr">
        <is>
          <t>PA + Legal</t>
        </is>
      </c>
      <c r="D20" s="87" t="inlineStr">
        <is>
          <t>When new policy is issued</t>
        </is>
      </c>
      <c r="E20" s="87" t="inlineStr">
        <is>
          <t>Summary, obligations, departments affected</t>
        </is>
      </c>
      <c r="F20" s="87" t="inlineStr">
        <is>
          <t>Quick reference</t>
        </is>
      </c>
      <c r="G20" s="87" t="inlineStr">
        <is>
          <t>Knowledge completeness</t>
        </is>
      </c>
      <c r="H20" s="87" t="inlineStr">
        <is>
          <t>AI-lite knowledge base.</t>
        </is>
      </c>
    </row>
    <row r="21">
      <c r="A21" s="87" t="inlineStr">
        <is>
          <t>Interview_Story_Mode</t>
        </is>
      </c>
      <c r="B21" s="87" t="inlineStr">
        <is>
          <t>3-minute demo narrative mapped to JD.</t>
        </is>
      </c>
      <c r="C21" s="87" t="inlineStr">
        <is>
          <t>Candidate</t>
        </is>
      </c>
      <c r="D21" s="87" t="inlineStr">
        <is>
          <t>Before interview</t>
        </is>
      </c>
      <c r="E21" s="87" t="inlineStr">
        <is>
          <t>JD pain points + modules</t>
        </is>
      </c>
      <c r="F21" s="87" t="inlineStr">
        <is>
          <t>Demo storyline</t>
        </is>
      </c>
      <c r="G21" s="87" t="inlineStr">
        <is>
          <t>N/A</t>
        </is>
      </c>
      <c r="H21" s="87" t="inlineStr">
        <is>
          <t>Use to present the prototype.</t>
        </is>
      </c>
    </row>
    <row r="22">
      <c r="A22" s="87" t="inlineStr">
        <is>
          <t>Monthly_RO_Report_Generator</t>
        </is>
      </c>
      <c r="B22" s="87" t="inlineStr">
        <is>
          <t>One-click style monthly report text for Regional Office.</t>
        </is>
      </c>
      <c r="C22" s="87" t="inlineStr">
        <is>
          <t>PA team</t>
        </is>
      </c>
      <c r="D22" s="87" t="inlineStr">
        <is>
          <t>Monthly</t>
        </is>
      </c>
      <c r="E22" s="87" t="inlineStr">
        <is>
          <t>Trackers + narrative fields</t>
        </is>
      </c>
      <c r="F22" s="87" t="inlineStr">
        <is>
          <t>English report</t>
        </is>
      </c>
      <c r="G22" s="87" t="inlineStr">
        <is>
          <t>Report production time</t>
        </is>
      </c>
      <c r="H22" s="87" t="inlineStr">
        <is>
          <t>New in v6 polish.</t>
        </is>
      </c>
    </row>
  </sheetData>
  <mergeCells count="1">
    <mergeCell ref="A1:H1"/>
  </mergeCells>
  <dataValidations count="1">
    <dataValidation sqref="D4:D22" showDropDown="0" showInputMessage="0" showErrorMessage="0" allowBlank="0" type="list">
      <formula1>"Daily,Daily/weekly,Weekly,Monthly,Monthly/ad-hoc,Quarterly,Per meeting,Per submission,As needed,Before interview,When new policy is issued,Monthly or when rules change,After each meeting/contact"</formula1>
    </dataValidation>
  </dataValidation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24" customWidth="1" style="44" min="6" max="6"/>
    <col width="24" customWidth="1" style="44" min="7" max="7"/>
    <col width="24" customWidth="1" style="44" min="8" max="8"/>
  </cols>
  <sheetData>
    <row r="1" ht="28" customHeight="1" s="44">
      <c r="A1" s="146" t="inlineStr">
        <is>
          <t>SLA &amp; Escalation Rules</t>
        </is>
      </c>
      <c r="B1" s="1" t="n"/>
      <c r="C1" s="1" t="n"/>
      <c r="D1" s="1" t="n"/>
      <c r="E1" s="1" t="n"/>
      <c r="F1" s="1" t="n"/>
      <c r="G1" s="1" t="n"/>
      <c r="H1" s="1" t="n"/>
    </row>
    <row r="2">
      <c r="A2" s="147" t="inlineStr">
        <is>
          <t>Operational rules for deadlines, regulator requests, internal follow-ups and document quality control.</t>
        </is>
      </c>
      <c r="B2" s="1" t="n"/>
      <c r="C2" s="1" t="n"/>
      <c r="D2" s="1" t="n"/>
      <c r="E2" s="1" t="n"/>
      <c r="F2" s="1" t="n"/>
      <c r="G2" s="1" t="n"/>
      <c r="H2" s="1" t="n"/>
    </row>
    <row r="3">
      <c r="A3" s="12" t="n"/>
      <c r="B3" s="12" t="n"/>
      <c r="C3" s="12" t="n"/>
      <c r="D3" s="12" t="n"/>
      <c r="E3" s="12" t="n"/>
      <c r="F3" s="12" t="n"/>
      <c r="G3" s="12" t="n"/>
      <c r="H3" s="12" t="n"/>
    </row>
    <row r="4" ht="24" customHeight="1" s="44">
      <c r="A4" s="120" t="inlineStr">
        <is>
          <t>Process / Item Type</t>
        </is>
      </c>
      <c r="B4" s="120" t="inlineStr">
        <is>
          <t>Default SLA</t>
        </is>
      </c>
      <c r="C4" s="120" t="inlineStr">
        <is>
          <t>Trigger Condition</t>
        </is>
      </c>
      <c r="D4" s="120" t="inlineStr">
        <is>
          <t>Escalation Level</t>
        </is>
      </c>
      <c r="E4" s="120" t="inlineStr">
        <is>
          <t>Escalation Owner</t>
        </is>
      </c>
      <c r="F4" s="120" t="inlineStr">
        <is>
          <t>Recommended Action</t>
        </is>
      </c>
      <c r="G4" s="120" t="inlineStr">
        <is>
          <t>Email Template</t>
        </is>
      </c>
      <c r="H4" s="120" t="inlineStr">
        <is>
          <t>RAG Logic</t>
        </is>
      </c>
    </row>
    <row r="5">
      <c r="A5" s="12" t="inlineStr">
        <is>
          <t>Periodic regulatory report</t>
        </is>
      </c>
      <c r="B5" s="12" t="inlineStr">
        <is>
          <t>Due date - 7 days</t>
        </is>
      </c>
      <c r="C5" s="12" t="inlineStr">
        <is>
          <t>Less than 7 calendar days to due date</t>
        </is>
      </c>
      <c r="D5" s="12" t="inlineStr">
        <is>
          <t>Level 1</t>
        </is>
      </c>
      <c r="E5" s="12" t="inlineStr">
        <is>
          <t>Public Affairs owner</t>
        </is>
      </c>
      <c r="F5" s="12" t="inlineStr">
        <is>
          <t>Send reminder to internal owner</t>
        </is>
      </c>
      <c r="G5" s="12" t="inlineStr">
        <is>
          <t>Internal Reminder</t>
        </is>
      </c>
      <c r="H5" s="12" t="inlineStr">
        <is>
          <t>Amber</t>
        </is>
      </c>
    </row>
    <row r="6">
      <c r="A6" s="12" t="inlineStr">
        <is>
          <t>Periodic regulatory report</t>
        </is>
      </c>
      <c r="B6" s="12" t="inlineStr">
        <is>
          <t>Due date passed</t>
        </is>
      </c>
      <c r="C6" s="12" t="inlineStr">
        <is>
          <t>Due date &lt; today and not submitted</t>
        </is>
      </c>
      <c r="D6" s="12" t="inlineStr">
        <is>
          <t>Level 2</t>
        </is>
      </c>
      <c r="E6" s="12" t="inlineStr">
        <is>
          <t>Head of Regulatory &amp; Public Affairs</t>
        </is>
      </c>
      <c r="F6" s="12" t="inlineStr">
        <is>
          <t>Escalate to department head and agree recovery date</t>
        </is>
      </c>
      <c r="G6" s="12" t="inlineStr">
        <is>
          <t>Escalation Notice</t>
        </is>
      </c>
      <c r="H6" s="12" t="inlineStr">
        <is>
          <t>Red</t>
        </is>
      </c>
    </row>
    <row r="7">
      <c r="A7" s="12" t="inlineStr">
        <is>
          <t>Ad-hoc regulator request</t>
        </is>
      </c>
      <c r="B7" s="12" t="inlineStr">
        <is>
          <t>Same day acknowledgement</t>
        </is>
      </c>
      <c r="C7" s="12" t="inlineStr">
        <is>
          <t>Request from MOF/ISA marked urgent or critical</t>
        </is>
      </c>
      <c r="D7" s="12" t="inlineStr">
        <is>
          <t>Level 2</t>
        </is>
      </c>
      <c r="E7" s="12" t="inlineStr">
        <is>
          <t>Head of Regulatory &amp; Public Affairs</t>
        </is>
      </c>
      <c r="F7" s="12" t="inlineStr">
        <is>
          <t>Confirm scope, owner and expected submission timeline</t>
        </is>
      </c>
      <c r="G7" s="12" t="inlineStr">
        <is>
          <t>Regulator Acknowledgement</t>
        </is>
      </c>
      <c r="H7" s="12" t="inlineStr">
        <is>
          <t>Red</t>
        </is>
      </c>
    </row>
    <row r="8">
      <c r="A8" s="12" t="inlineStr">
        <is>
          <t>Legal / Compliance review</t>
        </is>
      </c>
      <c r="B8" s="12" t="inlineStr">
        <is>
          <t>3 working days</t>
        </is>
      </c>
      <c r="C8" s="12" t="inlineStr">
        <is>
          <t>Review pending more than 3 days</t>
        </is>
      </c>
      <c r="D8" s="12" t="inlineStr">
        <is>
          <t>Level 1</t>
        </is>
      </c>
      <c r="E8" s="12" t="inlineStr">
        <is>
          <t>Legal / Compliance focal point</t>
        </is>
      </c>
      <c r="F8" s="12" t="inlineStr">
        <is>
          <t>Send follow-up and propose deadline</t>
        </is>
      </c>
      <c r="G8" s="12" t="inlineStr">
        <is>
          <t>Internal Reminder</t>
        </is>
      </c>
      <c r="H8" s="12" t="inlineStr">
        <is>
          <t>Amber</t>
        </is>
      </c>
    </row>
    <row r="9">
      <c r="A9" s="12" t="inlineStr">
        <is>
          <t>Management approval</t>
        </is>
      </c>
      <c r="B9" s="12" t="inlineStr">
        <is>
          <t>2 working days</t>
        </is>
      </c>
      <c r="C9" s="12" t="inlineStr">
        <is>
          <t>CEO/EMT approval pending more than 2 days</t>
        </is>
      </c>
      <c r="D9" s="12" t="inlineStr">
        <is>
          <t>Level 2</t>
        </is>
      </c>
      <c r="E9" s="12" t="inlineStr">
        <is>
          <t>CEO Office / EMT secretary</t>
        </is>
      </c>
      <c r="F9" s="12" t="inlineStr">
        <is>
          <t>Escalate through management office</t>
        </is>
      </c>
      <c r="G9" s="12" t="inlineStr">
        <is>
          <t>Escalation Notice</t>
        </is>
      </c>
      <c r="H9" s="12" t="inlineStr">
        <is>
          <t>Amber</t>
        </is>
      </c>
    </row>
    <row r="10">
      <c r="A10" s="12" t="inlineStr">
        <is>
          <t>Product approval dossier</t>
        </is>
      </c>
      <c r="B10" s="12" t="inlineStr">
        <is>
          <t>10 days before target date</t>
        </is>
      </c>
      <c r="C10" s="12" t="inlineStr">
        <is>
          <t>No regulator feedback or open clarification</t>
        </is>
      </c>
      <c r="D10" s="12" t="inlineStr">
        <is>
          <t>Level 1</t>
        </is>
      </c>
      <c r="E10" s="12" t="inlineStr">
        <is>
          <t>Product + Public Affairs</t>
        </is>
      </c>
      <c r="F10" s="12" t="inlineStr">
        <is>
          <t>Prepare follow-up note to ISA/MOF</t>
        </is>
      </c>
      <c r="G10" s="12" t="inlineStr">
        <is>
          <t>Regulator Follow-up</t>
        </is>
      </c>
      <c r="H10" s="12" t="inlineStr">
        <is>
          <t>Amber</t>
        </is>
      </c>
    </row>
    <row r="11">
      <c r="A11" s="12" t="inlineStr">
        <is>
          <t>Document QC</t>
        </is>
      </c>
      <c r="B11" s="12" t="inlineStr">
        <is>
          <t>Before submission</t>
        </is>
      </c>
      <c r="C11" s="12" t="inlineStr">
        <is>
          <t>Any mandatory checklist item = No</t>
        </is>
      </c>
      <c r="D11" s="12" t="inlineStr">
        <is>
          <t>Level 1</t>
        </is>
      </c>
      <c r="E11" s="12" t="inlineStr">
        <is>
          <t>Document owner</t>
        </is>
      </c>
      <c r="F11" s="12" t="inlineStr">
        <is>
          <t>Hold submission until QC cleared</t>
        </is>
      </c>
      <c r="G11" s="12" t="inlineStr">
        <is>
          <t>Internal Reminder</t>
        </is>
      </c>
      <c r="H11" s="12" t="inlineStr">
        <is>
          <t>Red</t>
        </is>
      </c>
    </row>
    <row r="12">
      <c r="A12" s="12" t="inlineStr">
        <is>
          <t>Translation request</t>
        </is>
      </c>
      <c r="B12" s="12" t="inlineStr">
        <is>
          <t>SLA passed</t>
        </is>
      </c>
      <c r="C12" s="12" t="inlineStr">
        <is>
          <t>Translation not completed by due date</t>
        </is>
      </c>
      <c r="D12" s="12" t="inlineStr">
        <is>
          <t>Level 1</t>
        </is>
      </c>
      <c r="E12" s="12" t="inlineStr">
        <is>
          <t>Translation owner</t>
        </is>
      </c>
      <c r="F12" s="12" t="inlineStr">
        <is>
          <t>Follow up and update expected completion date</t>
        </is>
      </c>
      <c r="G12" s="12" t="inlineStr">
        <is>
          <t>Internal Reminder</t>
        </is>
      </c>
      <c r="H12" s="12" t="inlineStr">
        <is>
          <t>Amber</t>
        </is>
      </c>
    </row>
    <row r="13">
      <c r="A13" s="12" t="inlineStr">
        <is>
          <t>Regional Office monthly report</t>
        </is>
      </c>
      <c r="B13" s="12" t="inlineStr">
        <is>
          <t>Monthly closing + 3 days</t>
        </is>
      </c>
      <c r="C13" s="12" t="inlineStr">
        <is>
          <t>RO pack not finalized</t>
        </is>
      </c>
      <c r="D13" s="12" t="inlineStr">
        <is>
          <t>Level 1</t>
        </is>
      </c>
      <c r="E13" s="12" t="inlineStr">
        <is>
          <t>Public Affairs owner</t>
        </is>
      </c>
      <c r="F13" s="12" t="inlineStr">
        <is>
          <t>Compile metrics, risks and next-month priorities</t>
        </is>
      </c>
      <c r="G13" s="12" t="inlineStr">
        <is>
          <t>RO Monthly Update</t>
        </is>
      </c>
      <c r="H13" s="12" t="inlineStr">
        <is>
          <t>Amber</t>
        </is>
      </c>
    </row>
    <row r="14">
      <c r="A14" s="12" t="n"/>
      <c r="B14" s="12" t="n"/>
      <c r="C14" s="12" t="n"/>
      <c r="D14" s="12" t="n"/>
      <c r="E14" s="12" t="n"/>
      <c r="F14" s="12" t="n"/>
      <c r="G14" s="12" t="n"/>
      <c r="H14" s="12" t="n"/>
    </row>
  </sheetData>
  <mergeCells count="2">
    <mergeCell ref="A2:H2"/>
    <mergeCell ref="A1:H1"/>
  </mergeCells>
  <conditionalFormatting sqref="H5:H100">
    <cfRule type="expression" priority="1" dxfId="22">
      <formula>H5="Red"</formula>
    </cfRule>
    <cfRule type="expression" priority="2" dxfId="23">
      <formula>H5="Amber"</formula>
    </cfRule>
  </conditionalFormatting>
  <dataValidations count="1">
    <dataValidation sqref="D5:D100" showDropDown="0" showInputMessage="0" showErrorMessage="0" allowBlank="0" type="list">
      <formula1>"Level 0,Level 1,Level 2,Level 3"</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style="44" min="1" max="1"/>
    <col width="18" customWidth="1" style="44" min="2" max="2"/>
    <col width="18" customWidth="1" style="44" min="3" max="3"/>
    <col width="18" customWidth="1" style="44" min="4" max="4"/>
    <col width="18" customWidth="1" style="44" min="5" max="5"/>
    <col width="24" customWidth="1" style="44" min="6" max="6"/>
  </cols>
  <sheetData>
    <row r="1" ht="28" customHeight="1" s="44">
      <c r="A1" s="146" t="inlineStr">
        <is>
          <t>Email Template Generator</t>
        </is>
      </c>
      <c r="B1" s="1" t="n"/>
      <c r="C1" s="1" t="n"/>
      <c r="D1" s="1" t="n"/>
      <c r="E1" s="1" t="n"/>
      <c r="F1" s="1" t="n"/>
    </row>
    <row r="2">
      <c r="A2" s="147" t="inlineStr">
        <is>
          <t>Ready-to-use English email templates for regulatory follow-up, internal reminders and Regional Office updates.</t>
        </is>
      </c>
      <c r="B2" s="1" t="n"/>
      <c r="C2" s="1" t="n"/>
      <c r="D2" s="1" t="n"/>
      <c r="E2" s="1" t="n"/>
      <c r="F2" s="1" t="n"/>
    </row>
    <row r="3">
      <c r="A3" s="12" t="n"/>
      <c r="B3" s="12" t="n"/>
      <c r="C3" s="12" t="n"/>
      <c r="D3" s="12" t="n"/>
      <c r="E3" s="12" t="n"/>
      <c r="F3" s="12" t="n"/>
    </row>
    <row r="4" ht="24" customHeight="1" s="44">
      <c r="A4" s="120" t="inlineStr">
        <is>
          <t>Template ID</t>
        </is>
      </c>
      <c r="B4" s="120" t="inlineStr">
        <is>
          <t>Use Case</t>
        </is>
      </c>
      <c r="C4" s="120" t="inlineStr">
        <is>
          <t>Subject</t>
        </is>
      </c>
      <c r="D4" s="120" t="inlineStr">
        <is>
          <t>Recipient Type</t>
        </is>
      </c>
      <c r="E4" s="120" t="inlineStr">
        <is>
          <t>Trigger</t>
        </is>
      </c>
      <c r="F4" s="120" t="inlineStr">
        <is>
          <t>Email Body Template</t>
        </is>
      </c>
    </row>
    <row r="5">
      <c r="A5" s="12" t="inlineStr">
        <is>
          <t>EMAIL-001</t>
        </is>
      </c>
      <c r="B5" s="12" t="inlineStr">
        <is>
          <t>Internal deadline reminder</t>
        </is>
      </c>
      <c r="C5" s="12" t="inlineStr">
        <is>
          <t>Reminder: Regulatory input required for [Item] by [Due Date]</t>
        </is>
      </c>
      <c r="D5" s="12" t="inlineStr">
        <is>
          <t>Internal department</t>
        </is>
      </c>
      <c r="E5" s="12" t="inlineStr">
        <is>
          <t>Due in 7 days</t>
        </is>
      </c>
      <c r="F5" s="12" t="inlineStr">
        <is>
          <t>Dear [Name],
This is a kind reminder that input for [Item] is required by [Due Date] for submission to [Regulator]. Please share the latest version and supporting documents by [Internal Deadline] so that Regulatory &amp; Public Affairs can complete review and submission on time.
Best regards,
[Your Name]</t>
        </is>
      </c>
    </row>
    <row r="6">
      <c r="A6" s="12" t="inlineStr">
        <is>
          <t>EMAIL-002</t>
        </is>
      </c>
      <c r="B6" s="12" t="inlineStr">
        <is>
          <t>Internal escalation</t>
        </is>
      </c>
      <c r="C6" s="12" t="inlineStr">
        <is>
          <t>Escalation: Overdue regulatory input for [Item]</t>
        </is>
      </c>
      <c r="D6" s="12" t="inlineStr">
        <is>
          <t>Department head</t>
        </is>
      </c>
      <c r="E6" s="12" t="inlineStr">
        <is>
          <t>Overdue internal input</t>
        </is>
      </c>
      <c r="F6" s="12" t="inlineStr">
        <is>
          <t>Dear [Name],
The input for [Item] is now overdue and may affect the regulatory submission timeline to [Regulator]. Please help prioritize this item and confirm the expected completion time.
Best regards,
[Your Name]</t>
        </is>
      </c>
    </row>
    <row r="7">
      <c r="A7" s="12" t="inlineStr">
        <is>
          <t>EMAIL-003</t>
        </is>
      </c>
      <c r="B7" s="12" t="inlineStr">
        <is>
          <t>Regulator acknowledgement</t>
        </is>
      </c>
      <c r="C7" s="12" t="inlineStr">
        <is>
          <t>Acknowledgement of request regarding [Topic]</t>
        </is>
      </c>
      <c r="D7" s="12" t="inlineStr">
        <is>
          <t>Regulator</t>
        </is>
      </c>
      <c r="E7" s="12" t="inlineStr">
        <is>
          <t>Incoming urgent request</t>
        </is>
      </c>
      <c r="F7" s="12" t="inlineStr">
        <is>
          <t>Dear [Title/Name],
We acknowledge receipt of your request regarding [Topic]. We are coordinating with the relevant internal teams and will revert with the requested information by [Expected Date].
Respectfully,
[Your Name]</t>
        </is>
      </c>
    </row>
    <row r="8">
      <c r="A8" s="12" t="inlineStr">
        <is>
          <t>EMAIL-004</t>
        </is>
      </c>
      <c r="B8" s="12" t="inlineStr">
        <is>
          <t>Regulator follow-up</t>
        </is>
      </c>
      <c r="C8" s="12" t="inlineStr">
        <is>
          <t>Follow-up on submitted dossier: [Dossier Name]</t>
        </is>
      </c>
      <c r="D8" s="12" t="inlineStr">
        <is>
          <t>Regulator</t>
        </is>
      </c>
      <c r="E8" s="12" t="inlineStr">
        <is>
          <t>No response after expected follow-up date</t>
        </is>
      </c>
      <c r="F8" s="12" t="inlineStr">
        <is>
          <t>Dear [Title/Name],
We would like to respectfully follow up on the submitted dossier [Dossier Name], sent on [Submission Date]. Please let us know if any further clarification or supporting documents are required from our side.
Respectfully,
[Your Name]</t>
        </is>
      </c>
    </row>
    <row r="9">
      <c r="A9" s="12" t="inlineStr">
        <is>
          <t>EMAIL-005</t>
        </is>
      </c>
      <c r="B9" s="12" t="inlineStr">
        <is>
          <t>Meeting confirmation</t>
        </is>
      </c>
      <c r="C9" s="12" t="inlineStr">
        <is>
          <t>Meeting confirmation: [Regulator] / Manulife on [Date]</t>
        </is>
      </c>
      <c r="D9" s="12" t="inlineStr">
        <is>
          <t>Regulator / internal</t>
        </is>
      </c>
      <c r="E9" s="12" t="inlineStr">
        <is>
          <t>Meeting scheduled</t>
        </is>
      </c>
      <c r="F9" s="12" t="inlineStr">
        <is>
          <t>Dear [Name],
Thank you for confirming the meeting on [Date] regarding [Topic]. We will prepare the relevant materials and proposed discussion points in advance.
Best regards,
[Your Name]</t>
        </is>
      </c>
    </row>
    <row r="10">
      <c r="A10" s="12" t="inlineStr">
        <is>
          <t>EMAIL-006</t>
        </is>
      </c>
      <c r="B10" s="12" t="inlineStr">
        <is>
          <t>Regional Office monthly update</t>
        </is>
      </c>
      <c r="C10" s="12" t="inlineStr">
        <is>
          <t>Vietnam Regulatory &amp; Public Affairs Monthly Update - [Month]</t>
        </is>
      </c>
      <c r="D10" s="12" t="inlineStr">
        <is>
          <t>Regional Office</t>
        </is>
      </c>
      <c r="E10" s="12" t="inlineStr">
        <is>
          <t>Monthly reporting cycle</t>
        </is>
      </c>
      <c r="F10" s="12" t="inlineStr">
        <is>
          <t>Dear Regional Team,
Please find below the Vietnam Regulatory &amp; Public Affairs monthly update for [Month], covering key regulatory developments, pending approvals, regulator engagements, emerging risks and next-month priorities.
Best regards,
[Your Name]</t>
        </is>
      </c>
    </row>
    <row r="11">
      <c r="A11" s="12" t="n"/>
      <c r="B11" s="12" t="n"/>
      <c r="C11" s="12" t="n"/>
      <c r="D11" s="12" t="n"/>
      <c r="E11" s="12" t="n"/>
      <c r="F11" s="12" t="n"/>
    </row>
  </sheetData>
  <mergeCells count="2">
    <mergeCell ref="A2:F2"/>
    <mergeCell ref="A1:F1"/>
  </mergeCells>
  <dataValidations count="1">
    <dataValidation sqref="D5:D100" showDropDown="0" showInputMessage="0" showErrorMessage="0" allowBlank="0" type="list">
      <formula1>"Internal department,Department head,Regulator,Regulator / internal,Regional Office"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2026-06-12T01:15:14Z</dcterms:created>
  <dcterms:modified xmlns:dcterms="http://purl.org/dc/terms/" xmlns:xsi="http://www.w3.org/2001/XMLSchema-instance" xsi:type="dcterms:W3CDTF">2026-06-12T01:15:14Z</dcterms:modified>
</cp:coreProperties>
</file>