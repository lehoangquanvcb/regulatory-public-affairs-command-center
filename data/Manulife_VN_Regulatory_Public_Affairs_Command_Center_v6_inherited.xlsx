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tables/table21.xml" ContentType="application/vnd.openxmlformats-officedocument.spreadsheetml.table+xml"/>
  <Override PartName="/xl/worksheets/sheet28.xml" ContentType="application/vnd.openxmlformats-officedocument.spreadsheetml.worksheet+xml"/>
  <Override PartName="/xl/tables/table22.xml" ContentType="application/vnd.openxmlformats-officedocument.spreadsheetml.table+xml"/>
  <Override PartName="/xl/worksheets/sheet29.xml" ContentType="application/vnd.openxmlformats-officedocument.spreadsheetml.worksheet+xml"/>
  <Override PartName="/xl/tables/table23.xml" ContentType="application/vnd.openxmlformats-officedocument.spreadsheetml.table+xml"/>
  <Override PartName="/xl/worksheets/sheet30.xml" ContentType="application/vnd.openxmlformats-officedocument.spreadsheetml.worksheet+xml"/>
  <Override PartName="/xl/tables/table24.xml" ContentType="application/vnd.openxmlformats-officedocument.spreadsheetml.table+xml"/>
  <Override PartName="/xl/worksheets/sheet31.xml" ContentType="application/vnd.openxmlformats-officedocument.spreadsheetml.worksheet+xml"/>
  <Override PartName="/xl/tables/table25.xml" ContentType="application/vnd.openxmlformats-officedocument.spreadsheetml.table+xml"/>
  <Override PartName="/xl/worksheets/sheet32.xml" ContentType="application/vnd.openxmlformats-officedocument.spreadsheetml.worksheet+xml"/>
  <Override PartName="/xl/tables/table26.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c847dfcfa54726" /></Relationships>
</file>

<file path=xl/workbook.xml><?xml version="1.0" encoding="utf-8"?>
<x:workbook xmlns:x="http://schemas.openxmlformats.org/spreadsheetml/2006/main">
  <x:sheets>
    <x:sheet xmlns:r="http://schemas.openxmlformats.org/officeDocument/2006/relationships" name="Executive_Dashboard" sheetId="1" r:id="R073a3ed9a2c544e2"/>
    <x:sheet xmlns:r="http://schemas.openxmlformats.org/officeDocument/2006/relationships" name="Regulatory_Calendar" sheetId="2" r:id="Rebbd1d5befd54d3b"/>
    <x:sheet xmlns:r="http://schemas.openxmlformats.org/officeDocument/2006/relationships" name="Submission_Tracker" sheetId="3" r:id="Ra2b38b5c2c694ff5"/>
    <x:sheet xmlns:r="http://schemas.openxmlformats.org/officeDocument/2006/relationships" name="Approval_Pipeline" sheetId="4" r:id="R1d46c38ce7ef4d00"/>
    <x:sheet xmlns:r="http://schemas.openxmlformats.org/officeDocument/2006/relationships" name="Regulator_Interactions" sheetId="5" r:id="R25d05013ec624cbb"/>
    <x:sheet xmlns:r="http://schemas.openxmlformats.org/officeDocument/2006/relationships" name="Policy_Monitoring" sheetId="6" r:id="R40c5b50b271e43f6"/>
    <x:sheet xmlns:r="http://schemas.openxmlformats.org/officeDocument/2006/relationships" name="Relationship_Intelligence" sheetId="7" r:id="R7876faa4a43f47b6"/>
    <x:sheet xmlns:r="http://schemas.openxmlformats.org/officeDocument/2006/relationships" name="Meeting_Brief" sheetId="8" r:id="Raebad20dabe14b17"/>
    <x:sheet xmlns:r="http://schemas.openxmlformats.org/officeDocument/2006/relationships" name="Regional_Report_Pack" sheetId="9" r:id="Rff94521ae84a4e5d"/>
    <x:sheet xmlns:r="http://schemas.openxmlformats.org/officeDocument/2006/relationships" name="Translation_Tracker" sheetId="10" r:id="R8dc61c0e4d22481e"/>
    <x:sheet xmlns:r="http://schemas.openxmlformats.org/officeDocument/2006/relationships" name="Reference_Lists" sheetId="11" r:id="Rab7e91f44e1e4967"/>
    <x:sheet xmlns:r="http://schemas.openxmlformats.org/officeDocument/2006/relationships" name="Daily_Control_Tower" sheetId="12" r:id="R500ce84876eb4c0c"/>
    <x:sheet xmlns:r="http://schemas.openxmlformats.org/officeDocument/2006/relationships" name="Document_QC_Checklist" sheetId="13" r:id="R693cb34878c74d1c"/>
    <x:sheet xmlns:r="http://schemas.openxmlformats.org/officeDocument/2006/relationships" name="Interview_Demo_Mode" sheetId="14" r:id="Rb2451ead42254bce"/>
    <x:sheet xmlns:r="http://schemas.openxmlformats.org/officeDocument/2006/relationships" name="Regulator_CRM" sheetId="15" r:id="Rf658a29353b04ca3"/>
    <x:sheet xmlns:r="http://schemas.openxmlformats.org/officeDocument/2006/relationships" name="Knowledge_Base" sheetId="16" r:id="R4d2ecbd4593548ed"/>
    <x:sheet xmlns:r="http://schemas.openxmlformats.org/officeDocument/2006/relationships" name="Workflow_Engine" sheetId="17" r:id="R3216b947a1c147b3"/>
    <x:sheet xmlns:r="http://schemas.openxmlformats.org/officeDocument/2006/relationships" name="Executive_Brief" sheetId="18" r:id="R2f629b501d7441fc"/>
    <x:sheet xmlns:r="http://schemas.openxmlformats.org/officeDocument/2006/relationships" name="Approval_Analytics" sheetId="19" r:id="Rad77c5778a714eb0"/>
    <x:sheet xmlns:r="http://schemas.openxmlformats.org/officeDocument/2006/relationships" name="PA_Scorecard" sheetId="20" r:id="Rfedc2e6f6ea64185"/>
    <x:sheet xmlns:r="http://schemas.openxmlformats.org/officeDocument/2006/relationships" name="Risk_Radar" sheetId="21" r:id="R4fa32f1f24d84c98"/>
    <x:sheet xmlns:r="http://schemas.openxmlformats.org/officeDocument/2006/relationships" name="Excel_Streamlit_Integration" sheetId="22" r:id="Rf4beb8ab8aca4280"/>
    <x:sheet xmlns:r="http://schemas.openxmlformats.org/officeDocument/2006/relationships" name="Regulatory_Obligation_Register" sheetId="23" r:id="Rde04cb9f6f544a18"/>
    <x:sheet xmlns:r="http://schemas.openxmlformats.org/officeDocument/2006/relationships" name="Regulatory_Response_Tracker" sheetId="24" r:id="R4836d4528eec4aec"/>
    <x:sheet xmlns:r="http://schemas.openxmlformats.org/officeDocument/2006/relationships" name="Product_Approval_Command_Center" sheetId="25" r:id="Rdc3eaa443cfa447a"/>
    <x:sheet xmlns:r="http://schemas.openxmlformats.org/officeDocument/2006/relationships" name="Internal_Coordination_Tracker" sheetId="26" r:id="R5cf1703645c5482c"/>
    <x:sheet xmlns:r="http://schemas.openxmlformats.org/officeDocument/2006/relationships" name="Meeting_Intelligence" sheetId="27" r:id="Rca2c535f013d43fb"/>
    <x:sheet xmlns:r="http://schemas.openxmlformats.org/officeDocument/2006/relationships" name="Inspection_Readiness" sheetId="28" r:id="R74889fd1246e4e3b"/>
    <x:sheet xmlns:r="http://schemas.openxmlformats.org/officeDocument/2006/relationships" name="Regulatory_News_Feed" sheetId="29" r:id="R85814751384d4392"/>
    <x:sheet xmlns:r="http://schemas.openxmlformats.org/officeDocument/2006/relationships" name="Executive_Attention_Today" sheetId="30" r:id="R4a487eefdc4042ce"/>
    <x:sheet xmlns:r="http://schemas.openxmlformats.org/officeDocument/2006/relationships" name="Interview_Story_Mode" sheetId="31" r:id="R611ef069756a4730"/>
    <x:sheet xmlns:r="http://schemas.openxmlformats.org/officeDocument/2006/relationships" name="Data_Dictionary_User_Guide" sheetId="32" r:id="R0d0b2041fea1477a"/>
    <x:sheet xmlns:r="http://schemas.openxmlformats.org/officeDocument/2006/relationships" name="Monthly_RO_Report_Generator" sheetId="33" r:id="R105d7349387442e3"/>
    <x:sheet xmlns:r="http://schemas.openxmlformats.org/officeDocument/2006/relationships" name="Version_Change_Log" sheetId="34" r:id="R3ea4db1b249a47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0"/>
  </x:numFmts>
  <x:fonts count="10">
    <x:font>
      <x:sz val="11"/>
      <x:name val="Carlito"/>
    </x:font>
    <x:font>
      <x:b/>
      <x:sz val="11"/>
      <x:color rgb="FFFFFF"/>
      <x:name val="Carlito"/>
    </x:font>
    <x:font>
      <x:b/>
      <x:sz val="16"/>
      <x:color rgb="FFFFFF"/>
      <x:name val="Carlito"/>
    </x:font>
    <x:font>
      <x:b/>
      <x:sz val="11"/>
      <x:color rgb="006B3F"/>
      <x:name val="Carlito"/>
    </x:font>
    <x:font>
      <x:b/>
      <x:sz val="11"/>
      <x:name val="Carlito"/>
    </x:font>
    <x:font>
      <x:b/>
      <x:sz val="14"/>
      <x:color rgb="FFFFFF"/>
      <x:name val="Carlito"/>
    </x:font>
    <x:font>
      <x:b/>
      <x:sz val="11"/>
      <x:color rgb="111827"/>
      <x:name val="Carlito"/>
    </x:font>
    <x:font>
      <x:b/>
      <x:sz val="15"/>
      <x:color rgb="FFFFFF"/>
      <x:name val="Carlito"/>
    </x:font>
    <x:font>
      <x:i/>
      <x:sz val="11"/>
      <x:color rgb="064E3B"/>
      <x:name val="Carlito"/>
    </x:font>
    <x:font>
      <x:b/>
      <x:sz val="11"/>
      <x:color rgb="17365D"/>
      <x:name val="Carlito"/>
    </x:font>
  </x:fonts>
  <x:fills count="16">
    <x:fill>
      <x:patternFill patternType="none"/>
    </x:fill>
    <x:fill>
      <x:patternFill patternType="gray125"/>
    </x:fill>
    <x:fill>
      <x:patternFill patternType="solid">
        <x:fgColor rgb="006B3F"/>
      </x:patternFill>
    </x:fill>
    <x:fill>
      <x:patternFill patternType="solid">
        <x:fgColor rgb="D9EAD3"/>
      </x:patternFill>
    </x:fill>
    <x:fill>
      <x:patternFill patternType="solid">
        <x:fgColor rgb="FFF2CC"/>
      </x:patternFill>
    </x:fill>
    <x:fill>
      <x:patternFill patternType="solid">
        <x:fgColor rgb="0F172A"/>
      </x:patternFill>
    </x:fill>
    <x:fill>
      <x:patternFill patternType="solid">
        <x:fgColor rgb="115E59"/>
      </x:patternFill>
    </x:fill>
    <x:fill>
      <x:patternFill patternType="solid">
        <x:fgColor rgb="0F766E"/>
      </x:patternFill>
    </x:fill>
    <x:fill>
      <x:patternFill patternType="solid">
        <x:fgColor rgb="0B1F3A"/>
      </x:patternFill>
    </x:fill>
    <x:fill>
      <x:patternFill patternType="solid">
        <x:fgColor rgb="E5E7EB"/>
      </x:patternFill>
    </x:fill>
    <x:fill>
      <x:patternFill patternType="solid">
        <x:fgColor rgb="064E3B"/>
      </x:patternFill>
    </x:fill>
    <x:fill>
      <x:patternFill patternType="solid">
        <x:fgColor rgb="E0F2F1"/>
      </x:patternFill>
    </x:fill>
    <x:fill>
      <x:patternFill patternType="solid">
        <x:fgColor rgb="0F766E"/>
      </x:patternFill>
    </x:fill>
    <x:fill>
      <x:patternFill patternType="solid">
        <x:fgColor rgb="17365D"/>
      </x:patternFill>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1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4" fillId="3" borderId="0" xfId="0" applyNumberFormat="1" applyFont="1" applyFill="1" applyBorder="1"/>
    <x:xf numFmtId="0" fontId="4" fillId="3" borderId="1" xfId="0" applyNumberFormat="1" applyFont="1" applyFill="1" applyBorder="1"/>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center" wrapText="1"/>
    </x:xf>
    <x:xf numFmtId="0" fontId="5" fillId="2"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201" fontId="0" fillId="0" borderId="0" xfId="0" applyNumberFormat="1" applyFont="1" applyFill="1" applyBorder="1"/>
    <x:xf numFmtId="200" fontId="0" fillId="0" borderId="0" xfId="0" applyNumberFormat="1" applyFont="1" applyFill="1" applyBorder="1"/>
    <x:xf numFmtId="201" fontId="4" fillId="0" borderId="0" xfId="0" applyNumberFormat="1" applyFont="1" applyFill="1" applyBorder="1"/>
    <x:xf numFmtId="201" fontId="4" fillId="0"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7" fillId="10" borderId="0" xfId="0" applyNumberFormat="1" applyFont="1" applyFill="1" applyBorder="1" applyAlignment="1">
      <x:alignment horizontal="center" vertical="center" wrapText="1"/>
    </x:xf>
    <x:xf numFmtId="0" fontId="7" fillId="10"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horizontal="center"/>
    </x:xf>
    <x:xf numFmtId="0" fontId="5" fillId="13" borderId="0" xfId="0" applyNumberFormat="1" applyFont="1" applyFill="1" applyBorder="1" applyAlignment="1">
      <x:alignment horizontal="center" vertic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cellXfs>
  <x:cellStyles count="1">
    <x:cellStyle name="Normal" xfId="0"/>
  </x:cellStyles>
  <x:dxfs count="22">
    <x:dxf>
      <x:font>
        <x:b/>
        <x:color rgb="990000"/>
      </x:font>
      <x:fill>
        <x:patternFill>
          <x:bgColor rgb="F4CCCC"/>
        </x:patternFill>
      </x:fill>
    </x:dxf>
    <x:dxf>
      <x:font>
        <x:b/>
        <x:color rgb="7F6000"/>
      </x:font>
      <x:fill>
        <x:patternFill>
          <x:bgColor rgb="FFF2CC"/>
        </x:patternFill>
      </x:fill>
    </x:dxf>
    <x:dxf>
      <x:font>
        <x:b/>
        <x:color rgb="990000"/>
      </x:font>
      <x:fill>
        <x:patternFill>
          <x:bgColor rgb="F4CCCC"/>
        </x:patternFill>
      </x:fill>
    </x:dxf>
    <x:dxf>
      <x:font>
        <x:b/>
        <x:color rgb="991B1B"/>
      </x:font>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166534"/>
      </x:font>
      <x:fill>
        <x:patternFill>
          <x:bgColor rgb="DCFCE7"/>
        </x:patternFill>
      </x:fill>
    </x:dxf>
    <x:dxf>
      <x:fill>
        <x:patternFill>
          <x:bgColor rgb="FECACA"/>
        </x:patternFill>
      </x:fill>
    </x:dxf>
    <x:dxf>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166534"/>
      </x:font>
      <x:fill>
        <x:patternFill>
          <x:bgColor rgb="DCFCE7"/>
        </x:patternFill>
      </x:fill>
    </x:dxf>
    <x:dxf>
      <x:font>
        <x:b/>
        <x:color rgb="991B1B"/>
      </x:font>
      <x:fill>
        <x:patternFill>
          <x:bgColor rgb="FECACA"/>
        </x:patternFill>
      </x:fill>
    </x:dxf>
    <x:dxf>
      <x:font>
        <x:b/>
        <x:color rgb="92400E"/>
      </x:font>
      <x:fill>
        <x:patternFill>
          <x:bgColor rgb="FEF3C7"/>
        </x:patternFill>
      </x:fill>
    </x:dxf>
    <x:dxf>
      <x:font>
        <x:b/>
        <x:color rgb="991B1B"/>
      </x:font>
      <x:fill>
        <x:patternFill>
          <x:bgColor rgb="FECACA"/>
        </x:patternFill>
      </x:fill>
    </x:dxf>
    <x:dxf>
      <x:font>
        <x:b/>
        <x:color rgb="92400E"/>
      </x:font>
      <x:fill>
        <x:patternFill>
          <x:bgColor rgb="FEF3C7"/>
        </x:patternFill>
      </x:fill>
    </x:dxf>
    <x:dxf>
      <x:font>
        <x:b/>
        <x:color rgb="991B1B"/>
      </x:font>
      <x:fill>
        <x:patternFill>
          <x:bgColor rgb="FECACA"/>
        </x:patternFill>
      </x:fill>
    </x:dxf>
    <x:dxf>
      <x:font>
        <x:b/>
        <x:color rgb="991B1B"/>
      </x:font>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991B1B"/>
      </x:font>
      <x:fill>
        <x:patternFill patternType="solid">
          <x:bgColor rgb="FECACA"/>
        </x:patternFill>
      </x:fill>
    </x:dxf>
    <x:dxf>
      <x:font>
        <x:b/>
        <x:color rgb="92400E"/>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f290ffce7c469c" /><Relationship Type="http://schemas.openxmlformats.org/officeDocument/2006/relationships/theme" Target="/xl/theme/theme1.xml" Id="Rfb8b2f32bf7448b9" /><Relationship Type="http://schemas.openxmlformats.org/officeDocument/2006/relationships/sharedStrings" Target="/xl/sharedStrings.xml" Id="Rfb83aeaea0d44946" /><Relationship Type="http://schemas.openxmlformats.org/officeDocument/2006/relationships/worksheet" Target="/xl/worksheets/sheet1.xml" Id="R073a3ed9a2c544e2" /><Relationship Type="http://schemas.openxmlformats.org/officeDocument/2006/relationships/worksheet" Target="/xl/worksheets/sheet2.xml" Id="Rebbd1d5befd54d3b" /><Relationship Type="http://schemas.openxmlformats.org/officeDocument/2006/relationships/worksheet" Target="/xl/worksheets/sheet3.xml" Id="Ra2b38b5c2c694ff5" /><Relationship Type="http://schemas.openxmlformats.org/officeDocument/2006/relationships/worksheet" Target="/xl/worksheets/sheet4.xml" Id="R1d46c38ce7ef4d00" /><Relationship Type="http://schemas.openxmlformats.org/officeDocument/2006/relationships/worksheet" Target="/xl/worksheets/sheet5.xml" Id="R25d05013ec624cbb" /><Relationship Type="http://schemas.openxmlformats.org/officeDocument/2006/relationships/worksheet" Target="/xl/worksheets/sheet6.xml" Id="R40c5b50b271e43f6" /><Relationship Type="http://schemas.openxmlformats.org/officeDocument/2006/relationships/worksheet" Target="/xl/worksheets/sheet7.xml" Id="R7876faa4a43f47b6" /><Relationship Type="http://schemas.openxmlformats.org/officeDocument/2006/relationships/worksheet" Target="/xl/worksheets/sheet8.xml" Id="Raebad20dabe14b17" /><Relationship Type="http://schemas.openxmlformats.org/officeDocument/2006/relationships/worksheet" Target="/xl/worksheets/sheet9.xml" Id="Rff94521ae84a4e5d" /><Relationship Type="http://schemas.openxmlformats.org/officeDocument/2006/relationships/worksheet" Target="/xl/worksheets/sheet10.xml" Id="R8dc61c0e4d22481e" /><Relationship Type="http://schemas.openxmlformats.org/officeDocument/2006/relationships/worksheet" Target="/xl/worksheets/sheet11.xml" Id="Rab7e91f44e1e4967" /><Relationship Type="http://schemas.openxmlformats.org/officeDocument/2006/relationships/worksheet" Target="/xl/worksheets/sheet12.xml" Id="R500ce84876eb4c0c" /><Relationship Type="http://schemas.openxmlformats.org/officeDocument/2006/relationships/worksheet" Target="/xl/worksheets/sheet13.xml" Id="R693cb34878c74d1c" /><Relationship Type="http://schemas.openxmlformats.org/officeDocument/2006/relationships/worksheet" Target="/xl/worksheets/sheet14.xml" Id="Rb2451ead42254bce" /><Relationship Type="http://schemas.openxmlformats.org/officeDocument/2006/relationships/worksheet" Target="/xl/worksheets/sheet15.xml" Id="Rf658a29353b04ca3" /><Relationship Type="http://schemas.openxmlformats.org/officeDocument/2006/relationships/worksheet" Target="/xl/worksheets/sheet16.xml" Id="R4d2ecbd4593548ed" /><Relationship Type="http://schemas.openxmlformats.org/officeDocument/2006/relationships/worksheet" Target="/xl/worksheets/sheet17.xml" Id="R3216b947a1c147b3" /><Relationship Type="http://schemas.openxmlformats.org/officeDocument/2006/relationships/worksheet" Target="/xl/worksheets/sheet18.xml" Id="R2f629b501d7441fc" /><Relationship Type="http://schemas.openxmlformats.org/officeDocument/2006/relationships/worksheet" Target="/xl/worksheets/sheet19.xml" Id="Rad77c5778a714eb0" /><Relationship Type="http://schemas.openxmlformats.org/officeDocument/2006/relationships/worksheet" Target="/xl/worksheets/sheet20.xml" Id="Rfedc2e6f6ea64185" /><Relationship Type="http://schemas.openxmlformats.org/officeDocument/2006/relationships/worksheet" Target="/xl/worksheets/sheet21.xml" Id="R4fa32f1f24d84c98" /><Relationship Type="http://schemas.openxmlformats.org/officeDocument/2006/relationships/worksheet" Target="/xl/worksheets/sheet22.xml" Id="Rf4beb8ab8aca4280" /><Relationship Type="http://schemas.openxmlformats.org/officeDocument/2006/relationships/worksheet" Target="/xl/worksheets/sheet23.xml" Id="Rde04cb9f6f544a18" /><Relationship Type="http://schemas.openxmlformats.org/officeDocument/2006/relationships/worksheet" Target="/xl/worksheets/sheet24.xml" Id="R4836d4528eec4aec" /><Relationship Type="http://schemas.openxmlformats.org/officeDocument/2006/relationships/worksheet" Target="/xl/worksheets/sheet25.xml" Id="Rdc3eaa443cfa447a" /><Relationship Type="http://schemas.openxmlformats.org/officeDocument/2006/relationships/worksheet" Target="/xl/worksheets/sheet26.xml" Id="R5cf1703645c5482c" /><Relationship Type="http://schemas.openxmlformats.org/officeDocument/2006/relationships/worksheet" Target="/xl/worksheets/sheet27.xml" Id="Rca2c535f013d43fb" /><Relationship Type="http://schemas.openxmlformats.org/officeDocument/2006/relationships/worksheet" Target="/xl/worksheets/sheet28.xml" Id="R74889fd1246e4e3b" /><Relationship Type="http://schemas.openxmlformats.org/officeDocument/2006/relationships/worksheet" Target="/xl/worksheets/sheet29.xml" Id="R85814751384d4392" /><Relationship Type="http://schemas.openxmlformats.org/officeDocument/2006/relationships/worksheet" Target="/xl/worksheets/sheet30.xml" Id="R4a487eefdc4042ce" /><Relationship Type="http://schemas.openxmlformats.org/officeDocument/2006/relationships/worksheet" Target="/xl/worksheets/sheet31.xml" Id="R611ef069756a4730" /><Relationship Type="http://schemas.openxmlformats.org/officeDocument/2006/relationships/worksheet" Target="/xl/worksheets/sheet32.xml" Id="R0d0b2041fea1477a" /><Relationship Type="http://schemas.openxmlformats.org/officeDocument/2006/relationships/worksheet" Target="/xl/worksheets/sheet33.xml" Id="R105d7349387442e3" /><Relationship Type="http://schemas.openxmlformats.org/officeDocument/2006/relationships/worksheet" Target="/xl/worksheets/sheet34.xml" Id="R3ea4db1b249a473e"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4ed6b1f6174de7" /></Relationships>
</file>

<file path=xl/drawings/_rels/drawing2.xml.rels>&#65279;<?xml version="1.0" encoding="utf-8"?><Relationships xmlns="http://schemas.openxmlformats.org/package/2006/relationships"><Relationship Type="http://schemas.openxmlformats.org/officeDocument/2006/relationships/chart" Target="/xl/drawings/charts/chart2.xml" Id="Rb0258c577af640b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Executive KPI Snapshot</a:t>
            </a:r>
          </a:p>
        </c:rich>
      </c:tx>
      <c:overlay val="0"/>
    </c:title>
    <c:autoTitleDeleted val="0"/>
    <c:plotArea>
      <c:layout/>
      <c:barChart>
        <c:barDir val="col"/>
        <c:varyColors val="0"/>
        <c:ser>
          <c:idx val="0"/>
          <c:order val="0"/>
          <c:tx>
            <c:v>Series 1</c:v>
          </c:tx>
          <c:cat>
            <c:strRef>
              <c:f>'Executive_Dashboard'!$A$4:$A$11</c:f>
              <c:strCache>
                <c:ptCount val="0"/>
              </c:strCache>
            </c:strRef>
          </c:cat>
          <c:val>
            <c:numRef>
              <c:f>'Executive_Dashboard'!$B$4:$B$11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Policy Risk Score by Policy</a:t>
            </a:r>
          </a:p>
        </c:rich>
      </c:tx>
      <c:overlay val="0"/>
    </c:title>
    <c:autoTitleDeleted val="0"/>
    <c:plotArea>
      <c:layout/>
      <c:barChart>
        <c:barDir val="col"/>
        <c:varyColors val="0"/>
        <c:ser>
          <c:idx val="0"/>
          <c:order val="0"/>
          <c:tx>
            <c:v>Policy / Regulation</c:v>
          </c:tx>
          <c:cat>
            <c:strRef>
              <c:f>'Policy_Monitoring'!$A$2:$A$11</c:f>
              <c:strCache>
                <c:ptCount val="0"/>
              </c:strCache>
            </c:strRef>
          </c:cat>
          <c:val>
            <c:numRef>
              <c:f>'Policy_Monitoring'!$B$2:$B$11</c:f>
              <c:numCache>
                <c:formatCode/>
                <c:ptCount val="0"/>
              </c:numCache>
            </c:numRef>
          </c:val>
        </c:ser>
        <c:ser>
          <c:idx val="1"/>
          <c:order val="1"/>
          <c:tx>
            <c:v>Agency</c:v>
          </c:tx>
          <c:cat>
            <c:strRef>
              <c:f>'Policy_Monitoring'!$A$2:$A$11</c:f>
              <c:strCache>
                <c:ptCount val="0"/>
              </c:strCache>
            </c:strRef>
          </c:cat>
          <c:val>
            <c:numRef>
              <c:f>'Policy_Monitoring'!$C$2:$C$11</c:f>
              <c:numCache>
                <c:formatCode/>
                <c:ptCount val="0"/>
              </c:numCache>
            </c:numRef>
          </c:val>
        </c:ser>
        <c:ser>
          <c:idx val="2"/>
          <c:order val="2"/>
          <c:tx>
            <c:v>Policy Stage</c:v>
          </c:tx>
          <c:cat>
            <c:strRef>
              <c:f>'Policy_Monitoring'!$A$2:$A$11</c:f>
              <c:strCache>
                <c:ptCount val="0"/>
              </c:strCache>
            </c:strRef>
          </c:cat>
          <c:val>
            <c:numRef>
              <c:f>'Policy_Monitoring'!$D$2:$D$11</c:f>
              <c:numCache>
                <c:formatCode/>
                <c:ptCount val="0"/>
              </c:numCache>
            </c:numRef>
          </c:val>
        </c:ser>
        <c:ser>
          <c:idx val="3"/>
          <c:order val="3"/>
          <c:tx>
            <c:v>Expected Timeline</c:v>
          </c:tx>
          <c:cat>
            <c:strRef>
              <c:f>'Policy_Monitoring'!$A$2:$A$11</c:f>
              <c:strCache>
                <c:ptCount val="0"/>
              </c:strCache>
            </c:strRef>
          </c:cat>
          <c:val>
            <c:numRef>
              <c:f>'Policy_Monitoring'!$E$2:$E$11</c:f>
              <c:numCache>
                <c:formatCode/>
                <c:ptCount val="0"/>
              </c:numCache>
            </c:numRef>
          </c:val>
        </c:ser>
        <c:ser>
          <c:idx val="4"/>
          <c:order val="4"/>
          <c:tx>
            <c:v>Probability (%)</c:v>
          </c:tx>
          <c:cat>
            <c:strRef>
              <c:f>'Policy_Monitoring'!$A$2:$A$11</c:f>
              <c:strCache>
                <c:ptCount val="0"/>
              </c:strCache>
            </c:strRef>
          </c:cat>
          <c:val>
            <c:numRef>
              <c:f>'Policy_Monitoring'!$F$2:$F$11</c:f>
              <c:numCache>
                <c:formatCode/>
                <c:ptCount val="0"/>
              </c:numCache>
            </c:numRef>
          </c:val>
        </c:ser>
        <c:ser>
          <c:idx val="5"/>
          <c:order val="5"/>
          <c:tx>
            <c:v>Business Impact (1-5)</c:v>
          </c:tx>
          <c:cat>
            <c:strRef>
              <c:f>'Policy_Monitoring'!$A$2:$A$11</c:f>
              <c:strCache>
                <c:ptCount val="0"/>
              </c:strCache>
            </c:strRef>
          </c:cat>
          <c:val>
            <c:numRef>
              <c:f>'Policy_Monitoring'!$G$2:$G$11</c:f>
              <c:numCache>
                <c:formatCode/>
                <c:ptCount val="0"/>
              </c:numCache>
            </c:numRef>
          </c:val>
        </c:ser>
        <c:ser>
          <c:idx val="6"/>
          <c:order val="6"/>
          <c:tx>
            <c:v>Reputation Impact (1-5)</c:v>
          </c:tx>
          <c:cat>
            <c:strRef>
              <c:f>'Policy_Monitoring'!$A$2:$A$11</c:f>
              <c:strCache>
                <c:ptCount val="0"/>
              </c:strCache>
            </c:strRef>
          </c:cat>
          <c:val>
            <c:numRef>
              <c:f>'Policy_Monitoring'!$H$2:$H$11</c:f>
              <c:numCache>
                <c:formatCode/>
                <c:ptCount val="0"/>
              </c:numCache>
            </c:numRef>
          </c:val>
        </c:ser>
        <c:ser>
          <c:idx val="7"/>
          <c:order val="7"/>
          <c:tx>
            <c:v>Risk Score</c:v>
          </c:tx>
          <c:cat>
            <c:strRef>
              <c:f>'Policy_Monitoring'!$A$2:$A$11</c:f>
              <c:strCache>
                <c:ptCount val="0"/>
              </c:strCache>
            </c:strRef>
          </c:cat>
          <c:val>
            <c:numRef>
              <c:f>'Policy_Monitoring'!$I$2:$I$11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4ed6b1f6174de7"/>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258c577af640b0"/>
        </a:graphicData>
      </a:graphic>
    </xdr:graphicFrame>
    <xdr:clientData/>
  </xdr:twoCellAnchor>
</xdr:wsDr>
</file>

<file path=xl/tables/table1.xml><?xml version="1.0" encoding="utf-8"?>
<x:table xmlns:x="http://schemas.openxmlformats.org/spreadsheetml/2006/main" id="1" name="RegCalendar" displayName="RegCalendar" ref="A1:K31" headerRowCount="1">
  <x:tableColumns count="11">
    <x:tableColumn id="1" name="Obligation ID"/>
    <x:tableColumn id="2" name="Report / Obligation"/>
    <x:tableColumn id="3" name="Regulator"/>
    <x:tableColumn id="4" name="Frequency"/>
    <x:tableColumn id="5" name="Owner Dept"/>
    <x:tableColumn id="6" name="Due Date"/>
    <x:tableColumn id="7" name="Days to Due"/>
    <x:tableColumn id="8" name="Status"/>
    <x:tableColumn id="9" name="Quality Check"/>
    <x:tableColumn id="10" name="Escalation"/>
    <x:tableColumn id="11" name="Notes"/>
  </x:tableColumns>
  <x:tableStyleInfo name="TableStyleMedium2" showRowStripes="1"/>
</x:table>
</file>

<file path=xl/tables/table2.xml><?xml version="1.0" encoding="utf-8"?>
<x:table xmlns:x="http://schemas.openxmlformats.org/spreadsheetml/2006/main" id="2" name="SubmissionTable" displayName="SubmissionTable" ref="A1:M61" headerRowCount="1">
  <x:tableColumns count="13">
    <x:tableColumn id="1" name="Submission ID"/>
    <x:tableColumn id="2" name="Document / Request"/>
    <x:tableColumn id="3" name="Regulator"/>
    <x:tableColumn id="4" name="Submission Type"/>
    <x:tableColumn id="5" name="Owner Dept"/>
    <x:tableColumn id="6" name="Received Date"/>
    <x:tableColumn id="7" name="Submission Due Date"/>
    <x:tableColumn id="8" name="Submitted Date"/>
    <x:tableColumn id="9" name="Status"/>
    <x:tableColumn id="10" name="Lead Time Days"/>
    <x:tableColumn id="11" name="Checklist Complete"/>
    <x:tableColumn id="12" name="Risk Level"/>
    <x:tableColumn id="13" name="Next Action"/>
  </x:tableColumns>
  <x:tableStyleInfo name="TableStyleMedium2" showRowStripes="1"/>
</x:table>
</file>

<file path=xl/tables/table3.xml><?xml version="1.0" encoding="utf-8"?>
<x:table xmlns:x="http://schemas.openxmlformats.org/spreadsheetml/2006/main" id="3" name="ApprovalTable" displayName="ApprovalTable" ref="A1:M26" headerRowCount="1">
  <x:tableColumns count="13">
    <x:tableColumn id="1" name="Approval ID"/>
    <x:tableColumn id="2" name="Approval Item"/>
    <x:tableColumn id="3" name="Category"/>
    <x:tableColumn id="4" name="Regulator"/>
    <x:tableColumn id="5" name="Business Owner"/>
    <x:tableColumn id="6" name="Current Stage"/>
    <x:tableColumn id="7" name="Request Date"/>
    <x:tableColumn id="8" name="Target Approval Date"/>
    <x:tableColumn id="9" name="Days in Pipeline"/>
    <x:tableColumn id="10" name="Probability of Approval (%)"/>
    <x:tableColumn id="11" name="Business Impact"/>
    <x:tableColumn id="12" name="Blocker"/>
    <x:tableColumn id="13" name="Next Action"/>
  </x:tableColumns>
  <x:tableStyleInfo name="TableStyleMedium2" showRowStripes="1"/>
</x:table>
</file>

<file path=xl/tables/table4.xml><?xml version="1.0" encoding="utf-8"?>
<x:table xmlns:x="http://schemas.openxmlformats.org/spreadsheetml/2006/main" id="4" name="InteractionTable" displayName="InteractionTable" ref="A1:K49" headerRowCount="1">
  <x:tableColumns count="11">
    <x:tableColumn id="1" name="Interaction ID"/>
    <x:tableColumn id="2" name="Date"/>
    <x:tableColumn id="3" name="Regulator"/>
    <x:tableColumn id="4" name="Person / Unit"/>
    <x:tableColumn id="5" name="Topic"/>
    <x:tableColumn id="6" name="Interaction Type"/>
    <x:tableColumn id="7" name="Tone"/>
    <x:tableColumn id="8" name="Key Message"/>
    <x:tableColumn id="9" name="Follow-up Owner"/>
    <x:tableColumn id="10" name="Follow-up Due"/>
    <x:tableColumn id="11" name="Status"/>
  </x:tableColumns>
  <x:tableStyleInfo name="TableStyleMedium2" showRowStripes="1"/>
</x:table>
</file>

<file path=xl/tables/table5.xml><?xml version="1.0" encoding="utf-8"?>
<x:table xmlns:x="http://schemas.openxmlformats.org/spreadsheetml/2006/main" id="5" name="PolicyTable" displayName="PolicyTable" ref="A1:L11" headerRowCount="1">
  <x:tableColumns count="12">
    <x:tableColumn id="1" name="Policy ID"/>
    <x:tableColumn id="2" name="Policy / Regulation"/>
    <x:tableColumn id="3" name="Agency"/>
    <x:tableColumn id="4" name="Policy Stage"/>
    <x:tableColumn id="5" name="Expected Timeline"/>
    <x:tableColumn id="6" name="Probability (%)"/>
    <x:tableColumn id="7" name="Business Impact (1-5)"/>
    <x:tableColumn id="8" name="Reputation Impact (1-5)"/>
    <x:tableColumn id="9" name="Risk Score"/>
    <x:tableColumn id="10" name="Opportunity"/>
    <x:tableColumn id="11" name="Recommended Action"/>
    <x:tableColumn id="12" name="Owner"/>
  </x:tableColumns>
  <x:tableStyleInfo name="TableStyleMedium2" showRowStripes="1"/>
</x:table>
</file>

<file path=xl/tables/table6.xml><?xml version="1.0" encoding="utf-8"?>
<x:table xmlns:x="http://schemas.openxmlformats.org/spreadsheetml/2006/main" id="6" name="RelationshipTable" displayName="RelationshipTable" ref="A1:J7" headerRowCount="1">
  <x:tableColumns count="10">
    <x:tableColumn id="1" name="Regulator"/>
    <x:tableColumn id="2" name="Power (1-5)"/>
    <x:tableColumn id="3" name="Interest (1-5)"/>
    <x:tableColumn id="4" name="Relationship Strength (1-5)"/>
    <x:tableColumn id="5" name="Sentiment"/>
    <x:tableColumn id="6" name="Trend"/>
    <x:tableColumn id="7" name="Engagement Priority"/>
    <x:tableColumn id="8" name="Key Concerns"/>
    <x:tableColumn id="9" name="Next Engagement"/>
    <x:tableColumn id="10" name="Relationship Risk Score"/>
  </x:tableColumns>
  <x:tableStyleInfo name="TableStyleMedium2" showRowStripes="1"/>
</x:table>
</file>

<file path=xl/tables/table7.xml><?xml version="1.0" encoding="utf-8"?>
<x:table xmlns:x="http://schemas.openxmlformats.org/spreadsheetml/2006/main" id="7" name="BriefTable" displayName="BriefTable" ref="A1:B9" headerRowCount="1">
  <x:tableColumns count="2">
    <x:tableColumn id="1" name="Brief Field"/>
    <x:tableColumn id="2" name="Content"/>
  </x:tableColumns>
  <x:tableStyleInfo name="TableStyleMedium2" showRowStripes="1"/>
</x:table>
</file>

<file path=xl/tables/table8.xml><?xml version="1.0" encoding="utf-8"?>
<x:table xmlns:x="http://schemas.openxmlformats.org/spreadsheetml/2006/main" id="8" name="TranslationTable" displayName="TranslationTable" ref="A1:I21" headerRowCount="1">
  <x:tableColumns count="9">
    <x:tableColumn id="1" name="Document ID"/>
    <x:tableColumn id="2" name="Document Name"/>
    <x:tableColumn id="3" name="Direction"/>
    <x:tableColumn id="4" name="Owner"/>
    <x:tableColumn id="5" name="Received Date"/>
    <x:tableColumn id="6" name="Due Date"/>
    <x:tableColumn id="7" name="Status"/>
    <x:tableColumn id="8" name="SLA Days"/>
    <x:tableColumn id="9" name="Notes"/>
  </x:tableColumns>
  <x:tableStyleInfo name="TableStyleMedium2" showRowStripes="1"/>
</x:table>
</file>

<file path=xl/tables/table9.xml><?xml version="1.0" encoding="utf-8"?>
<x:table xmlns:x="http://schemas.openxmlformats.org/spreadsheetml/2006/main" id="9" name="RegulatorCRMTable" displayName="RegulatorCRMTable" ref="A3:J9" headerRowCount="1">
  <x:tableColumns count="10">
    <x:tableColumn id="1" name="Regulator"/>
    <x:tableColumn id="2" name="Mandate / Role"/>
    <x:tableColumn id="3" name="Key Units / Contact Point"/>
    <x:tableColumn id="4" name="Relationship Strength (1-5)"/>
    <x:tableColumn id="5" name="Sentiment"/>
    <x:tableColumn id="6" name="Open Issues"/>
    <x:tableColumn id="7" name="Pending Requests"/>
    <x:tableColumn id="8" name="Next Engagement"/>
    <x:tableColumn id="9" name="Engagement Owner"/>
    <x:tableColumn id="10" name="Institutional Memory Note"/>
  </x:tableColumns>
  <x:tableStyleInfo name="TableStyleMedium2" showRowStripes="1"/>
</x:table>
</file>

<file path=xl/tables/table10.xml><?xml version="1.0" encoding="utf-8"?>
<x:table xmlns:x="http://schemas.openxmlformats.org/spreadsheetml/2006/main" id="10" name="KnowledgeBaseTable" displayName="KnowledgeBaseTable" ref="A3:J9" headerRowCount="1">
  <x:tableColumns count="10">
    <x:tableColumn id="1" name="Topic / Regulation"/>
    <x:tableColumn id="2" name="Agency"/>
    <x:tableColumn id="3" name="Summary"/>
    <x:tableColumn id="4" name="Key Obligations"/>
    <x:tableColumn id="5" name="Impact on Manulife"/>
    <x:tableColumn id="6" name="Affected Departments"/>
    <x:tableColumn id="7" name="Required Actions"/>
    <x:tableColumn id="8" name="Status"/>
    <x:tableColumn id="9" name="Owner"/>
    <x:tableColumn id="10" name="Review Frequency"/>
  </x:tableColumns>
  <x:tableStyleInfo name="TableStyleMedium2" showRowStripes="1"/>
</x:table>
</file>

<file path=xl/tables/table11.xml><?xml version="1.0" encoding="utf-8"?>
<x:table xmlns:x="http://schemas.openxmlformats.org/spreadsheetml/2006/main" id="11" name="WorkflowEngineTable" displayName="WorkflowEngineTable" ref="A3:J13" headerRowCount="1">
  <x:tableColumns count="10">
    <x:tableColumn id="1" name="Workflow ID"/>
    <x:tableColumn id="2" name="Workflow Name"/>
    <x:tableColumn id="3" name="Stage"/>
    <x:tableColumn id="4" name="Owner"/>
    <x:tableColumn id="5" name="SLA Days"/>
    <x:tableColumn id="6" name="Status"/>
    <x:tableColumn id="7" name="Bottleneck"/>
    <x:tableColumn id="8" name="Next Action"/>
    <x:tableColumn id="9" name="Regulator / Audience"/>
    <x:tableColumn id="10" name="Control Point"/>
  </x:tableColumns>
  <x:tableStyleInfo name="TableStyleMedium2" showRowStripes="1"/>
</x:table>
</file>

<file path=xl/tables/table12.xml><?xml version="1.0" encoding="utf-8"?>
<x:table xmlns:x="http://schemas.openxmlformats.org/spreadsheetml/2006/main" id="12" name="ExecutiveBriefTable" displayName="ExecutiveBriefTable" ref="A3:I5" headerRowCount="1">
  <x:tableColumns count="9">
    <x:tableColumn id="1" name="Brief Date"/>
    <x:tableColumn id="2" name="Audience"/>
    <x:tableColumn id="3" name="Executive Summary"/>
    <x:tableColumn id="4" name="Top Deadline"/>
    <x:tableColumn id="5" name="Top Risk"/>
    <x:tableColumn id="6" name="Key Regulator Interaction"/>
    <x:tableColumn id="7" name="Documents Not Ready"/>
    <x:tableColumn id="8" name="Next 7-Day Priorities"/>
    <x:tableColumn id="9" name="Prepared By"/>
  </x:tableColumns>
  <x:tableStyleInfo name="TableStyleMedium2" showRowStripes="1"/>
</x:table>
</file>

<file path=xl/tables/table13.xml><?xml version="1.0" encoding="utf-8"?>
<x:table xmlns:x="http://schemas.openxmlformats.org/spreadsheetml/2006/main" id="13" name="ApprovalAnalyticsTable" displayName="ApprovalAnalyticsTable" ref="A3:I8" headerRowCount="1">
  <x:tableColumns count="9">
    <x:tableColumn id="1" name="Regulator"/>
    <x:tableColumn id="2" name="Approval Type"/>
    <x:tableColumn id="3" name="No. of Cases"/>
    <x:tableColumn id="4" name="Avg Days to Approval"/>
    <x:tableColumn id="5" name="Median Days"/>
    <x:tableColumn id="6" name="Longest Open Case"/>
    <x:tableColumn id="7" name="Expected Approval Time Next Case"/>
    <x:tableColumn id="8" name="Bottleneck"/>
    <x:tableColumn id="9" name="Recommended Improvement"/>
  </x:tableColumns>
  <x:tableStyleInfo name="TableStyleMedium2" showRowStripes="1"/>
</x:table>
</file>

<file path=xl/tables/table14.xml><?xml version="1.0" encoding="utf-8"?>
<x:table xmlns:x="http://schemas.openxmlformats.org/spreadsheetml/2006/main" id="14" name="PAScorecardTable" displayName="PAScorecardTable" ref="A3:H10" headerRowCount="1">
  <x:tableColumns count="8">
    <x:tableColumn id="1" name="KPI Area"/>
    <x:tableColumn id="2" name="Metric"/>
    <x:tableColumn id="3" name="Target"/>
    <x:tableColumn id="4" name="Current"/>
    <x:tableColumn id="5" name="Gap"/>
    <x:tableColumn id="6" name="RAG Status"/>
    <x:tableColumn id="7" name="Interpretation"/>
    <x:tableColumn id="8" name="Owner"/>
  </x:tableColumns>
  <x:tableStyleInfo name="TableStyleMedium2" showRowStripes="1"/>
</x:table>
</file>

<file path=xl/tables/table15.xml><?xml version="1.0" encoding="utf-8"?>
<x:table xmlns:x="http://schemas.openxmlformats.org/spreadsheetml/2006/main" id="15" name="RiskRadarTable" displayName="RiskRadarTable" ref="A3:K9" headerRowCount="1">
  <x:tableColumns count="11">
    <x:tableColumn id="1" name="Risk ID"/>
    <x:tableColumn id="2" name="Regulatory Topic"/>
    <x:tableColumn id="3" name="Agency"/>
    <x:tableColumn id="4" name="Probability (1-5)"/>
    <x:tableColumn id="5" name="Impact (1-5)"/>
    <x:tableColumn id="6" name="Preparedness (1-5)"/>
    <x:tableColumn id="7" name="Risk Score"/>
    <x:tableColumn id="8" name="Risk Level"/>
    <x:tableColumn id="9" name="Early Warning Signal"/>
    <x:tableColumn id="10" name="Recommended Action"/>
    <x:tableColumn id="11" name="Owner"/>
  </x:tableColumns>
  <x:tableStyleInfo name="TableStyleMedium2" showRowStripes="1"/>
</x:table>
</file>

<file path=xl/tables/table16.xml><?xml version="1.0" encoding="utf-8"?>
<x:table xmlns:x="http://schemas.openxmlformats.org/spreadsheetml/2006/main" id="16" name="ExcelStreamlitIntegrationTable" displayName="ExcelStreamlitIntegrationTable" ref="A3:D8" headerRowCount="1">
  <x:tableColumns count="4">
    <x:tableColumn id="1" name="Component"/>
    <x:tableColumn id="2" name="Role"/>
    <x:tableColumn id="3" name="Owner"/>
    <x:tableColumn id="4" name="How to Use"/>
  </x:tableColumns>
  <x:tableStyleInfo name="TableStyleMedium2" showRowStripes="1"/>
</x:table>
</file>

<file path=xl/tables/table17.xml><?xml version="1.0" encoding="utf-8"?>
<x:table xmlns:x="http://schemas.openxmlformats.org/spreadsheetml/2006/main" id="17" name="RegulatoryObligationRegister" displayName="RegulatoryObligationRegister" ref="A4:P14" headerRowCount="1">
  <x:tableColumns count="16">
    <x:tableColumn id="1" name="Obligation ID"/>
    <x:tableColumn id="2" name="Obligation"/>
    <x:tableColumn id="3" name="Regulator"/>
    <x:tableColumn id="4" name="Legal Basis / Source"/>
    <x:tableColumn id="5" name="Frequency"/>
    <x:tableColumn id="6" name="Owner Dept"/>
    <x:tableColumn id="7" name="Submission Channel"/>
    <x:tableColumn id="8" name="Due Rule"/>
    <x:tableColumn id="9" name="Next Due Date"/>
    <x:tableColumn id="10" name="Penalty / Consequence"/>
    <x:tableColumn id="11" name="Criticality"/>
    <x:tableColumn id="12" name="Evidence Required"/>
    <x:tableColumn id="13" name="Control Owner"/>
    <x:tableColumn id="14" name="Status"/>
    <x:tableColumn id="15" name="Days to Due"/>
    <x:tableColumn id="16" name="RAG"/>
  </x:tableColumns>
  <x:tableStyleInfo name="TableStyleMedium2" showRowStripes="1"/>
</x:table>
</file>

<file path=xl/tables/table18.xml><?xml version="1.0" encoding="utf-8"?>
<x:table xmlns:x="http://schemas.openxmlformats.org/spreadsheetml/2006/main" id="18" name="RegulatoryResponseTracker" displayName="RegulatoryResponseTracker" ref="A4:N11" headerRowCount="1">
  <x:tableColumns count="14">
    <x:tableColumn id="1" name="Ref No"/>
    <x:tableColumn id="2" name="Date Received / Sent"/>
    <x:tableColumn id="3" name="Direction"/>
    <x:tableColumn id="4" name="Regulator"/>
    <x:tableColumn id="5" name="Topic"/>
    <x:tableColumn id="6" name="Linked Obligation / Submission"/>
    <x:tableColumn id="7" name="Internal Owner"/>
    <x:tableColumn id="8" name="Response Due Date"/>
    <x:tableColumn id="9" name="Status"/>
    <x:tableColumn id="10" name="Response Sent Date"/>
    <x:tableColumn id="11" name="Days Open"/>
    <x:tableColumn id="12" name="SLA Status"/>
    <x:tableColumn id="13" name="Next Action"/>
    <x:tableColumn id="14" name="Archive Location"/>
  </x:tableColumns>
  <x:tableStyleInfo name="TableStyleMedium2" showRowStripes="1"/>
</x:table>
</file>

<file path=xl/tables/table19.xml><?xml version="1.0" encoding="utf-8"?>
<x:table xmlns:x="http://schemas.openxmlformats.org/spreadsheetml/2006/main" id="19" name="ProductApprovalCommandCenter" displayName="ProductApprovalCommandCenter" ref="A4:N10" headerRowCount="1">
  <x:tableColumns count="14">
    <x:tableColumn id="1" name="Product ID"/>
    <x:tableColumn id="2" name="Product Name"/>
    <x:tableColumn id="3" name="Product Type"/>
    <x:tableColumn id="4" name="Business Owner"/>
    <x:tableColumn id="5" name="Regulator"/>
    <x:tableColumn id="6" name="Current Stage"/>
    <x:tableColumn id="7" name="Request Date"/>
    <x:tableColumn id="8" name="Submitted Date"/>
    <x:tableColumn id="9" name="Target Approval Date"/>
    <x:tableColumn id="10" name="Expected Approval Days"/>
    <x:tableColumn id="11" name="Actual Approval Date"/>
    <x:tableColumn id="12" name="Bottleneck"/>
    <x:tableColumn id="13" name="Approval Risk"/>
    <x:tableColumn id="14" name="Next Action"/>
  </x:tableColumns>
  <x:tableStyleInfo name="TableStyleMedium2" showRowStripes="1"/>
</x:table>
</file>

<file path=xl/tables/table20.xml><?xml version="1.0" encoding="utf-8"?>
<x:table xmlns:x="http://schemas.openxmlformats.org/spreadsheetml/2006/main" id="20" name="InternalCoordinationTracker" displayName="InternalCoordinationTracker" ref="A4:M11" headerRowCount="1">
  <x:tableColumns count="13">
    <x:tableColumn id="1" name="Item ID"/>
    <x:tableColumn id="2" name="Department"/>
    <x:tableColumn id="3" name="Request / Input Needed"/>
    <x:tableColumn id="4" name="Linked Matter"/>
    <x:tableColumn id="5" name="Request Date"/>
    <x:tableColumn id="6" name="Due Date"/>
    <x:tableColumn id="7" name="SLA Days"/>
    <x:tableColumn id="8" name="Owner"/>
    <x:tableColumn id="9" name="Status"/>
    <x:tableColumn id="10" name="Escalation"/>
    <x:tableColumn id="11" name="Days to Due"/>
    <x:tableColumn id="12" name="Reminder Sent"/>
    <x:tableColumn id="13" name="Management Attention"/>
  </x:tableColumns>
  <x:tableStyleInfo name="TableStyleMedium2" showRowStripes="1"/>
</x:table>
</file>

<file path=xl/tables/table21.xml><?xml version="1.0" encoding="utf-8"?>
<x:table xmlns:x="http://schemas.openxmlformats.org/spreadsheetml/2006/main" id="21" name="MeetingIntelligence" displayName="MeetingIntelligence" ref="A4:O8" headerRowCount="1">
  <x:tableColumns count="15">
    <x:tableColumn id="1" name="Meeting ID"/>
    <x:tableColumn id="2" name="Date"/>
    <x:tableColumn id="3" name="Regulator"/>
    <x:tableColumn id="4" name="Topic"/>
    <x:tableColumn id="5" name="Meeting Type"/>
    <x:tableColumn id="6" name="Pre-Meeting Objective"/>
    <x:tableColumn id="7" name="Key Talking Points"/>
    <x:tableColumn id="8" name="Potential Regulator Questions"/>
    <x:tableColumn id="9" name="Recommended Position"/>
    <x:tableColumn id="10" name="Commitments Made"/>
    <x:tableColumn id="11" name="Action Owner"/>
    <x:tableColumn id="12" name="Action Due Date"/>
    <x:tableColumn id="13" name="Status"/>
    <x:tableColumn id="14" name="Institutional Memory Note"/>
    <x:tableColumn id="15" name="Linked Documents"/>
  </x:tableColumns>
  <x:tableStyleInfo name="TableStyleMedium2" showRowStripes="1"/>
</x:table>
</file>

<file path=xl/tables/table22.xml><?xml version="1.0" encoding="utf-8"?>
<x:table xmlns:x="http://schemas.openxmlformats.org/spreadsheetml/2006/main" id="22" name="InspectionReadiness" displayName="InspectionReadiness" ref="A4:K10" headerRowCount="1">
  <x:tableColumns count="11">
    <x:tableColumn id="1" name="Area"/>
    <x:tableColumn id="2" name="Regulator Focus"/>
    <x:tableColumn id="3" name="Required Evidence"/>
    <x:tableColumn id="4" name="Owner"/>
    <x:tableColumn id="5" name="Last Review Date"/>
    <x:tableColumn id="6" name="Readiness Score (0-100)"/>
    <x:tableColumn id="7" name="Gap"/>
    <x:tableColumn id="8" name="Remediation Action"/>
    <x:tableColumn id="9" name="Due Date"/>
    <x:tableColumn id="10" name="Status"/>
    <x:tableColumn id="11" name="RAG"/>
  </x:tableColumns>
  <x:tableStyleInfo name="TableStyleMedium2" showRowStripes="1"/>
</x:table>
</file>

<file path=xl/tables/table23.xml><?xml version="1.0" encoding="utf-8"?>
<x:table xmlns:x="http://schemas.openxmlformats.org/spreadsheetml/2006/main" id="23" name="RegulatoryNewsFeed" displayName="RegulatoryNewsFeed" ref="A4:M10" headerRowCount="1">
  <x:tableColumns count="13">
    <x:tableColumn id="1" name="Signal ID"/>
    <x:tableColumn id="2" name="Date"/>
    <x:tableColumn id="3" name="Source / Agency"/>
    <x:tableColumn id="4" name="Headline / Signal"/>
    <x:tableColumn id="5" name="Category"/>
    <x:tableColumn id="6" name="Auto Tag"/>
    <x:tableColumn id="7" name="Relevance to Manulife"/>
    <x:tableColumn id="8" name="Probability (1-5)"/>
    <x:tableColumn id="9" name="Impact (1-5)"/>
    <x:tableColumn id="10" name="Signal Score"/>
    <x:tableColumn id="11" name="Suggested Action"/>
    <x:tableColumn id="12" name="Owner"/>
    <x:tableColumn id="13" name="Status"/>
  </x:tableColumns>
  <x:tableStyleInfo name="TableStyleMedium2" showRowStripes="1"/>
</x:table>
</file>

<file path=xl/tables/table24.xml><?xml version="1.0" encoding="utf-8"?>
<x:table xmlns:x="http://schemas.openxmlformats.org/spreadsheetml/2006/main" id="24" name="ExecutiveAttentionToday" displayName="ExecutiveAttentionToday" ref="A4:H9" headerRowCount="1">
  <x:tableColumns count="8">
    <x:tableColumn id="1" name="Priority"/>
    <x:tableColumn id="2" name="Item"/>
    <x:tableColumn id="3" name="Source Module"/>
    <x:tableColumn id="4" name="Owner"/>
    <x:tableColumn id="5" name="Due Date"/>
    <x:tableColumn id="6" name="Why It Matters"/>
    <x:tableColumn id="7" name="Recommended Decision / Action"/>
    <x:tableColumn id="8" name="Status"/>
  </x:tableColumns>
  <x:tableStyleInfo name="TableStyleMedium2" showRowStripes="1"/>
</x:table>
</file>

<file path=xl/tables/table25.xml><?xml version="1.0" encoding="utf-8"?>
<x:table xmlns:x="http://schemas.openxmlformats.org/spreadsheetml/2006/main" id="25" name="InterviewStoryTable" displayName="InterviewStoryTable" ref="A3:F11" headerRowCount="1">
  <x:tableColumns count="6">
    <x:tableColumn id="1" name="JD Pain Point / Requirement"/>
    <x:tableColumn id="2" name="System Module"/>
    <x:tableColumn id="3" name="How It Works"/>
    <x:tableColumn id="4" name="Business Benefit"/>
    <x:tableColumn id="5" name="Demo Script (English)"/>
    <x:tableColumn id="6" name="Priority"/>
  </x:tableColumns>
  <x:tableStyleInfo name="TableStyleMedium2" showRowStripes="1"/>
</x:table>
</file>

<file path=xl/tables/table26.xml><?xml version="1.0" encoding="utf-8"?>
<x:table xmlns:x="http://schemas.openxmlformats.org/spreadsheetml/2006/main" id="26" name="DataDictionaryTable" displayName="DataDictionaryTable" ref="A3:H22" headerRowCount="1">
  <x:tableColumns count="8">
    <x:tableColumn id="1" name="Sheet / Module"/>
    <x:tableColumn id="2" name="Purpose"/>
    <x:tableColumn id="3" name="Primary User"/>
    <x:tableColumn id="4" name="Update Frequency"/>
    <x:tableColumn id="5" name="Key Inputs"/>
    <x:tableColumn id="6" name="Key Outputs"/>
    <x:tableColumn id="7" name="Typical KPI"/>
    <x:tableColumn id="8" name="Notes"/>
  </x:tableColumns>
  <x:tableStyleInfo name="TableStyleMedium2" showRowStripes="1"/>
</x:table>
</file>

<file path=xl/tables/table27.xml><?xml version="1.0" encoding="utf-8"?>
<x:table xmlns:x="http://schemas.openxmlformats.org/spreadsheetml/2006/main" id="27" name="VersionChangeLogTable" displayName="VersionChangeLogTable" ref="A3:G7" headerRowCount="1">
  <x:tableColumns count="7">
    <x:tableColumn id="1" name="Version"/>
    <x:tableColumn id="2" name="Inheritance Principle"/>
    <x:tableColumn id="3" name="New Modules Added"/>
    <x:tableColumn id="4" name="Purpose"/>
    <x:tableColumn id="5" name="Status"/>
    <x:tableColumn id="6" name="Date"/>
    <x:tableColumn id="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5b5bf6ef7524f04" /></Relationships>
</file>

<file path=xl/worksheets/_rels/sheet2.xml.rels>&#65279;<?xml version="1.0" encoding="utf-8"?><Relationships xmlns="http://schemas.openxmlformats.org/package/2006/relationships"><Relationship Type="http://schemas.openxmlformats.org/officeDocument/2006/relationships/table" Target="/xl/tables/table1.xml" Id="R21ee236dc9c34a3e" /></Relationships>
</file>

<file path=xl/worksheets/_rels/sheet3.xml.rels>&#65279;<?xml version="1.0" encoding="utf-8"?><Relationships xmlns="http://schemas.openxmlformats.org/package/2006/relationships"><Relationship Type="http://schemas.openxmlformats.org/officeDocument/2006/relationships/table" Target="/xl/tables/table2.xml" Id="R42f5fc0ec6464958" /></Relationships>
</file>

<file path=xl/worksheets/_rels/sheet4.xml.rels>&#65279;<?xml version="1.0" encoding="utf-8"?><Relationships xmlns="http://schemas.openxmlformats.org/package/2006/relationships"><Relationship Type="http://schemas.openxmlformats.org/officeDocument/2006/relationships/table" Target="/xl/tables/table3.xml" Id="Rc5b3cc4cb9704bd3" /></Relationships>
</file>

<file path=xl/worksheets/_rels/sheet5.xml.rels>&#65279;<?xml version="1.0" encoding="utf-8"?><Relationships xmlns="http://schemas.openxmlformats.org/package/2006/relationships"><Relationship Type="http://schemas.openxmlformats.org/officeDocument/2006/relationships/table" Target="/xl/tables/table4.xml" Id="R0e7feef5918c44cd" /></Relationships>
</file>

<file path=xl/worksheets/_rels/sheet6.xml.rels>&#65279;<?xml version="1.0" encoding="utf-8"?><Relationships xmlns="http://schemas.openxmlformats.org/package/2006/relationships"><Relationship Type="http://schemas.openxmlformats.org/officeDocument/2006/relationships/drawing" Target="/xl/drawings/drawing2.xml" Id="Rdf4e25816b8541ee" /><Relationship Type="http://schemas.openxmlformats.org/officeDocument/2006/relationships/table" Target="/xl/tables/table5.xml" Id="R782a9c0353c24039" /></Relationships>
</file>

<file path=xl/worksheets/_rels/sheet7.xml.rels>&#65279;<?xml version="1.0" encoding="utf-8"?><Relationships xmlns="http://schemas.openxmlformats.org/package/2006/relationships"><Relationship Type="http://schemas.openxmlformats.org/officeDocument/2006/relationships/table" Target="/xl/tables/table6.xml" Id="R73229184c0f94d9b" /></Relationships>
</file>

<file path=xl/worksheets/_rels/sheet8.xml.rels>&#65279;<?xml version="1.0" encoding="utf-8"?><Relationships xmlns="http://schemas.openxmlformats.org/package/2006/relationships"><Relationship Type="http://schemas.openxmlformats.org/officeDocument/2006/relationships/table" Target="/xl/tables/table7.xml" Id="Rda3cf391240a4b01" /></Relationships>
</file>

<file path=xl/worksheets/_rels/sheet10.xml.rels>&#65279;<?xml version="1.0" encoding="utf-8"?><Relationships xmlns="http://schemas.openxmlformats.org/package/2006/relationships"><Relationship Type="http://schemas.openxmlformats.org/officeDocument/2006/relationships/table" Target="/xl/tables/table8.xml" Id="R3f19bdb0f0494f97" /></Relationships>
</file>

<file path=xl/worksheets/_rels/sheet15.xml.rels>&#65279;<?xml version="1.0" encoding="utf-8"?><Relationships xmlns="http://schemas.openxmlformats.org/package/2006/relationships"><Relationship Type="http://schemas.openxmlformats.org/officeDocument/2006/relationships/table" Target="/xl/tables/table9.xml" Id="R52d50545261c400a" /></Relationships>
</file>

<file path=xl/worksheets/_rels/sheet16.xml.rels>&#65279;<?xml version="1.0" encoding="utf-8"?><Relationships xmlns="http://schemas.openxmlformats.org/package/2006/relationships"><Relationship Type="http://schemas.openxmlformats.org/officeDocument/2006/relationships/table" Target="/xl/tables/table10.xml" Id="R6c16405575ba4b09" /></Relationships>
</file>

<file path=xl/worksheets/_rels/sheet17.xml.rels>&#65279;<?xml version="1.0" encoding="utf-8"?><Relationships xmlns="http://schemas.openxmlformats.org/package/2006/relationships"><Relationship Type="http://schemas.openxmlformats.org/officeDocument/2006/relationships/table" Target="/xl/tables/table11.xml" Id="R3c4082ae6b5a43e9" /></Relationships>
</file>

<file path=xl/worksheets/_rels/sheet18.xml.rels>&#65279;<?xml version="1.0" encoding="utf-8"?><Relationships xmlns="http://schemas.openxmlformats.org/package/2006/relationships"><Relationship Type="http://schemas.openxmlformats.org/officeDocument/2006/relationships/table" Target="/xl/tables/table12.xml" Id="Rd1fa265e65cc47c0" /></Relationships>
</file>

<file path=xl/worksheets/_rels/sheet19.xml.rels>&#65279;<?xml version="1.0" encoding="utf-8"?><Relationships xmlns="http://schemas.openxmlformats.org/package/2006/relationships"><Relationship Type="http://schemas.openxmlformats.org/officeDocument/2006/relationships/table" Target="/xl/tables/table13.xml" Id="R984f2fab28e540cb" /></Relationships>
</file>

<file path=xl/worksheets/_rels/sheet20.xml.rels>&#65279;<?xml version="1.0" encoding="utf-8"?><Relationships xmlns="http://schemas.openxmlformats.org/package/2006/relationships"><Relationship Type="http://schemas.openxmlformats.org/officeDocument/2006/relationships/table" Target="/xl/tables/table14.xml" Id="Re3376d26081f4801" /></Relationships>
</file>

<file path=xl/worksheets/_rels/sheet21.xml.rels>&#65279;<?xml version="1.0" encoding="utf-8"?><Relationships xmlns="http://schemas.openxmlformats.org/package/2006/relationships"><Relationship Type="http://schemas.openxmlformats.org/officeDocument/2006/relationships/table" Target="/xl/tables/table15.xml" Id="Re3ad708967514ced" /></Relationships>
</file>

<file path=xl/worksheets/_rels/sheet22.xml.rels>&#65279;<?xml version="1.0" encoding="utf-8"?><Relationships xmlns="http://schemas.openxmlformats.org/package/2006/relationships"><Relationship Type="http://schemas.openxmlformats.org/officeDocument/2006/relationships/table" Target="/xl/tables/table16.xml" Id="R06910f7b72794d28" /></Relationships>
</file>

<file path=xl/worksheets/_rels/sheet23.xml.rels>&#65279;<?xml version="1.0" encoding="utf-8"?><Relationships xmlns="http://schemas.openxmlformats.org/package/2006/relationships"><Relationship Type="http://schemas.openxmlformats.org/officeDocument/2006/relationships/table" Target="/xl/tables/table17.xml" Id="Rf861309038384105" /></Relationships>
</file>

<file path=xl/worksheets/_rels/sheet24.xml.rels>&#65279;<?xml version="1.0" encoding="utf-8"?><Relationships xmlns="http://schemas.openxmlformats.org/package/2006/relationships"><Relationship Type="http://schemas.openxmlformats.org/officeDocument/2006/relationships/table" Target="/xl/tables/table18.xml" Id="R9d4d5eb17f624cad" /></Relationships>
</file>

<file path=xl/worksheets/_rels/sheet25.xml.rels>&#65279;<?xml version="1.0" encoding="utf-8"?><Relationships xmlns="http://schemas.openxmlformats.org/package/2006/relationships"><Relationship Type="http://schemas.openxmlformats.org/officeDocument/2006/relationships/table" Target="/xl/tables/table19.xml" Id="R2708e142d87e4eea" /></Relationships>
</file>

<file path=xl/worksheets/_rels/sheet26.xml.rels>&#65279;<?xml version="1.0" encoding="utf-8"?><Relationships xmlns="http://schemas.openxmlformats.org/package/2006/relationships"><Relationship Type="http://schemas.openxmlformats.org/officeDocument/2006/relationships/table" Target="/xl/tables/table20.xml" Id="Rfe2a05a32f1e49f8" /></Relationships>
</file>

<file path=xl/worksheets/_rels/sheet27.xml.rels>&#65279;<?xml version="1.0" encoding="utf-8"?><Relationships xmlns="http://schemas.openxmlformats.org/package/2006/relationships"><Relationship Type="http://schemas.openxmlformats.org/officeDocument/2006/relationships/table" Target="/xl/tables/table21.xml" Id="Ra534e8a5b3b14987" /></Relationships>
</file>

<file path=xl/worksheets/_rels/sheet28.xml.rels>&#65279;<?xml version="1.0" encoding="utf-8"?><Relationships xmlns="http://schemas.openxmlformats.org/package/2006/relationships"><Relationship Type="http://schemas.openxmlformats.org/officeDocument/2006/relationships/table" Target="/xl/tables/table22.xml" Id="R0594d180d3c24cd6" /></Relationships>
</file>

<file path=xl/worksheets/_rels/sheet29.xml.rels>&#65279;<?xml version="1.0" encoding="utf-8"?><Relationships xmlns="http://schemas.openxmlformats.org/package/2006/relationships"><Relationship Type="http://schemas.openxmlformats.org/officeDocument/2006/relationships/table" Target="/xl/tables/table23.xml" Id="Rada82e87cbf14fad" /></Relationships>
</file>

<file path=xl/worksheets/_rels/sheet30.xml.rels>&#65279;<?xml version="1.0" encoding="utf-8"?><Relationships xmlns="http://schemas.openxmlformats.org/package/2006/relationships"><Relationship Type="http://schemas.openxmlformats.org/officeDocument/2006/relationships/table" Target="/xl/tables/table24.xml" Id="Rfe1ce0ae933341f2" /></Relationships>
</file>

<file path=xl/worksheets/_rels/sheet31.xml.rels>&#65279;<?xml version="1.0" encoding="utf-8"?><Relationships xmlns="http://schemas.openxmlformats.org/package/2006/relationships"><Relationship Type="http://schemas.openxmlformats.org/officeDocument/2006/relationships/table" Target="/xl/tables/table25.xml" Id="Rcd793c5eafc047d7" /></Relationships>
</file>

<file path=xl/worksheets/_rels/sheet32.xml.rels>&#65279;<?xml version="1.0" encoding="utf-8"?><Relationships xmlns="http://schemas.openxmlformats.org/package/2006/relationships"><Relationship Type="http://schemas.openxmlformats.org/officeDocument/2006/relationships/table" Target="/xl/tables/table26.xml" Id="R9773dcfae5b3458b" /></Relationships>
</file>

<file path=xl/worksheets/_rels/sheet34.xml.rels>&#65279;<?xml version="1.0" encoding="utf-8"?><Relationships xmlns="http://schemas.openxmlformats.org/package/2006/relationships"><Relationship Type="http://schemas.openxmlformats.org/officeDocument/2006/relationships/table" Target="/xl/tables/table27.xml" Id="R8eb5d1e394204111" /></Relationships>
</file>

<file path=xl/worksheets/sheet1.xml><?xml version="1.0" encoding="utf-8"?>
<x:worksheet xmlns:x="http://schemas.openxmlformats.org/spreadsheetml/2006/main">
  <x:sheetFormatPr defaultRowHeight="15"/>
  <x:cols>
    <x:col min="1" max="1" width="161.91000366210938" hidden="0" customWidth="1"/>
    <x:col min="2" max="2" width="47.90999984741211" hidden="0" customWidth="1"/>
    <x:col min="3" max="3" width="37.95000076293945" hidden="0" customWidth="1"/>
    <x:col min="4" max="4" width="27.989999771118164" hidden="0" customWidth="1"/>
  </x:cols>
  <x:sheetData>
    <x:row r="1" ht="30" customHeight="1">
      <x:c r="A1" s="40" t="str">
        <x:v>Manulife Vietnam Regulatory &amp; Public Affairs Command Center v4.0 (v3 fully inherited + v4 modules added)</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3">
      <x:c r="A3" s="22" t="str">
        <x:v>KPI</x:v>
      </x:c>
      <x:c r="B3" s="22" t="str">
        <x:v>Value</x:v>
      </x:c>
      <x:c r="C3" s="22" t="str">
        <x:v>Interpretation</x:v>
      </x:c>
      <x:c r="D3" s="22" t="str">
        <x:v>Formula / Source</x:v>
      </x:c>
    </x:row>
    <x:row r="4">
      <x:c r="A4" t="str">
        <x:v>Reports due in 7 days</x:v>
      </x:c>
      <x:c r="B4" t="n">
        <x:f>COUNTIF(Regulatory_Calendar!H2:H31,"Due Soon")</x:f>
        <x:v>7</x:v>
      </x:c>
      <x:c r="C4" t="str">
        <x:v>Deadline pressure</x:v>
      </x:c>
      <x:c r="D4" t="str">
        <x:v>Regulatory_Calendar</x:v>
      </x:c>
    </x:row>
    <x:row r="5">
      <x:c r="A5" t="str">
        <x:v>Overdue reports</x:v>
      </x:c>
      <x:c r="B5" t="n">
        <x:f>COUNTIF(Regulatory_Calendar!H2:H31,"Overdue")</x:f>
        <x:v>4</x:v>
      </x:c>
      <x:c r="C5" t="str">
        <x:v>Needs escalation</x:v>
      </x:c>
      <x:c r="D5" t="str">
        <x:v>Regulatory_Calendar</x:v>
      </x:c>
    </x:row>
    <x:row r="6">
      <x:c r="A6" t="str">
        <x:v>Pending submissions</x:v>
      </x:c>
      <x:c r="B6" t="n">
        <x:f>COUNTIFS(Submission_Tracker!I2:I61,"&lt;&gt;Submitted",Submission_Tracker!I2:I61,"&lt;&gt;Approved")</x:f>
        <x:v>31</x:v>
      </x:c>
      <x:c r="C6" t="str">
        <x:v>Open workload</x:v>
      </x:c>
      <x:c r="D6" t="str">
        <x:v>Submission_Tracker</x:v>
      </x:c>
    </x:row>
    <x:row r="7">
      <x:c r="A7" t="str">
        <x:v>Pending approvals</x:v>
      </x:c>
      <x:c r="B7" t="n">
        <x:f>COUNTIFS(Approval_Pipeline!F2:F26,"&lt;&gt;Approved",Approval_Pipeline!F2:F26,"&lt;&gt;Rejected/Withdrawn")</x:f>
        <x:v>18</x:v>
      </x:c>
      <x:c r="C7" t="str">
        <x:v>Regulatory pipeline</x:v>
      </x:c>
      <x:c r="D7" t="str">
        <x:v>Approval_Pipeline</x:v>
      </x:c>
    </x:row>
    <x:row r="8">
      <x:c r="A8" t="str">
        <x:v>High policy risk items</x:v>
      </x:c>
      <x:c r="B8" t="n">
        <x:f>COUNTIF(Policy_Monitoring!I2:I11,"&gt;=10")</x:f>
        <x:v>0</x:v>
      </x:c>
      <x:c r="C8" t="str">
        <x:v>Early warning</x:v>
      </x:c>
      <x:c r="D8" t="str">
        <x:v>Policy_Monitoring</x:v>
      </x:c>
    </x:row>
    <x:row r="9">
      <x:c r="A9" t="str">
        <x:v>Average relationship strength</x:v>
      </x:c>
      <x:c r="B9" t="n">
        <x:f>ROUND(AVERAGE(Relationship_Intelligence!D2:D7),2)</x:f>
        <x:v>3.33</x:v>
      </x:c>
      <x:c r="C9" t="str">
        <x:v>Regulator trust base</x:v>
      </x:c>
      <x:c r="D9" t="str">
        <x:v>Relationship_Intelligence</x:v>
      </x:c>
    </x:row>
    <x:row r="10">
      <x:c r="A10" t="str">
        <x:v>Open follow-ups</x:v>
      </x:c>
      <x:c r="B10" t="n">
        <x:f>COUNTIF(Regulator_Interactions!K2:K49,"Open")</x:f>
        <x:v>12</x:v>
      </x:c>
      <x:c r="C10" t="str">
        <x:v>Action discipline</x:v>
      </x:c>
      <x:c r="D10" t="str">
        <x:v>Regulator_Interactions</x:v>
      </x:c>
    </x:row>
    <x:row r="11">
      <x:c r="A11" t="str">
        <x:v>Translation overdue</x:v>
      </x:c>
      <x:c r="B11" t="n">
        <x:f>COUNTIF(Translation_Tracker!G2:G21,"Overdue")</x:f>
        <x:v>3</x:v>
      </x:c>
      <x:c r="C11" t="str">
        <x:v>Operational support</x:v>
      </x:c>
      <x:c r="D11" t="str">
        <x:v>Translation_Tracker</x:v>
      </x:c>
    </x:row>
    <x:row r="13">
      <x:c r="A13" s="25" t="str">
        <x:v>Recommended Weekly Operating Rhythm</x:v>
      </x:c>
    </x:row>
    <x:row r="14">
      <x:c r="A14" s="3" t="str">
        <x:v>Day</x:v>
      </x:c>
      <x:c r="B14" s="3" t="str">
        <x:v>Action</x:v>
      </x:c>
      <x:c r="C14" s="3" t="str">
        <x:v>Output</x:v>
      </x:c>
      <x:c r="D14" s="3" t="str">
        <x:v>Owner</x:v>
      </x:c>
    </x:row>
    <x:row r="15">
      <x:c r="A15" t="str">
        <x:v>Monday</x:v>
      </x:c>
      <x:c r="B15" t="str">
        <x:v>Review deadline dashboard and overdue items</x:v>
      </x:c>
      <x:c r="C15" t="str">
        <x:v>Escalation list</x:v>
      </x:c>
      <x:c r="D15" t="str">
        <x:v>Public Affairs</x:v>
      </x:c>
    </x:row>
    <x:row r="16">
      <x:c r="A16" t="str">
        <x:v>Tuesday</x:v>
      </x:c>
      <x:c r="B16" t="str">
        <x:v>Policy monitoring and regulator news scan</x:v>
      </x:c>
      <x:c r="C16" t="str">
        <x:v>Policy radar memo</x:v>
      </x:c>
      <x:c r="D16" t="str">
        <x:v>Public Affairs</x:v>
      </x:c>
    </x:row>
    <x:row r="17">
      <x:c r="A17" t="str">
        <x:v>Wednesday</x:v>
      </x:c>
      <x:c r="B17" t="str">
        <x:v>Check submission quality and internal follow-up</x:v>
      </x:c>
      <x:c r="C17" t="str">
        <x:v>Submission status update</x:v>
      </x:c>
      <x:c r="D17" t="str">
        <x:v>Legal/Compliance/Business</x:v>
      </x:c>
    </x:row>
    <x:row r="18">
      <x:c r="A18" t="str">
        <x:v>Thursday</x:v>
      </x:c>
      <x:c r="B18" t="str">
        <x:v>Prepare meeting briefs and regulator interaction notes</x:v>
      </x:c>
      <x:c r="C18" t="str">
        <x:v>Briefing pack</x:v>
      </x:c>
      <x:c r="D18" t="str">
        <x:v>Public Affairs</x:v>
      </x:c>
    </x:row>
    <x:row r="19">
      <x:c r="A19" t="str">
        <x:v>Friday</x:v>
      </x:c>
      <x:c r="B19" t="str">
        <x:v>Regional Office reporting pack</x:v>
      </x:c>
      <x:c r="C19" t="str">
        <x:v>Weekly regulatory update</x:v>
      </x:c>
      <x:c r="D19" t="str">
        <x:v>Public Affairs</x:v>
      </x:c>
    </x:row>
    <x:row r="21">
      <x:c r="A21" s="30" t="str">
        <x:v>How this model fits the JD: reporting documents, regulatory research, deadline reminders, official letter quality review, approvals support, regulator interactions, meeting logistics, translation tracker.</x:v>
      </x:c>
    </x:row>
    <x:row r="23">
      <x:c r="A23" s="60" t="str">
        <x:v>v4 Add-on Modules</x:v>
      </x:c>
      <x:c r="B23" s="60" t="str">
        <x:v>Purpose</x:v>
      </x:c>
      <x:c r="C23" s="60" t="str">
        <x:v>Primary Output</x:v>
      </x:c>
      <x:c r="D23" s="60" t="str">
        <x:v>How Streamlit Uses It</x:v>
      </x:c>
    </x:row>
    <x:row r="24">
      <x:c r="A24" s="12" t="str">
        <x:v>Regulator CRM</x:v>
      </x:c>
      <x:c r="B24" s="12" t="str">
        <x:v>Create institutional memory for MOF/ISA/IAV/MIC/SBV/VCA</x:v>
      </x:c>
      <x:c r="C24" s="12" t="str">
        <x:v>Regulator profile, open issues, relationship plan</x:v>
      </x:c>
      <x:c r="D24" s="12" t="str">
        <x:v>CRM tab + relationship drilldown</x:v>
      </x:c>
    </x:row>
    <x:row r="25">
      <x:c r="A25" s="12" t="str">
        <x:v>Knowledge Base</x:v>
      </x:c>
      <x:c r="B25" s="12" t="str">
        <x:v>Store summaries of key laws/circulars and obligations</x:v>
      </x:c>
      <x:c r="C25" s="12" t="str">
        <x:v>Key obligations and affected departments</x:v>
      </x:c>
      <x:c r="D25" s="12" t="str">
        <x:v>Knowledge Base AI-lite tab</x:v>
      </x:c>
    </x:row>
    <x:row r="26">
      <x:c r="A26" s="12" t="str">
        <x:v>Workflow Engine</x:v>
      </x:c>
      <x:c r="B26" s="12" t="str">
        <x:v>Standardize request-to-submission process</x:v>
      </x:c>
      <x:c r="C26" s="12" t="str">
        <x:v>Workflow stage, owner, SLA and bottlenecks</x:v>
      </x:c>
      <x:c r="D26" s="12" t="str">
        <x:v>Approval/Submission workflow tab</x:v>
      </x:c>
    </x:row>
    <x:row r="27">
      <x:c r="A27" s="12" t="str">
        <x:v>Executive Brief Generator</x:v>
      </x:c>
      <x:c r="B27" s="12" t="str">
        <x:v>Generate 30-second daily/weekly regulatory brief</x:v>
      </x:c>
      <x:c r="C27" s="12" t="str">
        <x:v>CEO/EMT style brief</x:v>
      </x:c>
      <x:c r="D27" s="12" t="str">
        <x:v>Executive Brief tab</x:v>
      </x:c>
    </x:row>
    <x:row r="28">
      <x:c r="A28" s="12" t="str">
        <x:v>Approval Time Analytics</x:v>
      </x:c>
      <x:c r="B28" s="12" t="str">
        <x:v>Analyze average regulator approval time</x:v>
      </x:c>
      <x:c r="C28" s="12" t="str">
        <x:v>Lead-time benchmarks and bottlenecks</x:v>
      </x:c>
      <x:c r="D28" s="12" t="str">
        <x:v>Approval Analytics tab</x:v>
      </x:c>
    </x:row>
    <x:row r="29">
      <x:c r="A29" s="12" t="str">
        <x:v>Public Affairs Scorecard</x:v>
      </x:c>
      <x:c r="B29" s="12" t="str">
        <x:v>Translate PA operations into measurable KPIs</x:v>
      </x:c>
      <x:c r="C29" s="12" t="str">
        <x:v>On-time rate, relationship score, risk closure</x:v>
      </x:c>
      <x:c r="D29" s="12" t="str">
        <x:v>Scorecard tab</x:v>
      </x:c>
    </x:row>
    <x:row r="30">
      <x:c r="A30" s="12" t="str">
        <x:v>Risk Radar</x:v>
      </x:c>
      <x:c r="B30" s="12" t="str">
        <x:v>Quantify regulatory probability x impact</x:v>
      </x:c>
      <x:c r="C30" s="12" t="str">
        <x:v>High-priority risk heatmap</x:v>
      </x:c>
      <x:c r="D30" s="12" t="str">
        <x:v>Risk Radar tab</x:v>
      </x:c>
    </x:row>
  </x:sheetData>
  <x:mergeCells>
    <x:mergeCell ref="A1:H1"/>
    <x:mergeCell ref="A13:D13"/>
    <x:mergeCell ref="A21:H21"/>
  </x:mergeCells>
  <x:pageMargins left="0.7" right="0.7" top="0.75" bottom="0.75" header="0.3" footer="0.3"/>
  <x:drawing xmlns:r="http://schemas.openxmlformats.org/officeDocument/2006/relationships" r:id="R75b5bf6ef7524f04"/>
</x:worksheet>
</file>

<file path=xl/worksheets/sheet2.xml><?xml version="1.0" encoding="utf-8"?>
<x:worksheet xmlns:x="http://schemas.openxmlformats.org/spreadsheetml/2006/main">
  <x:sheetFormatPr defaultRowHeight="15"/>
  <x:cols>
    <x:col min="1" max="1" width="13.319999694824219" hidden="0" customWidth="1"/>
    <x:col min="2" max="2" width="32.29999923706055" hidden="0" customWidth="1"/>
    <x:col min="3" max="3" width="11.979999542236328" hidden="0" customWidth="1"/>
    <x:col min="4" max="4" width="11.170000076293945" hidden="0" customWidth="1"/>
    <x:col min="5" max="5" width="12.649999618530273" hidden="0" customWidth="1"/>
    <x:col min="6" max="6" width="10.229999542236328" hidden="0" customWidth="1"/>
    <x:col min="7" max="7" width="12.380000114440918" hidden="0" customWidth="1"/>
    <x:col min="8" max="8" width="8.210000038146973" hidden="0" customWidth="1"/>
    <x:col min="9" max="9" width="13.859999656677246" hidden="0" customWidth="1"/>
    <x:col min="10" max="10" width="10.899999618530273" hidden="0" customWidth="1"/>
    <x:col min="11" max="11" width="34.9900016784668" hidden="0" customWidth="1"/>
  </x:cols>
  <x:sheetData>
    <x:row r="1">
      <x:c r="A1" s="6" t="str">
        <x:v>Obligation ID</x:v>
      </x:c>
      <x:c r="B1" s="6" t="str">
        <x:v>Report / Obligation</x:v>
      </x:c>
      <x:c r="C1" s="6" t="str">
        <x:v>Regulator</x:v>
      </x:c>
      <x:c r="D1" s="6" t="str">
        <x:v>Frequency</x:v>
      </x:c>
      <x:c r="E1" s="6" t="str">
        <x:v>Owner Dept</x:v>
      </x:c>
      <x:c r="F1" s="6" t="str">
        <x:v>Due Date</x:v>
      </x:c>
      <x:c r="G1" s="6" t="str">
        <x:v>Days to Due</x:v>
      </x:c>
      <x:c r="H1" s="6" t="str">
        <x:v>Status</x:v>
      </x:c>
      <x:c r="I1" s="6" t="str">
        <x:v>Quality Check</x:v>
      </x:c>
      <x:c r="J1" s="6" t="str">
        <x:v>Escalation</x:v>
      </x:c>
      <x:c r="K1" s="6" t="str">
        <x:v>Notes</x:v>
      </x:c>
      <x:c r="L1" s="12"/>
      <x:c r="M1" s="12"/>
      <x:c r="N1" s="12"/>
      <x:c r="O1" s="12"/>
      <x:c r="P1" s="12"/>
      <x:c r="Q1" s="12"/>
      <x:c r="R1" s="12"/>
      <x:c r="S1" s="12"/>
      <x:c r="T1" s="12"/>
      <x:c r="U1" s="12"/>
      <x:c r="V1" s="12"/>
      <x:c r="W1" s="12"/>
      <x:c r="X1" s="12"/>
      <x:c r="Y1" s="12"/>
      <x:c r="Z1" s="12"/>
    </x:row>
    <x:row r="2">
      <x:c r="A2" s="12" t="str">
        <x:v>CAL-001</x:v>
      </x:c>
      <x:c r="B2" s="12" t="str">
        <x:v>Monthly solvency monitoring report</x:v>
      </x:c>
      <x:c r="C2" s="12" t="str">
        <x:v>ISA</x:v>
      </x:c>
      <x:c r="D2" s="12" t="str">
        <x:v>Monthly</x:v>
      </x:c>
      <x:c r="E2" s="12" t="str">
        <x:v>Product</x:v>
      </x:c>
      <x:c r="F2" s="14" t="n">
        <x:v>46179</x:v>
      </x:c>
      <x:c r="G2" s="12" t="n">
        <x:f>F2-TODAY()</x:f>
        <x:v>-5</x:v>
      </x:c>
      <x:c r="H2" s="12" t="str">
        <x:v>Overdue</x:v>
      </x:c>
      <x:c r="I2" s="12" t="str">
        <x:v>In Progress</x:v>
      </x:c>
      <x:c r="J2" s="12" t="str">
        <x:v>Yes</x:v>
      </x:c>
      <x:c r="K2" s="12" t="str">
        <x:v>Sample data - replace with actual obligation</x:v>
      </x:c>
    </x:row>
    <x:row r="3">
      <x:c r="A3" s="12" t="str">
        <x:v>CAL-002</x:v>
      </x:c>
      <x:c r="B3" s="12" t="str">
        <x:v>Quarterly capital adequacy report</x:v>
      </x:c>
      <x:c r="C3" s="12" t="str">
        <x:v>MOF</x:v>
      </x:c>
      <x:c r="D3" s="12" t="str">
        <x:v>Quarterly</x:v>
      </x:c>
      <x:c r="E3" s="12" t="str">
        <x:v>Agency</x:v>
      </x:c>
      <x:c r="F3" s="14" t="n">
        <x:v>46187</x:v>
      </x:c>
      <x:c r="G3" s="12" t="n">
        <x:f>F3-TODAY()</x:f>
        <x:v>3</x:v>
      </x:c>
      <x:c r="H3" s="12" t="str">
        <x:v>Due Soon</x:v>
      </x:c>
      <x:c r="I3" s="12" t="str">
        <x:v>Not Started</x:v>
      </x:c>
      <x:c r="J3" s="12" t="str">
        <x:v>No</x:v>
      </x:c>
      <x:c r="K3" s="12" t="str">
        <x:v>Sample data - replace with actual obligation</x:v>
      </x:c>
    </x:row>
    <x:row r="4">
      <x:c r="A4" s="12" t="str">
        <x:v>CAL-003</x:v>
      </x:c>
      <x:c r="B4" s="12" t="str">
        <x:v>Annual audited financial statement filing</x:v>
      </x:c>
      <x:c r="C4" s="12" t="str">
        <x:v>MOF</x:v>
      </x:c>
      <x:c r="D4" s="12" t="str">
        <x:v>Annual</x:v>
      </x:c>
      <x:c r="E4" s="12" t="str">
        <x:v>Bancassurance</x:v>
      </x:c>
      <x:c r="F4" s="14" t="n">
        <x:v>46184</x:v>
      </x:c>
      <x:c r="G4" s="12" t="n">
        <x:f>F4-TODAY()</x:f>
        <x:v>0</x:v>
      </x:c>
      <x:c r="H4" s="12" t="str">
        <x:v>Due Soon</x:v>
      </x:c>
      <x:c r="I4" s="12" t="str">
        <x:v>Completed</x:v>
      </x:c>
      <x:c r="J4" s="12" t="str">
        <x:v>No</x:v>
      </x:c>
      <x:c r="K4" s="12" t="str">
        <x:v>Sample data - replace with actual obligation</x:v>
      </x:c>
    </x:row>
    <x:row r="5">
      <x:c r="A5" s="12" t="str">
        <x:v>CAL-004</x:v>
      </x:c>
      <x:c r="B5" s="12" t="str">
        <x:v>Product approval status update</x:v>
      </x:c>
      <x:c r="C5" s="12" t="str">
        <x:v>ISA</x:v>
      </x:c>
      <x:c r="D5" s="12" t="str">
        <x:v>Ad-hoc</x:v>
      </x:c>
      <x:c r="E5" s="12" t="str">
        <x:v>Operations</x:v>
      </x:c>
      <x:c r="F5" s="14" t="n">
        <x:v>46179</x:v>
      </x:c>
      <x:c r="G5" s="12" t="n">
        <x:f>F5-TODAY()</x:f>
        <x:v>-5</x:v>
      </x:c>
      <x:c r="H5" s="12" t="str">
        <x:v>Submitted</x:v>
      </x:c>
      <x:c r="I5" s="12" t="str">
        <x:v>Completed</x:v>
      </x:c>
      <x:c r="J5" s="12" t="str">
        <x:v>No</x:v>
      </x:c>
      <x:c r="K5" s="12" t="str">
        <x:v>Sample data - replace with actual obligation</x:v>
      </x:c>
    </x:row>
    <x:row r="6">
      <x:c r="A6" s="12" t="str">
        <x:v>CAL-005</x:v>
      </x:c>
      <x:c r="B6" s="12" t="str">
        <x:v>Agency training approval report</x:v>
      </x:c>
      <x:c r="C6" s="12" t="str">
        <x:v>ISA</x:v>
      </x:c>
      <x:c r="D6" s="12" t="str">
        <x:v>Monthly</x:v>
      </x:c>
      <x:c r="E6" s="12" t="str">
        <x:v>CEO Office</x:v>
      </x:c>
      <x:c r="F6" s="14" t="n">
        <x:v>46179</x:v>
      </x:c>
      <x:c r="G6" s="12" t="n">
        <x:f>F6-TODAY()</x:f>
        <x:v>-5</x:v>
      </x:c>
      <x:c r="H6" s="12" t="str">
        <x:v>Submitted</x:v>
      </x:c>
      <x:c r="I6" s="12" t="str">
        <x:v>Not Started</x:v>
      </x:c>
      <x:c r="J6" s="12" t="str">
        <x:v>No</x:v>
      </x:c>
      <x:c r="K6" s="12" t="str">
        <x:v>Sample data - replace with actual obligation</x:v>
      </x:c>
    </x:row>
    <x:row r="7">
      <x:c r="A7" s="12" t="str">
        <x:v>CAL-006</x:v>
      </x:c>
      <x:c r="B7" s="12" t="str">
        <x:v>Bancassurance compliance update</x:v>
      </x:c>
      <x:c r="C7" s="12" t="str">
        <x:v>SBV</x:v>
      </x:c>
      <x:c r="D7" s="12" t="str">
        <x:v>Quarterly</x:v>
      </x:c>
      <x:c r="E7" s="12" t="str">
        <x:v>Legal</x:v>
      </x:c>
      <x:c r="F7" s="14" t="n">
        <x:v>46172</x:v>
      </x:c>
      <x:c r="G7" s="12" t="n">
        <x:f>F7-TODAY()</x:f>
        <x:v>-12</x:v>
      </x:c>
      <x:c r="H7" s="12" t="str">
        <x:v>Overdue</x:v>
      </x:c>
      <x:c r="I7" s="12" t="str">
        <x:v>Not Started</x:v>
      </x:c>
      <x:c r="J7" s="12" t="str">
        <x:v>Yes</x:v>
      </x:c>
      <x:c r="K7" s="12" t="str">
        <x:v>Sample data - replace with actual obligation</x:v>
      </x:c>
    </x:row>
    <x:row r="8">
      <x:c r="A8" s="12" t="str">
        <x:v>CAL-007</x:v>
      </x:c>
      <x:c r="B8" s="12" t="str">
        <x:v>Consumer complaint summary</x:v>
      </x:c>
      <x:c r="C8" s="12" t="str">
        <x:v>VCA</x:v>
      </x:c>
      <x:c r="D8" s="12" t="str">
        <x:v>Monthly</x:v>
      </x:c>
      <x:c r="E8" s="12" t="str">
        <x:v>Compliance</x:v>
      </x:c>
      <x:c r="F8" s="14" t="n">
        <x:v>46219</x:v>
      </x:c>
      <x:c r="G8" s="12" t="n">
        <x:f>F8-TODAY()</x:f>
        <x:v>35</x:v>
      </x:c>
      <x:c r="H8" s="12" t="str">
        <x:v>On Track</x:v>
      </x:c>
      <x:c r="I8" s="12" t="str">
        <x:v>Completed</x:v>
      </x:c>
      <x:c r="J8" s="12" t="str">
        <x:v>No</x:v>
      </x:c>
      <x:c r="K8" s="12" t="str">
        <x:v>Sample data - replace with actual obligation</x:v>
      </x:c>
    </x:row>
    <x:row r="9">
      <x:c r="A9" s="12" t="str">
        <x:v>CAL-008</x:v>
      </x:c>
      <x:c r="B9" s="12" t="str">
        <x:v>AML / CFT compliance certification</x:v>
      </x:c>
      <x:c r="C9" s="12" t="str">
        <x:v>MOF</x:v>
      </x:c>
      <x:c r="D9" s="12" t="str">
        <x:v>Annual</x:v>
      </x:c>
      <x:c r="E9" s="12" t="str">
        <x:v>Finance</x:v>
      </x:c>
      <x:c r="F9" s="14" t="n">
        <x:v>46172</x:v>
      </x:c>
      <x:c r="G9" s="12" t="n">
        <x:f>F9-TODAY()</x:f>
        <x:v>-12</x:v>
      </x:c>
      <x:c r="H9" s="12" t="str">
        <x:v>Submitted</x:v>
      </x:c>
      <x:c r="I9" s="12" t="str">
        <x:v>Completed</x:v>
      </x:c>
      <x:c r="J9" s="12" t="str">
        <x:v>No</x:v>
      </x:c>
      <x:c r="K9" s="12" t="str">
        <x:v>Sample data - replace with actual obligation</x:v>
      </x:c>
    </x:row>
    <x:row r="10">
      <x:c r="A10" s="12" t="str">
        <x:v>CAL-009</x:v>
      </x:c>
      <x:c r="B10" s="12" t="str">
        <x:v>Data privacy compliance update</x:v>
      </x:c>
      <x:c r="C10" s="12" t="str">
        <x:v>MIC</x:v>
      </x:c>
      <x:c r="D10" s="12" t="str">
        <x:v>Quarterly</x:v>
      </x:c>
      <x:c r="E10" s="12" t="str">
        <x:v>Product</x:v>
      </x:c>
      <x:c r="F10" s="14" t="n">
        <x:v>46219</x:v>
      </x:c>
      <x:c r="G10" s="12" t="n">
        <x:f>F10-TODAY()</x:f>
        <x:v>35</x:v>
      </x:c>
      <x:c r="H10" s="12" t="str">
        <x:v>On Track</x:v>
      </x:c>
      <x:c r="I10" s="12" t="str">
        <x:v>In Progress</x:v>
      </x:c>
      <x:c r="J10" s="12" t="str">
        <x:v>No</x:v>
      </x:c>
      <x:c r="K10" s="12" t="str">
        <x:v>Sample data - replace with actual obligation</x:v>
      </x:c>
    </x:row>
    <x:row r="11">
      <x:c r="A11" s="12" t="str">
        <x:v>CAL-010</x:v>
      </x:c>
      <x:c r="B11" s="12" t="str">
        <x:v>Market conduct remediation update</x:v>
      </x:c>
      <x:c r="C11" s="12" t="str">
        <x:v>ISA</x:v>
      </x:c>
      <x:c r="D11" s="12" t="str">
        <x:v>Ad-hoc</x:v>
      </x:c>
      <x:c r="E11" s="12" t="str">
        <x:v>Agency</x:v>
      </x:c>
      <x:c r="F11" s="14" t="n">
        <x:v>46187</x:v>
      </x:c>
      <x:c r="G11" s="12" t="n">
        <x:f>F11-TODAY()</x:f>
        <x:v>3</x:v>
      </x:c>
      <x:c r="H11" s="12" t="str">
        <x:v>Due Soon</x:v>
      </x:c>
      <x:c r="I11" s="12" t="str">
        <x:v>In Progress</x:v>
      </x:c>
      <x:c r="J11" s="12" t="str">
        <x:v>No</x:v>
      </x:c>
      <x:c r="K11" s="12" t="str">
        <x:v>Sample data - replace with actual obligation</x:v>
      </x:c>
    </x:row>
    <x:row r="12">
      <x:c r="A12" s="12" t="str">
        <x:v>CAL-011</x:v>
      </x:c>
      <x:c r="B12" s="12" t="str">
        <x:v>Regional Office regulatory update</x:v>
      </x:c>
      <x:c r="C12" s="12" t="str">
        <x:v>Regional Office</x:v>
      </x:c>
      <x:c r="D12" s="12" t="str">
        <x:v>Monthly</x:v>
      </x:c>
      <x:c r="E12" s="12" t="str">
        <x:v>Bancassurance</x:v>
      </x:c>
      <x:c r="F12" s="14" t="n">
        <x:v>46232</x:v>
      </x:c>
      <x:c r="G12" s="12" t="n">
        <x:f>F12-TODAY()</x:f>
        <x:v>48</x:v>
      </x:c>
      <x:c r="H12" s="12" t="str">
        <x:v>On Track</x:v>
      </x:c>
      <x:c r="I12" s="12" t="str">
        <x:v>In Progress</x:v>
      </x:c>
      <x:c r="J12" s="12" t="str">
        <x:v>No</x:v>
      </x:c>
      <x:c r="K12" s="12" t="str">
        <x:v>Sample data - replace with actual obligation</x:v>
      </x:c>
    </x:row>
    <x:row r="13">
      <x:c r="A13" s="12" t="str">
        <x:v>CAL-012</x:v>
      </x:c>
      <x:c r="B13" s="12" t="str">
        <x:v>Ad-hoc ISA information request</x:v>
      </x:c>
      <x:c r="C13" s="12" t="str">
        <x:v>ISA</x:v>
      </x:c>
      <x:c r="D13" s="12" t="str">
        <x:v>Ad-hoc</x:v>
      </x:c>
      <x:c r="E13" s="12" t="str">
        <x:v>Operations</x:v>
      </x:c>
      <x:c r="F13" s="14" t="n">
        <x:v>46172</x:v>
      </x:c>
      <x:c r="G13" s="12" t="n">
        <x:f>F13-TODAY()</x:f>
        <x:v>-12</x:v>
      </x:c>
      <x:c r="H13" s="12" t="str">
        <x:v>Submitted</x:v>
      </x:c>
      <x:c r="I13" s="12" t="str">
        <x:v>Not Started</x:v>
      </x:c>
      <x:c r="J13" s="12" t="str">
        <x:v>No</x:v>
      </x:c>
      <x:c r="K13" s="12" t="str">
        <x:v>Sample data - replace with actual obligation</x:v>
      </x:c>
    </x:row>
    <x:row r="14">
      <x:c r="A14" s="12" t="str">
        <x:v>CAL-013</x:v>
      </x:c>
      <x:c r="B14" s="12" t="str">
        <x:v>Monthly solvency monitoring report</x:v>
      </x:c>
      <x:c r="C14" s="12" t="str">
        <x:v>ISA</x:v>
      </x:c>
      <x:c r="D14" s="12" t="str">
        <x:v>Monthly</x:v>
      </x:c>
      <x:c r="E14" s="12" t="str">
        <x:v>CEO Office</x:v>
      </x:c>
      <x:c r="F14" s="14" t="n">
        <x:v>46199</x:v>
      </x:c>
      <x:c r="G14" s="12" t="n">
        <x:f>F14-TODAY()</x:f>
        <x:v>15</x:v>
      </x:c>
      <x:c r="H14" s="12" t="str">
        <x:v>On Track</x:v>
      </x:c>
      <x:c r="I14" s="12" t="str">
        <x:v>In Progress</x:v>
      </x:c>
      <x:c r="J14" s="12" t="str">
        <x:v>No</x:v>
      </x:c>
      <x:c r="K14" s="12" t="str">
        <x:v>Sample data - replace with actual obligation</x:v>
      </x:c>
    </x:row>
    <x:row r="15">
      <x:c r="A15" s="12" t="str">
        <x:v>CAL-014</x:v>
      </x:c>
      <x:c r="B15" s="12" t="str">
        <x:v>Quarterly capital adequacy report</x:v>
      </x:c>
      <x:c r="C15" s="12" t="str">
        <x:v>MOF</x:v>
      </x:c>
      <x:c r="D15" s="12" t="str">
        <x:v>Quarterly</x:v>
      </x:c>
      <x:c r="E15" s="12" t="str">
        <x:v>Legal</x:v>
      </x:c>
      <x:c r="F15" s="14" t="n">
        <x:v>46189</x:v>
      </x:c>
      <x:c r="G15" s="12" t="n">
        <x:f>F15-TODAY()</x:f>
        <x:v>5</x:v>
      </x:c>
      <x:c r="H15" s="12" t="str">
        <x:v>Due Soon</x:v>
      </x:c>
      <x:c r="I15" s="12" t="str">
        <x:v>Not Started</x:v>
      </x:c>
      <x:c r="J15" s="12" t="str">
        <x:v>No</x:v>
      </x:c>
      <x:c r="K15" s="12" t="str">
        <x:v>Sample data - replace with actual obligation</x:v>
      </x:c>
    </x:row>
    <x:row r="16">
      <x:c r="A16" s="12" t="str">
        <x:v>CAL-015</x:v>
      </x:c>
      <x:c r="B16" s="12" t="str">
        <x:v>Annual audited financial statement filing</x:v>
      </x:c>
      <x:c r="C16" s="12" t="str">
        <x:v>MOF</x:v>
      </x:c>
      <x:c r="D16" s="12" t="str">
        <x:v>Annual</x:v>
      </x:c>
      <x:c r="E16" s="12" t="str">
        <x:v>Compliance</x:v>
      </x:c>
      <x:c r="F16" s="14" t="n">
        <x:v>46187</x:v>
      </x:c>
      <x:c r="G16" s="12" t="n">
        <x:f>F16-TODAY()</x:f>
        <x:v>3</x:v>
      </x:c>
      <x:c r="H16" s="12" t="str">
        <x:v>Due Soon</x:v>
      </x:c>
      <x:c r="I16" s="12" t="str">
        <x:v>In Progress</x:v>
      </x:c>
      <x:c r="J16" s="12" t="str">
        <x:v>No</x:v>
      </x:c>
      <x:c r="K16" s="12" t="str">
        <x:v>Sample data - replace with actual obligation</x:v>
      </x:c>
    </x:row>
    <x:row r="17">
      <x:c r="A17" s="12" t="str">
        <x:v>CAL-016</x:v>
      </x:c>
      <x:c r="B17" s="12" t="str">
        <x:v>Product approval status update</x:v>
      </x:c>
      <x:c r="C17" s="12" t="str">
        <x:v>ISA</x:v>
      </x:c>
      <x:c r="D17" s="12" t="str">
        <x:v>Ad-hoc</x:v>
      </x:c>
      <x:c r="E17" s="12" t="str">
        <x:v>Finance</x:v>
      </x:c>
      <x:c r="F17" s="14" t="n">
        <x:v>46179</x:v>
      </x:c>
      <x:c r="G17" s="12" t="n">
        <x:f>F17-TODAY()</x:f>
        <x:v>-5</x:v>
      </x:c>
      <x:c r="H17" s="12" t="str">
        <x:v>Overdue</x:v>
      </x:c>
      <x:c r="I17" s="12" t="str">
        <x:v>Not Started</x:v>
      </x:c>
      <x:c r="J17" s="12" t="str">
        <x:v>Yes</x:v>
      </x:c>
      <x:c r="K17" s="12" t="str">
        <x:v>Sample data - replace with actual obligation</x:v>
      </x:c>
    </x:row>
    <x:row r="18">
      <x:c r="A18" s="12" t="str">
        <x:v>CAL-017</x:v>
      </x:c>
      <x:c r="B18" s="12" t="str">
        <x:v>Agency training approval report</x:v>
      </x:c>
      <x:c r="C18" s="12" t="str">
        <x:v>ISA</x:v>
      </x:c>
      <x:c r="D18" s="12" t="str">
        <x:v>Monthly</x:v>
      </x:c>
      <x:c r="E18" s="12" t="str">
        <x:v>Product</x:v>
      </x:c>
      <x:c r="F18" s="14" t="n">
        <x:v>46192</x:v>
      </x:c>
      <x:c r="G18" s="12" t="n">
        <x:f>F18-TODAY()</x:f>
        <x:v>8</x:v>
      </x:c>
      <x:c r="H18" s="12" t="str">
        <x:v>On Track</x:v>
      </x:c>
      <x:c r="I18" s="12" t="str">
        <x:v>In Progress</x:v>
      </x:c>
      <x:c r="J18" s="12" t="str">
        <x:v>No</x:v>
      </x:c>
      <x:c r="K18" s="12" t="str">
        <x:v>Sample data - replace with actual obligation</x:v>
      </x:c>
    </x:row>
    <x:row r="19">
      <x:c r="A19" s="12" t="str">
        <x:v>CAL-018</x:v>
      </x:c>
      <x:c r="B19" s="12" t="str">
        <x:v>Bancassurance compliance update</x:v>
      </x:c>
      <x:c r="C19" s="12" t="str">
        <x:v>SBV</x:v>
      </x:c>
      <x:c r="D19" s="12" t="str">
        <x:v>Quarterly</x:v>
      </x:c>
      <x:c r="E19" s="12" t="str">
        <x:v>Agency</x:v>
      </x:c>
      <x:c r="F19" s="14" t="n">
        <x:v>46232</x:v>
      </x:c>
      <x:c r="G19" s="12" t="n">
        <x:f>F19-TODAY()</x:f>
        <x:v>48</x:v>
      </x:c>
      <x:c r="H19" s="12" t="str">
        <x:v>On Track</x:v>
      </x:c>
      <x:c r="I19" s="12" t="str">
        <x:v>In Progress</x:v>
      </x:c>
      <x:c r="J19" s="12" t="str">
        <x:v>No</x:v>
      </x:c>
      <x:c r="K19" s="12" t="str">
        <x:v>Sample data - replace with actual obligation</x:v>
      </x:c>
    </x:row>
    <x:row r="20">
      <x:c r="A20" s="12" t="str">
        <x:v>CAL-019</x:v>
      </x:c>
      <x:c r="B20" s="12" t="str">
        <x:v>Consumer complaint summary</x:v>
      </x:c>
      <x:c r="C20" s="12" t="str">
        <x:v>VCA</x:v>
      </x:c>
      <x:c r="D20" s="12" t="str">
        <x:v>Monthly</x:v>
      </x:c>
      <x:c r="E20" s="12" t="str">
        <x:v>Bancassurance</x:v>
      </x:c>
      <x:c r="F20" s="14" t="n">
        <x:v>46172</x:v>
      </x:c>
      <x:c r="G20" s="12" t="n">
        <x:f>F20-TODAY()</x:f>
        <x:v>-12</x:v>
      </x:c>
      <x:c r="H20" s="12" t="str">
        <x:v>Submitted</x:v>
      </x:c>
      <x:c r="I20" s="12" t="str">
        <x:v>Completed</x:v>
      </x:c>
      <x:c r="J20" s="12" t="str">
        <x:v>No</x:v>
      </x:c>
      <x:c r="K20" s="12" t="str">
        <x:v>Sample data - replace with actual obligation</x:v>
      </x:c>
    </x:row>
    <x:row r="21">
      <x:c r="A21" s="12" t="str">
        <x:v>CAL-020</x:v>
      </x:c>
      <x:c r="B21" s="12" t="str">
        <x:v>AML / CFT compliance certification</x:v>
      </x:c>
      <x:c r="C21" s="12" t="str">
        <x:v>MOF</x:v>
      </x:c>
      <x:c r="D21" s="12" t="str">
        <x:v>Annual</x:v>
      </x:c>
      <x:c r="E21" s="12" t="str">
        <x:v>Operations</x:v>
      </x:c>
      <x:c r="F21" s="14" t="n">
        <x:v>46179</x:v>
      </x:c>
      <x:c r="G21" s="12" t="n">
        <x:f>F21-TODAY()</x:f>
        <x:v>-5</x:v>
      </x:c>
      <x:c r="H21" s="12" t="str">
        <x:v>Submitted</x:v>
      </x:c>
      <x:c r="I21" s="12" t="str">
        <x:v>In Progress</x:v>
      </x:c>
      <x:c r="J21" s="12" t="str">
        <x:v>No</x:v>
      </x:c>
      <x:c r="K21" s="12" t="str">
        <x:v>Sample data - replace with actual obligation</x:v>
      </x:c>
    </x:row>
    <x:row r="22">
      <x:c r="A22" s="12" t="str">
        <x:v>CAL-021</x:v>
      </x:c>
      <x:c r="B22" s="12" t="str">
        <x:v>Data privacy compliance update</x:v>
      </x:c>
      <x:c r="C22" s="12" t="str">
        <x:v>MIC</x:v>
      </x:c>
      <x:c r="D22" s="12" t="str">
        <x:v>Quarterly</x:v>
      </x:c>
      <x:c r="E22" s="12" t="str">
        <x:v>CEO Office</x:v>
      </x:c>
      <x:c r="F22" s="14" t="n">
        <x:v>46179</x:v>
      </x:c>
      <x:c r="G22" s="12" t="n">
        <x:f>F22-TODAY()</x:f>
        <x:v>-5</x:v>
      </x:c>
      <x:c r="H22" s="12" t="str">
        <x:v>Submitted</x:v>
      </x:c>
      <x:c r="I22" s="12" t="str">
        <x:v>Completed</x:v>
      </x:c>
      <x:c r="J22" s="12" t="str">
        <x:v>No</x:v>
      </x:c>
      <x:c r="K22" s="12" t="str">
        <x:v>Sample data - replace with actual obligation</x:v>
      </x:c>
    </x:row>
    <x:row r="23">
      <x:c r="A23" s="12" t="str">
        <x:v>CAL-022</x:v>
      </x:c>
      <x:c r="B23" s="12" t="str">
        <x:v>Market conduct remediation update</x:v>
      </x:c>
      <x:c r="C23" s="12" t="str">
        <x:v>ISA</x:v>
      </x:c>
      <x:c r="D23" s="12" t="str">
        <x:v>Ad-hoc</x:v>
      </x:c>
      <x:c r="E23" s="12" t="str">
        <x:v>Legal</x:v>
      </x:c>
      <x:c r="F23" s="14" t="n">
        <x:v>46232</x:v>
      </x:c>
      <x:c r="G23" s="12" t="n">
        <x:f>F23-TODAY()</x:f>
        <x:v>48</x:v>
      </x:c>
      <x:c r="H23" s="12" t="str">
        <x:v>On Track</x:v>
      </x:c>
      <x:c r="I23" s="12" t="str">
        <x:v>In Progress</x:v>
      </x:c>
      <x:c r="J23" s="12" t="str">
        <x:v>No</x:v>
      </x:c>
      <x:c r="K23" s="12" t="str">
        <x:v>Sample data - replace with actual obligation</x:v>
      </x:c>
    </x:row>
    <x:row r="24">
      <x:c r="A24" s="12" t="str">
        <x:v>CAL-023</x:v>
      </x:c>
      <x:c r="B24" s="12" t="str">
        <x:v>Regional Office regulatory update</x:v>
      </x:c>
      <x:c r="C24" s="12" t="str">
        <x:v>Regional Office</x:v>
      </x:c>
      <x:c r="D24" s="12" t="str">
        <x:v>Monthly</x:v>
      </x:c>
      <x:c r="E24" s="12" t="str">
        <x:v>Compliance</x:v>
      </x:c>
      <x:c r="F24" s="14" t="n">
        <x:v>46232</x:v>
      </x:c>
      <x:c r="G24" s="12" t="n">
        <x:f>F24-TODAY()</x:f>
        <x:v>48</x:v>
      </x:c>
      <x:c r="H24" s="12" t="str">
        <x:v>On Track</x:v>
      </x:c>
      <x:c r="I24" s="12" t="str">
        <x:v>Not Started</x:v>
      </x:c>
      <x:c r="J24" s="12" t="str">
        <x:v>No</x:v>
      </x:c>
      <x:c r="K24" s="12" t="str">
        <x:v>Sample data - replace with actual obligation</x:v>
      </x:c>
    </x:row>
    <x:row r="25">
      <x:c r="A25" s="12" t="str">
        <x:v>CAL-024</x:v>
      </x:c>
      <x:c r="B25" s="12" t="str">
        <x:v>Ad-hoc ISA information request</x:v>
      </x:c>
      <x:c r="C25" s="12" t="str">
        <x:v>ISA</x:v>
      </x:c>
      <x:c r="D25" s="12" t="str">
        <x:v>Ad-hoc</x:v>
      </x:c>
      <x:c r="E25" s="12" t="str">
        <x:v>Finance</x:v>
      </x:c>
      <x:c r="F25" s="14" t="n">
        <x:v>46179</x:v>
      </x:c>
      <x:c r="G25" s="12" t="n">
        <x:f>F25-TODAY()</x:f>
        <x:v>-5</x:v>
      </x:c>
      <x:c r="H25" s="12" t="str">
        <x:v>Overdue</x:v>
      </x:c>
      <x:c r="I25" s="12" t="str">
        <x:v>Not Started</x:v>
      </x:c>
      <x:c r="J25" s="12" t="str">
        <x:v>Yes</x:v>
      </x:c>
      <x:c r="K25" s="12" t="str">
        <x:v>Sample data - replace with actual obligation</x:v>
      </x:c>
    </x:row>
    <x:row r="26">
      <x:c r="A26" s="12" t="str">
        <x:v>CAL-025</x:v>
      </x:c>
      <x:c r="B26" s="12" t="str">
        <x:v>Monthly solvency monitoring report</x:v>
      </x:c>
      <x:c r="C26" s="12" t="str">
        <x:v>ISA</x:v>
      </x:c>
      <x:c r="D26" s="12" t="str">
        <x:v>Monthly</x:v>
      </x:c>
      <x:c r="E26" s="12" t="str">
        <x:v>Product</x:v>
      </x:c>
      <x:c r="F26" s="14" t="n">
        <x:v>46189</x:v>
      </x:c>
      <x:c r="G26" s="12" t="n">
        <x:f>F26-TODAY()</x:f>
        <x:v>5</x:v>
      </x:c>
      <x:c r="H26" s="12" t="str">
        <x:v>Due Soon</x:v>
      </x:c>
      <x:c r="I26" s="12" t="str">
        <x:v>Not Started</x:v>
      </x:c>
      <x:c r="J26" s="12" t="str">
        <x:v>No</x:v>
      </x:c>
      <x:c r="K26" s="12" t="str">
        <x:v>Sample data - replace with actual obligation</x:v>
      </x:c>
    </x:row>
    <x:row r="27">
      <x:c r="A27" s="12" t="str">
        <x:v>CAL-026</x:v>
      </x:c>
      <x:c r="B27" s="12" t="str">
        <x:v>Quarterly capital adequacy report</x:v>
      </x:c>
      <x:c r="C27" s="12" t="str">
        <x:v>MOF</x:v>
      </x:c>
      <x:c r="D27" s="12" t="str">
        <x:v>Quarterly</x:v>
      </x:c>
      <x:c r="E27" s="12" t="str">
        <x:v>Agency</x:v>
      </x:c>
      <x:c r="F27" s="14" t="n">
        <x:v>46187</x:v>
      </x:c>
      <x:c r="G27" s="12" t="n">
        <x:f>F27-TODAY()</x:f>
        <x:v>3</x:v>
      </x:c>
      <x:c r="H27" s="12" t="str">
        <x:v>Due Soon</x:v>
      </x:c>
      <x:c r="I27" s="12" t="str">
        <x:v>Not Started</x:v>
      </x:c>
      <x:c r="J27" s="12" t="str">
        <x:v>No</x:v>
      </x:c>
      <x:c r="K27" s="12" t="str">
        <x:v>Sample data - replace with actual obligation</x:v>
      </x:c>
    </x:row>
    <x:row r="28">
      <x:c r="A28" s="12" t="str">
        <x:v>CAL-027</x:v>
      </x:c>
      <x:c r="B28" s="12" t="str">
        <x:v>Annual audited financial statement filing</x:v>
      </x:c>
      <x:c r="C28" s="12" t="str">
        <x:v>MOF</x:v>
      </x:c>
      <x:c r="D28" s="12" t="str">
        <x:v>Annual</x:v>
      </x:c>
      <x:c r="E28" s="12" t="str">
        <x:v>Bancassurance</x:v>
      </x:c>
      <x:c r="F28" s="14" t="n">
        <x:v>46199</x:v>
      </x:c>
      <x:c r="G28" s="12" t="n">
        <x:f>F28-TODAY()</x:f>
        <x:v>15</x:v>
      </x:c>
      <x:c r="H28" s="12" t="str">
        <x:v>On Track</x:v>
      </x:c>
      <x:c r="I28" s="12" t="str">
        <x:v>In Progress</x:v>
      </x:c>
      <x:c r="J28" s="12" t="str">
        <x:v>No</x:v>
      </x:c>
      <x:c r="K28" s="12" t="str">
        <x:v>Sample data - replace with actual obligation</x:v>
      </x:c>
    </x:row>
    <x:row r="29">
      <x:c r="A29" s="12" t="str">
        <x:v>CAL-028</x:v>
      </x:c>
      <x:c r="B29" s="12" t="str">
        <x:v>Product approval status update</x:v>
      </x:c>
      <x:c r="C29" s="12" t="str">
        <x:v>ISA</x:v>
      </x:c>
      <x:c r="D29" s="12" t="str">
        <x:v>Ad-hoc</x:v>
      </x:c>
      <x:c r="E29" s="12" t="str">
        <x:v>Operations</x:v>
      </x:c>
      <x:c r="F29" s="14" t="n">
        <x:v>46206</x:v>
      </x:c>
      <x:c r="G29" s="12" t="n">
        <x:f>F29-TODAY()</x:f>
        <x:v>22</x:v>
      </x:c>
      <x:c r="H29" s="12" t="str">
        <x:v>On Track</x:v>
      </x:c>
      <x:c r="I29" s="12" t="str">
        <x:v>Completed</x:v>
      </x:c>
      <x:c r="J29" s="12" t="str">
        <x:v>No</x:v>
      </x:c>
      <x:c r="K29" s="12" t="str">
        <x:v>Sample data - replace with actual obligation</x:v>
      </x:c>
    </x:row>
    <x:row r="30">
      <x:c r="A30" s="12" t="str">
        <x:v>CAL-029</x:v>
      </x:c>
      <x:c r="B30" s="12" t="str">
        <x:v>Agency training approval report</x:v>
      </x:c>
      <x:c r="C30" s="12" t="str">
        <x:v>ISA</x:v>
      </x:c>
      <x:c r="D30" s="12" t="str">
        <x:v>Monthly</x:v>
      </x:c>
      <x:c r="E30" s="12" t="str">
        <x:v>CEO Office</x:v>
      </x:c>
      <x:c r="F30" s="14" t="n">
        <x:v>46192</x:v>
      </x:c>
      <x:c r="G30" s="12" t="n">
        <x:f>F30-TODAY()</x:f>
        <x:v>8</x:v>
      </x:c>
      <x:c r="H30" s="12" t="str">
        <x:v>On Track</x:v>
      </x:c>
      <x:c r="I30" s="12" t="str">
        <x:v>Not Started</x:v>
      </x:c>
      <x:c r="J30" s="12" t="str">
        <x:v>No</x:v>
      </x:c>
      <x:c r="K30" s="12" t="str">
        <x:v>Sample data - replace with actual obligation</x:v>
      </x:c>
    </x:row>
    <x:row r="31">
      <x:c r="A31" s="12" t="str">
        <x:v>CAL-030</x:v>
      </x:c>
      <x:c r="B31" s="12" t="str">
        <x:v>Bancassurance compliance update</x:v>
      </x:c>
      <x:c r="C31" s="12" t="str">
        <x:v>SBV</x:v>
      </x:c>
      <x:c r="D31" s="12" t="str">
        <x:v>Quarterly</x:v>
      </x:c>
      <x:c r="E31" s="12" t="str">
        <x:v>Legal</x:v>
      </x:c>
      <x:c r="F31" s="14" t="n">
        <x:v>46192</x:v>
      </x:c>
      <x:c r="G31" s="12" t="n">
        <x:f>F31-TODAY()</x:f>
        <x:v>8</x:v>
      </x:c>
      <x:c r="H31" s="12" t="str">
        <x:v>On Track</x:v>
      </x:c>
      <x:c r="I31" s="12" t="str">
        <x:v>In Progress</x:v>
      </x:c>
      <x:c r="J31" s="12" t="str">
        <x:v>No</x:v>
      </x:c>
      <x:c r="K31" s="12" t="str">
        <x:v>Sample data - replace with actual obligation</x:v>
      </x:c>
    </x:row>
  </x:sheetData>
  <x:conditionalFormatting sqref="H2:H31">
    <x:cfRule type="expression" dxfId="0" priority="1">
      <x:formula>H2="Overdue"</x:formula>
    </x:cfRule>
    <x:cfRule type="expression" dxfId="1" priority="2">
      <x:formula>H2="Due Soon"</x:formula>
    </x:cfRule>
  </x:conditionalFormatting>
  <x:dataValidations count="1">
    <x:dataValidation type="list" sqref="H2:H31">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21ee236dc9c34a3e"/>
  </x:tableParts>
</x:worksheet>
</file>

<file path=xl/worksheets/sheet3.xml><?xml version="1.0" encoding="utf-8"?>
<x:worksheet xmlns:x="http://schemas.openxmlformats.org/spreadsheetml/2006/main">
  <x:sheetFormatPr defaultRowHeight="15"/>
  <x:cols>
    <x:col min="1" max="1" width="14.130000114440918" hidden="0" customWidth="1"/>
    <x:col min="2" max="2" width="25.56999969482422" hidden="0" customWidth="1"/>
    <x:col min="3" max="3" width="10.5" hidden="0" customWidth="1"/>
    <x:col min="4" max="4" width="17.899999618530273" hidden="0" customWidth="1"/>
    <x:col min="5" max="5" width="12.649999618530273" hidden="0" customWidth="1"/>
    <x:col min="6" max="6" width="14.270000457763672" hidden="0" customWidth="1"/>
    <x:col min="7" max="7" width="19.920000076293945" hidden="0" customWidth="1"/>
    <x:col min="8" max="8" width="15.34000015258789" hidden="0" customWidth="1"/>
    <x:col min="9" max="9" width="17.5" hidden="0" customWidth="1"/>
    <x:col min="10" max="10" width="15.34000015258789" hidden="0" customWidth="1"/>
    <x:col min="11" max="11" width="18.299999237060547" hidden="0" customWidth="1"/>
    <x:col min="12" max="12" width="10.630000114440918" hidden="0" customWidth="1"/>
    <x:col min="13" max="13" width="20.729999542236328" hidden="0" customWidth="1"/>
  </x:cols>
  <x:sheetData>
    <x:row r="1">
      <x:c r="A1" s="6" t="str">
        <x:v>Submission ID</x:v>
      </x:c>
      <x:c r="B1" s="6" t="str">
        <x:v>Document / Request</x:v>
      </x:c>
      <x:c r="C1" s="6" t="str">
        <x:v>Regulator</x:v>
      </x:c>
      <x:c r="D1" s="6" t="str">
        <x:v>Submission Type</x:v>
      </x:c>
      <x:c r="E1" s="6" t="str">
        <x:v>Owner Dept</x:v>
      </x:c>
      <x:c r="F1" s="6" t="str">
        <x:v>Received Date</x:v>
      </x:c>
      <x:c r="G1" s="6" t="str">
        <x:v>Submission Due Date</x:v>
      </x:c>
      <x:c r="H1" s="6" t="str">
        <x:v>Submitted Date</x:v>
      </x:c>
      <x:c r="I1" s="6" t="str">
        <x:v>Status</x:v>
      </x:c>
      <x:c r="J1" s="6" t="str">
        <x:v>Lead Time Days</x:v>
      </x:c>
      <x:c r="K1" s="6" t="str">
        <x:v>Checklist Complete</x:v>
      </x:c>
      <x:c r="L1" s="6" t="str">
        <x:v>Risk Level</x:v>
      </x:c>
      <x:c r="M1" s="6" t="str">
        <x:v>Next Action</x:v>
      </x:c>
      <x:c r="N1" s="12"/>
      <x:c r="O1" s="12"/>
      <x:c r="P1" s="12"/>
      <x:c r="Q1" s="12"/>
      <x:c r="R1" s="12"/>
      <x:c r="S1" s="12"/>
      <x:c r="T1" s="12"/>
      <x:c r="U1" s="12"/>
      <x:c r="V1" s="12"/>
      <x:c r="W1" s="12"/>
      <x:c r="X1" s="12"/>
      <x:c r="Y1" s="12"/>
      <x:c r="Z1" s="12"/>
    </x:row>
    <x:row r="2">
      <x:c r="A2" s="12" t="str">
        <x:v>SUB-001</x:v>
      </x:c>
      <x:c r="B2" s="12" t="str">
        <x:v>License/Transaction - item 1</x:v>
      </x:c>
      <x:c r="C2" s="12" t="str">
        <x:v>MOF</x:v>
      </x:c>
      <x:c r="D2" s="12" t="str">
        <x:v>Agency Training</x:v>
      </x:c>
      <x:c r="E2" s="12" t="str">
        <x:v>Finance</x:v>
      </x:c>
      <x:c r="F2" s="14" t="n">
        <x:v>46157</x:v>
      </x:c>
      <x:c r="G2" s="14" t="n">
        <x:v>46183</x:v>
      </x:c>
      <x:c r="H2" s="14" t="str"/>
      <x:c r="I2" s="12" t="str">
        <x:v>In Review</x:v>
      </x:c>
      <x:c r="J2" s="12" t="n">
        <x:f>IF(H2="",TODAY()-F2,H2-F2)</x:f>
        <x:v>27</x:v>
      </x:c>
      <x:c r="K2" s="12" t="str">
        <x:v>Partial</x:v>
      </x:c>
      <x:c r="L2" s="12" t="str">
        <x:v>Low</x:v>
      </x:c>
      <x:c r="M2" s="12" t="str">
        <x:v>Follow-up / quality review</x:v>
      </x:c>
    </x:row>
    <x:row r="3">
      <x:c r="A3" s="12" t="str">
        <x:v>SUB-002</x:v>
      </x:c>
      <x:c r="B3" s="12" t="str">
        <x:v>License/Transaction - item 2</x:v>
      </x:c>
      <x:c r="C3" s="12" t="str">
        <x:v>SBV</x:v>
      </x:c>
      <x:c r="D3" s="12" t="str">
        <x:v>Report</x:v>
      </x:c>
      <x:c r="E3" s="12" t="str">
        <x:v>Bancassurance</x:v>
      </x:c>
      <x:c r="F3" s="14" t="n">
        <x:v>46152</x:v>
      </x:c>
      <x:c r="G3" s="14" t="n">
        <x:v>46162</x:v>
      </x:c>
      <x:c r="H3" s="14" t="n">
        <x:v>46160</x:v>
      </x:c>
      <x:c r="I3" s="12" t="str">
        <x:v>Submitted</x:v>
      </x:c>
      <x:c r="J3" s="12" t="n">
        <x:f>IF(H3="",TODAY()-F3,H3-F3)</x:f>
        <x:v>8</x:v>
      </x:c>
      <x:c r="K3" s="12" t="str">
        <x:v>Yes</x:v>
      </x:c>
      <x:c r="L3" s="12" t="str">
        <x:v>High</x:v>
      </x:c>
      <x:c r="M3" s="12" t="str">
        <x:v>Follow-up / quality review</x:v>
      </x:c>
    </x:row>
    <x:row r="4">
      <x:c r="A4" s="12" t="str">
        <x:v>SUB-003</x:v>
      </x:c>
      <x:c r="B4" s="12" t="str">
        <x:v>New Product Approval - item 3</x:v>
      </x:c>
      <x:c r="C4" s="12" t="str">
        <x:v>MOF</x:v>
      </x:c>
      <x:c r="D4" s="12" t="str">
        <x:v>Report</x:v>
      </x:c>
      <x:c r="E4" s="12" t="str">
        <x:v>Bancassurance</x:v>
      </x:c>
      <x:c r="F4" s="14" t="n">
        <x:v>46179</x:v>
      </x:c>
      <x:c r="G4" s="14" t="n">
        <x:v>46209</x:v>
      </x:c>
      <x:c r="H4" s="14" t="str"/>
      <x:c r="I4" s="12" t="str">
        <x:v>In Review</x:v>
      </x:c>
      <x:c r="J4" s="12" t="n">
        <x:f>IF(H4="",TODAY()-F4,H4-F4)</x:f>
        <x:v>5</x:v>
      </x:c>
      <x:c r="K4" s="12" t="str">
        <x:v>Yes</x:v>
      </x:c>
      <x:c r="L4" s="12" t="str">
        <x:v>Low</x:v>
      </x:c>
      <x:c r="M4" s="12" t="str">
        <x:v>Follow-up / quality review</x:v>
      </x:c>
    </x:row>
    <x:row r="5">
      <x:c r="A5" s="12" t="str">
        <x:v>SUB-004</x:v>
      </x:c>
      <x:c r="B5" s="12" t="str">
        <x:v>Report - item 4</x:v>
      </x:c>
      <x:c r="C5" s="12" t="str">
        <x:v>IAV</x:v>
      </x:c>
      <x:c r="D5" s="12" t="str">
        <x:v>Report</x:v>
      </x:c>
      <x:c r="E5" s="12" t="str">
        <x:v>Product</x:v>
      </x:c>
      <x:c r="F5" s="14" t="n">
        <x:v>46120</x:v>
      </x:c>
      <x:c r="G5" s="14" t="n">
        <x:v>46137</x:v>
      </x:c>
      <x:c r="H5" s="14" t="n">
        <x:v>46134</x:v>
      </x:c>
      <x:c r="I5" s="12" t="str">
        <x:v>Approved</x:v>
      </x:c>
      <x:c r="J5" s="12" t="n">
        <x:f>IF(H5="",TODAY()-F5,H5-F5)</x:f>
        <x:v>14</x:v>
      </x:c>
      <x:c r="K5" s="12" t="str">
        <x:v>Partial</x:v>
      </x:c>
      <x:c r="L5" s="12" t="str">
        <x:v>Low</x:v>
      </x:c>
      <x:c r="M5" s="12" t="str">
        <x:v>Follow-up / quality review</x:v>
      </x:c>
    </x:row>
    <x:row r="6">
      <x:c r="A6" s="12" t="str">
        <x:v>SUB-005</x:v>
      </x:c>
      <x:c r="B6" s="12" t="str">
        <x:v>Agency Training - item 5</x:v>
      </x:c>
      <x:c r="C6" s="12" t="str">
        <x:v>MIC</x:v>
      </x:c>
      <x:c r="D6" s="12" t="str">
        <x:v>New Product Approval</x:v>
      </x:c>
      <x:c r="E6" s="12" t="str">
        <x:v>Product</x:v>
      </x:c>
      <x:c r="F6" s="14" t="n">
        <x:v>46115</x:v>
      </x:c>
      <x:c r="G6" s="14" t="n">
        <x:v>46128</x:v>
      </x:c>
      <x:c r="H6" s="14" t="n">
        <x:v>46125</x:v>
      </x:c>
      <x:c r="I6" s="12" t="str">
        <x:v>Approved</x:v>
      </x:c>
      <x:c r="J6" s="12" t="n">
        <x:f>IF(H6="",TODAY()-F6,H6-F6)</x:f>
        <x:v>10</x:v>
      </x:c>
      <x:c r="K6" s="12" t="str">
        <x:v>Yes</x:v>
      </x:c>
      <x:c r="L6" s="12" t="str">
        <x:v>Low</x:v>
      </x:c>
      <x:c r="M6" s="12" t="str">
        <x:v>Follow-up / quality review</x:v>
      </x:c>
    </x:row>
    <x:row r="7">
      <x:c r="A7" s="12" t="str">
        <x:v>SUB-006</x:v>
      </x:c>
      <x:c r="B7" s="12" t="str">
        <x:v>Report - item 6</x:v>
      </x:c>
      <x:c r="C7" s="12" t="str">
        <x:v>ISA</x:v>
      </x:c>
      <x:c r="D7" s="12" t="str">
        <x:v>Ad-hoc Response</x:v>
      </x:c>
      <x:c r="E7" s="12" t="str">
        <x:v>Operations</x:v>
      </x:c>
      <x:c r="F7" s="14" t="n">
        <x:v>46120</x:v>
      </x:c>
      <x:c r="G7" s="14" t="n">
        <x:v>46127</x:v>
      </x:c>
      <x:c r="H7" s="14" t="n">
        <x:v>46127</x:v>
      </x:c>
      <x:c r="I7" s="12" t="str">
        <x:v>Approved</x:v>
      </x:c>
      <x:c r="J7" s="12" t="n">
        <x:f>IF(H7="",TODAY()-F7,H7-F7)</x:f>
        <x:v>7</x:v>
      </x:c>
      <x:c r="K7" s="12" t="str">
        <x:v>Partial</x:v>
      </x:c>
      <x:c r="L7" s="12" t="str">
        <x:v>High</x:v>
      </x:c>
      <x:c r="M7" s="12" t="str">
        <x:v>Follow-up / quality review</x:v>
      </x:c>
    </x:row>
    <x:row r="8">
      <x:c r="A8" s="12" t="str">
        <x:v>SUB-007</x:v>
      </x:c>
      <x:c r="B8" s="12" t="str">
        <x:v>Agency Training - item 7</x:v>
      </x:c>
      <x:c r="C8" s="12" t="str">
        <x:v>IAV</x:v>
      </x:c>
      <x:c r="D8" s="12" t="str">
        <x:v>Agency Training</x:v>
      </x:c>
      <x:c r="E8" s="12" t="str">
        <x:v>Legal</x:v>
      </x:c>
      <x:c r="F8" s="14" t="n">
        <x:v>46134</x:v>
      </x:c>
      <x:c r="G8" s="14" t="n">
        <x:v>46151</x:v>
      </x:c>
      <x:c r="H8" s="14" t="n">
        <x:v>46148</x:v>
      </x:c>
      <x:c r="I8" s="12" t="str">
        <x:v>Submitted</x:v>
      </x:c>
      <x:c r="J8" s="12" t="n">
        <x:f>IF(H8="",TODAY()-F8,H8-F8)</x:f>
        <x:v>14</x:v>
      </x:c>
      <x:c r="K8" s="12" t="str">
        <x:v>Partial</x:v>
      </x:c>
      <x:c r="L8" s="12" t="str">
        <x:v>Low</x:v>
      </x:c>
      <x:c r="M8" s="12" t="str">
        <x:v>Follow-up / quality review</x:v>
      </x:c>
    </x:row>
    <x:row r="9">
      <x:c r="A9" s="12" t="str">
        <x:v>SUB-008</x:v>
      </x:c>
      <x:c r="B9" s="12" t="str">
        <x:v>Ad-hoc Response - item 8</x:v>
      </x:c>
      <x:c r="C9" s="12" t="str">
        <x:v>IAV</x:v>
      </x:c>
      <x:c r="D9" s="12" t="str">
        <x:v>Official Letter</x:v>
      </x:c>
      <x:c r="E9" s="12" t="str">
        <x:v>Agency</x:v>
      </x:c>
      <x:c r="F9" s="14" t="n">
        <x:v>46169</x:v>
      </x:c>
      <x:c r="G9" s="14" t="n">
        <x:v>46195</x:v>
      </x:c>
      <x:c r="H9" s="14" t="n">
        <x:v>46193</x:v>
      </x:c>
      <x:c r="I9" s="12" t="str">
        <x:v>Approved</x:v>
      </x:c>
      <x:c r="J9" s="12" t="n">
        <x:f>IF(H9="",TODAY()-F9,H9-F9)</x:f>
        <x:v>24</x:v>
      </x:c>
      <x:c r="K9" s="12" t="str">
        <x:v>No</x:v>
      </x:c>
      <x:c r="L9" s="12" t="str">
        <x:v>High</x:v>
      </x:c>
      <x:c r="M9" s="12" t="str">
        <x:v>Follow-up / quality review</x:v>
      </x:c>
    </x:row>
    <x:row r="10">
      <x:c r="A10" s="12" t="str">
        <x:v>SUB-009</x:v>
      </x:c>
      <x:c r="B10" s="12" t="str">
        <x:v>License/Transaction - item 9</x:v>
      </x:c>
      <x:c r="C10" s="12" t="str">
        <x:v>IAV</x:v>
      </x:c>
      <x:c r="D10" s="12" t="str">
        <x:v>Agency Training</x:v>
      </x:c>
      <x:c r="E10" s="12" t="str">
        <x:v>Finance</x:v>
      </x:c>
      <x:c r="F10" s="14" t="n">
        <x:v>46125</x:v>
      </x:c>
      <x:c r="G10" s="14" t="n">
        <x:v>46130</x:v>
      </x:c>
      <x:c r="H10" s="14" t="str"/>
      <x:c r="I10" s="12" t="str">
        <x:v>Overdue</x:v>
      </x:c>
      <x:c r="J10" s="12" t="n">
        <x:f>IF(H10="",TODAY()-F10,H10-F10)</x:f>
        <x:v>59</x:v>
      </x:c>
      <x:c r="K10" s="12" t="str">
        <x:v>Partial</x:v>
      </x:c>
      <x:c r="L10" s="12" t="str">
        <x:v>High</x:v>
      </x:c>
      <x:c r="M10" s="12" t="str">
        <x:v>Follow-up / quality review</x:v>
      </x:c>
    </x:row>
    <x:row r="11">
      <x:c r="A11" s="12" t="str">
        <x:v>SUB-010</x:v>
      </x:c>
      <x:c r="B11" s="12" t="str">
        <x:v>Report - item 10</x:v>
      </x:c>
      <x:c r="C11" s="12" t="str">
        <x:v>IAV</x:v>
      </x:c>
      <x:c r="D11" s="12" t="str">
        <x:v>Ad-hoc Response</x:v>
      </x:c>
      <x:c r="E11" s="12" t="str">
        <x:v>Finance</x:v>
      </x:c>
      <x:c r="F11" s="14" t="n">
        <x:v>46103</x:v>
      </x:c>
      <x:c r="G11" s="14" t="n">
        <x:v>46117</x:v>
      </x:c>
      <x:c r="H11" s="14" t="n">
        <x:v>46116</x:v>
      </x:c>
      <x:c r="I11" s="12" t="str">
        <x:v>Approved</x:v>
      </x:c>
      <x:c r="J11" s="12" t="n">
        <x:f>IF(H11="",TODAY()-F11,H11-F11)</x:f>
        <x:v>13</x:v>
      </x:c>
      <x:c r="K11" s="12" t="str">
        <x:v>Partial</x:v>
      </x:c>
      <x:c r="L11" s="12" t="str">
        <x:v>Low</x:v>
      </x:c>
      <x:c r="M11" s="12" t="str">
        <x:v>Follow-up / quality review</x:v>
      </x:c>
    </x:row>
    <x:row r="12">
      <x:c r="A12" s="12" t="str">
        <x:v>SUB-011</x:v>
      </x:c>
      <x:c r="B12" s="12" t="str">
        <x:v>Official Letter - item 11</x:v>
      </x:c>
      <x:c r="C12" s="12" t="str">
        <x:v>MOF</x:v>
      </x:c>
      <x:c r="D12" s="12" t="str">
        <x:v>New Product Approval</x:v>
      </x:c>
      <x:c r="E12" s="12" t="str">
        <x:v>Agency</x:v>
      </x:c>
      <x:c r="F12" s="14" t="n">
        <x:v>46183</x:v>
      </x:c>
      <x:c r="G12" s="14" t="n">
        <x:v>46207</x:v>
      </x:c>
      <x:c r="H12" s="14" t="str"/>
      <x:c r="I12" s="12" t="str">
        <x:v>In Review</x:v>
      </x:c>
      <x:c r="J12" s="12" t="n">
        <x:f>IF(H12="",TODAY()-F12,H12-F12)</x:f>
        <x:v>1</x:v>
      </x:c>
      <x:c r="K12" s="12" t="str">
        <x:v>Yes</x:v>
      </x:c>
      <x:c r="L12" s="12" t="str">
        <x:v>High</x:v>
      </x:c>
      <x:c r="M12" s="12" t="str">
        <x:v>Follow-up / quality review</x:v>
      </x:c>
    </x:row>
    <x:row r="13">
      <x:c r="A13" s="12" t="str">
        <x:v>SUB-012</x:v>
      </x:c>
      <x:c r="B13" s="12" t="str">
        <x:v>Official Letter - item 12</x:v>
      </x:c>
      <x:c r="C13" s="12" t="str">
        <x:v>MIC</x:v>
      </x:c>
      <x:c r="D13" s="12" t="str">
        <x:v>Ad-hoc Response</x:v>
      </x:c>
      <x:c r="E13" s="12" t="str">
        <x:v>Compliance</x:v>
      </x:c>
      <x:c r="F13" s="14" t="n">
        <x:v>46153</x:v>
      </x:c>
      <x:c r="G13" s="14" t="n">
        <x:v>46176</x:v>
      </x:c>
      <x:c r="H13" s="14" t="str"/>
      <x:c r="I13" s="12" t="str">
        <x:v>Overdue</x:v>
      </x:c>
      <x:c r="J13" s="12" t="n">
        <x:f>IF(H13="",TODAY()-F13,H13-F13)</x:f>
        <x:v>31</x:v>
      </x:c>
      <x:c r="K13" s="12" t="str">
        <x:v>Partial</x:v>
      </x:c>
      <x:c r="L13" s="12" t="str">
        <x:v>High</x:v>
      </x:c>
      <x:c r="M13" s="12" t="str">
        <x:v>Follow-up / quality review</x:v>
      </x:c>
    </x:row>
    <x:row r="14">
      <x:c r="A14" s="12" t="str">
        <x:v>SUB-013</x:v>
      </x:c>
      <x:c r="B14" s="12" t="str">
        <x:v>New Product Approval - item 13</x:v>
      </x:c>
      <x:c r="C14" s="12" t="str">
        <x:v>SBV</x:v>
      </x:c>
      <x:c r="D14" s="12" t="str">
        <x:v>Ad-hoc Response</x:v>
      </x:c>
      <x:c r="E14" s="12" t="str">
        <x:v>Operations</x:v>
      </x:c>
      <x:c r="F14" s="14" t="n">
        <x:v>46167</x:v>
      </x:c>
      <x:c r="G14" s="14" t="n">
        <x:v>46193</x:v>
      </x:c>
      <x:c r="H14" s="14" t="n">
        <x:v>46192</x:v>
      </x:c>
      <x:c r="I14" s="12" t="str">
        <x:v>Submitted</x:v>
      </x:c>
      <x:c r="J14" s="12" t="n">
        <x:f>IF(H14="",TODAY()-F14,H14-F14)</x:f>
        <x:v>25</x:v>
      </x:c>
      <x:c r="K14" s="12" t="str">
        <x:v>Yes</x:v>
      </x:c>
      <x:c r="L14" s="12" t="str">
        <x:v>Low</x:v>
      </x:c>
      <x:c r="M14" s="12" t="str">
        <x:v>Follow-up / quality review</x:v>
      </x:c>
    </x:row>
    <x:row r="15">
      <x:c r="A15" s="12" t="str">
        <x:v>SUB-014</x:v>
      </x:c>
      <x:c r="B15" s="12" t="str">
        <x:v>Capital Injection - item 14</x:v>
      </x:c>
      <x:c r="C15" s="12" t="str">
        <x:v>IAV</x:v>
      </x:c>
      <x:c r="D15" s="12" t="str">
        <x:v>Capital Injection</x:v>
      </x:c>
      <x:c r="E15" s="12" t="str">
        <x:v>CEO Office</x:v>
      </x:c>
      <x:c r="F15" s="14" t="n">
        <x:v>46087</x:v>
      </x:c>
      <x:c r="G15" s="14" t="n">
        <x:v>46115</x:v>
      </x:c>
      <x:c r="H15" s="14" t="n">
        <x:v>46113</x:v>
      </x:c>
      <x:c r="I15" s="12" t="str">
        <x:v>Approved</x:v>
      </x:c>
      <x:c r="J15" s="12" t="n">
        <x:f>IF(H15="",TODAY()-F15,H15-F15)</x:f>
        <x:v>26</x:v>
      </x:c>
      <x:c r="K15" s="12" t="str">
        <x:v>Yes</x:v>
      </x:c>
      <x:c r="L15" s="12" t="str">
        <x:v>High</x:v>
      </x:c>
      <x:c r="M15" s="12" t="str">
        <x:v>Follow-up / quality review</x:v>
      </x:c>
    </x:row>
    <x:row r="16">
      <x:c r="A16" s="12" t="str">
        <x:v>SUB-015</x:v>
      </x:c>
      <x:c r="B16" s="12" t="str">
        <x:v>Agency Training - item 15</x:v>
      </x:c>
      <x:c r="C16" s="12" t="str">
        <x:v>SBV</x:v>
      </x:c>
      <x:c r="D16" s="12" t="str">
        <x:v>Report</x:v>
      </x:c>
      <x:c r="E16" s="12" t="str">
        <x:v>Product</x:v>
      </x:c>
      <x:c r="F16" s="14" t="n">
        <x:v>46155</x:v>
      </x:c>
      <x:c r="G16" s="14" t="n">
        <x:v>46162</x:v>
      </x:c>
      <x:c r="H16" s="14" t="str"/>
      <x:c r="I16" s="12" t="str">
        <x:v>In Review</x:v>
      </x:c>
      <x:c r="J16" s="12" t="n">
        <x:f>IF(H16="",TODAY()-F16,H16-F16)</x:f>
        <x:v>29</x:v>
      </x:c>
      <x:c r="K16" s="12" t="str">
        <x:v>Yes</x:v>
      </x:c>
      <x:c r="L16" s="12" t="str">
        <x:v>High</x:v>
      </x:c>
      <x:c r="M16" s="12" t="str">
        <x:v>Follow-up / quality review</x:v>
      </x:c>
    </x:row>
    <x:row r="17">
      <x:c r="A17" s="12" t="str">
        <x:v>SUB-016</x:v>
      </x:c>
      <x:c r="B17" s="12" t="str">
        <x:v>Official Letter - item 16</x:v>
      </x:c>
      <x:c r="C17" s="12" t="str">
        <x:v>MOF</x:v>
      </x:c>
      <x:c r="D17" s="12" t="str">
        <x:v>Ad-hoc Response</x:v>
      </x:c>
      <x:c r="E17" s="12" t="str">
        <x:v>Bancassurance</x:v>
      </x:c>
      <x:c r="F17" s="14" t="n">
        <x:v>46093</x:v>
      </x:c>
      <x:c r="G17" s="14" t="n">
        <x:v>46118</x:v>
      </x:c>
      <x:c r="H17" s="14" t="str"/>
      <x:c r="I17" s="12" t="str">
        <x:v>Drafting</x:v>
      </x:c>
      <x:c r="J17" s="12" t="n">
        <x:f>IF(H17="",TODAY()-F17,H17-F17)</x:f>
        <x:v>91</x:v>
      </x:c>
      <x:c r="K17" s="12" t="str">
        <x:v>Yes</x:v>
      </x:c>
      <x:c r="L17" s="12" t="str">
        <x:v>Low</x:v>
      </x:c>
      <x:c r="M17" s="12" t="str">
        <x:v>Follow-up / quality review</x:v>
      </x:c>
    </x:row>
    <x:row r="18">
      <x:c r="A18" s="12" t="str">
        <x:v>SUB-017</x:v>
      </x:c>
      <x:c r="B18" s="12" t="str">
        <x:v>Agency Training - item 17</x:v>
      </x:c>
      <x:c r="C18" s="12" t="str">
        <x:v>ISA</x:v>
      </x:c>
      <x:c r="D18" s="12" t="str">
        <x:v>License/Transaction</x:v>
      </x:c>
      <x:c r="E18" s="12" t="str">
        <x:v>CEO Office</x:v>
      </x:c>
      <x:c r="F18" s="14" t="n">
        <x:v>46153</x:v>
      </x:c>
      <x:c r="G18" s="14" t="n">
        <x:v>46166</x:v>
      </x:c>
      <x:c r="H18" s="14" t="n">
        <x:v>46165</x:v>
      </x:c>
      <x:c r="I18" s="12" t="str">
        <x:v>Approved</x:v>
      </x:c>
      <x:c r="J18" s="12" t="n">
        <x:f>IF(H18="",TODAY()-F18,H18-F18)</x:f>
        <x:v>12</x:v>
      </x:c>
      <x:c r="K18" s="12" t="str">
        <x:v>Yes</x:v>
      </x:c>
      <x:c r="L18" s="12" t="str">
        <x:v>Medium</x:v>
      </x:c>
      <x:c r="M18" s="12" t="str">
        <x:v>Follow-up / quality review</x:v>
      </x:c>
    </x:row>
    <x:row r="19">
      <x:c r="A19" s="12" t="str">
        <x:v>SUB-018</x:v>
      </x:c>
      <x:c r="B19" s="12" t="str">
        <x:v>License/Transaction - item 18</x:v>
      </x:c>
      <x:c r="C19" s="12" t="str">
        <x:v>MIC</x:v>
      </x:c>
      <x:c r="D19" s="12" t="str">
        <x:v>New Product Approval</x:v>
      </x:c>
      <x:c r="E19" s="12" t="str">
        <x:v>Operations</x:v>
      </x:c>
      <x:c r="F19" s="14" t="n">
        <x:v>46131</x:v>
      </x:c>
      <x:c r="G19" s="14" t="n">
        <x:v>46142</x:v>
      </x:c>
      <x:c r="H19" s="14" t="str"/>
      <x:c r="I19" s="12" t="str">
        <x:v>Drafting</x:v>
      </x:c>
      <x:c r="J19" s="12" t="n">
        <x:f>IF(H19="",TODAY()-F19,H19-F19)</x:f>
        <x:v>53</x:v>
      </x:c>
      <x:c r="K19" s="12" t="str">
        <x:v>No</x:v>
      </x:c>
      <x:c r="L19" s="12" t="str">
        <x:v>Medium</x:v>
      </x:c>
      <x:c r="M19" s="12" t="str">
        <x:v>Follow-up / quality review</x:v>
      </x:c>
    </x:row>
    <x:row r="20">
      <x:c r="A20" s="12" t="str">
        <x:v>SUB-019</x:v>
      </x:c>
      <x:c r="B20" s="12" t="str">
        <x:v>Official Letter - item 19</x:v>
      </x:c>
      <x:c r="C20" s="12" t="str">
        <x:v>MIC</x:v>
      </x:c>
      <x:c r="D20" s="12" t="str">
        <x:v>License/Transaction</x:v>
      </x:c>
      <x:c r="E20" s="12" t="str">
        <x:v>Bancassurance</x:v>
      </x:c>
      <x:c r="F20" s="14" t="n">
        <x:v>46090</x:v>
      </x:c>
      <x:c r="G20" s="14" t="n">
        <x:v>46096</x:v>
      </x:c>
      <x:c r="H20" s="14" t="n">
        <x:v>46096</x:v>
      </x:c>
      <x:c r="I20" s="12" t="str">
        <x:v>Approved</x:v>
      </x:c>
      <x:c r="J20" s="12" t="n">
        <x:f>IF(H20="",TODAY()-F20,H20-F20)</x:f>
        <x:v>6</x:v>
      </x:c>
      <x:c r="K20" s="12" t="str">
        <x:v>Yes</x:v>
      </x:c>
      <x:c r="L20" s="12" t="str">
        <x:v>High</x:v>
      </x:c>
      <x:c r="M20" s="12" t="str">
        <x:v>Follow-up / quality review</x:v>
      </x:c>
    </x:row>
    <x:row r="21">
      <x:c r="A21" s="12" t="str">
        <x:v>SUB-020</x:v>
      </x:c>
      <x:c r="B21" s="12" t="str">
        <x:v>Capital Injection - item 20</x:v>
      </x:c>
      <x:c r="C21" s="12" t="str">
        <x:v>ISA</x:v>
      </x:c>
      <x:c r="D21" s="12" t="str">
        <x:v>New Product Approval</x:v>
      </x:c>
      <x:c r="E21" s="12" t="str">
        <x:v>CEO Office</x:v>
      </x:c>
      <x:c r="F21" s="14" t="n">
        <x:v>46159</x:v>
      </x:c>
      <x:c r="G21" s="14" t="n">
        <x:v>46170</x:v>
      </x:c>
      <x:c r="H21" s="14" t="n">
        <x:v>46169</x:v>
      </x:c>
      <x:c r="I21" s="12" t="str">
        <x:v>Submitted</x:v>
      </x:c>
      <x:c r="J21" s="12" t="n">
        <x:f>IF(H21="",TODAY()-F21,H21-F21)</x:f>
        <x:v>10</x:v>
      </x:c>
      <x:c r="K21" s="12" t="str">
        <x:v>Yes</x:v>
      </x:c>
      <x:c r="L21" s="12" t="str">
        <x:v>High</x:v>
      </x:c>
      <x:c r="M21" s="12" t="str">
        <x:v>Follow-up / quality review</x:v>
      </x:c>
    </x:row>
    <x:row r="22">
      <x:c r="A22" s="12" t="str">
        <x:v>SUB-021</x:v>
      </x:c>
      <x:c r="B22" s="12" t="str">
        <x:v>Official Letter - item 21</x:v>
      </x:c>
      <x:c r="C22" s="12" t="str">
        <x:v>SBV</x:v>
      </x:c>
      <x:c r="D22" s="12" t="str">
        <x:v>Ad-hoc Response</x:v>
      </x:c>
      <x:c r="E22" s="12" t="str">
        <x:v>Legal</x:v>
      </x:c>
      <x:c r="F22" s="14" t="n">
        <x:v>46127</x:v>
      </x:c>
      <x:c r="G22" s="14" t="n">
        <x:v>46157</x:v>
      </x:c>
      <x:c r="H22" s="14" t="n">
        <x:v>46157</x:v>
      </x:c>
      <x:c r="I22" s="12" t="str">
        <x:v>Approved</x:v>
      </x:c>
      <x:c r="J22" s="12" t="n">
        <x:f>IF(H22="",TODAY()-F22,H22-F22)</x:f>
        <x:v>30</x:v>
      </x:c>
      <x:c r="K22" s="12" t="str">
        <x:v>Yes</x:v>
      </x:c>
      <x:c r="L22" s="12" t="str">
        <x:v>High</x:v>
      </x:c>
      <x:c r="M22" s="12" t="str">
        <x:v>Follow-up / quality review</x:v>
      </x:c>
    </x:row>
    <x:row r="23">
      <x:c r="A23" s="12" t="str">
        <x:v>SUB-022</x:v>
      </x:c>
      <x:c r="B23" s="12" t="str">
        <x:v>Ad-hoc Response - item 22</x:v>
      </x:c>
      <x:c r="C23" s="12" t="str">
        <x:v>MIC</x:v>
      </x:c>
      <x:c r="D23" s="12" t="str">
        <x:v>Official Letter</x:v>
      </x:c>
      <x:c r="E23" s="12" t="str">
        <x:v>Finance</x:v>
      </x:c>
      <x:c r="F23" s="14" t="n">
        <x:v>46162</x:v>
      </x:c>
      <x:c r="G23" s="14" t="n">
        <x:v>46180</x:v>
      </x:c>
      <x:c r="H23" s="14" t="n">
        <x:v>46179</x:v>
      </x:c>
      <x:c r="I23" s="12" t="str">
        <x:v>Submitted</x:v>
      </x:c>
      <x:c r="J23" s="12" t="n">
        <x:f>IF(H23="",TODAY()-F23,H23-F23)</x:f>
        <x:v>17</x:v>
      </x:c>
      <x:c r="K23" s="12" t="str">
        <x:v>No</x:v>
      </x:c>
      <x:c r="L23" s="12" t="str">
        <x:v>High</x:v>
      </x:c>
      <x:c r="M23" s="12" t="str">
        <x:v>Follow-up / quality review</x:v>
      </x:c>
    </x:row>
    <x:row r="24">
      <x:c r="A24" s="12" t="str">
        <x:v>SUB-023</x:v>
      </x:c>
      <x:c r="B24" s="12" t="str">
        <x:v>Ad-hoc Response - item 23</x:v>
      </x:c>
      <x:c r="C24" s="12" t="str">
        <x:v>MIC</x:v>
      </x:c>
      <x:c r="D24" s="12" t="str">
        <x:v>New Product Approval</x:v>
      </x:c>
      <x:c r="E24" s="12" t="str">
        <x:v>Operations</x:v>
      </x:c>
      <x:c r="F24" s="14" t="n">
        <x:v>46134</x:v>
      </x:c>
      <x:c r="G24" s="14" t="n">
        <x:v>46147</x:v>
      </x:c>
      <x:c r="H24" s="14" t="str"/>
      <x:c r="I24" s="12" t="str">
        <x:v>Overdue</x:v>
      </x:c>
      <x:c r="J24" s="12" t="n">
        <x:f>IF(H24="",TODAY()-F24,H24-F24)</x:f>
        <x:v>50</x:v>
      </x:c>
      <x:c r="K24" s="12" t="str">
        <x:v>Partial</x:v>
      </x:c>
      <x:c r="L24" s="12" t="str">
        <x:v>Low</x:v>
      </x:c>
      <x:c r="M24" s="12" t="str">
        <x:v>Follow-up / quality review</x:v>
      </x:c>
    </x:row>
    <x:row r="25">
      <x:c r="A25" s="12" t="str">
        <x:v>SUB-024</x:v>
      </x:c>
      <x:c r="B25" s="12" t="str">
        <x:v>Report - item 24</x:v>
      </x:c>
      <x:c r="C25" s="12" t="str">
        <x:v>IAV</x:v>
      </x:c>
      <x:c r="D25" s="12" t="str">
        <x:v>Report</x:v>
      </x:c>
      <x:c r="E25" s="12" t="str">
        <x:v>Legal</x:v>
      </x:c>
      <x:c r="F25" s="14" t="n">
        <x:v>46112</x:v>
      </x:c>
      <x:c r="G25" s="14" t="n">
        <x:v>46138</x:v>
      </x:c>
      <x:c r="H25" s="14" t="n">
        <x:v>46137</x:v>
      </x:c>
      <x:c r="I25" s="12" t="str">
        <x:v>Approved</x:v>
      </x:c>
      <x:c r="J25" s="12" t="n">
        <x:f>IF(H25="",TODAY()-F25,H25-F25)</x:f>
        <x:v>25</x:v>
      </x:c>
      <x:c r="K25" s="12" t="str">
        <x:v>Partial</x:v>
      </x:c>
      <x:c r="L25" s="12" t="str">
        <x:v>Low</x:v>
      </x:c>
      <x:c r="M25" s="12" t="str">
        <x:v>Follow-up / quality review</x:v>
      </x:c>
    </x:row>
    <x:row r="26">
      <x:c r="A26" s="12" t="str">
        <x:v>SUB-025</x:v>
      </x:c>
      <x:c r="B26" s="12" t="str">
        <x:v>Official Letter - item 25</x:v>
      </x:c>
      <x:c r="C26" s="12" t="str">
        <x:v>SBV</x:v>
      </x:c>
      <x:c r="D26" s="12" t="str">
        <x:v>Capital Injection</x:v>
      </x:c>
      <x:c r="E26" s="12" t="str">
        <x:v>Finance</x:v>
      </x:c>
      <x:c r="F26" s="14" t="n">
        <x:v>46114</x:v>
      </x:c>
      <x:c r="G26" s="14" t="n">
        <x:v>46120</x:v>
      </x:c>
      <x:c r="H26" s="14" t="n">
        <x:v>46120</x:v>
      </x:c>
      <x:c r="I26" s="12" t="str">
        <x:v>Approved</x:v>
      </x:c>
      <x:c r="J26" s="12" t="n">
        <x:f>IF(H26="",TODAY()-F26,H26-F26)</x:f>
        <x:v>6</x:v>
      </x:c>
      <x:c r="K26" s="12" t="str">
        <x:v>Yes</x:v>
      </x:c>
      <x:c r="L26" s="12" t="str">
        <x:v>Low</x:v>
      </x:c>
      <x:c r="M26" s="12" t="str">
        <x:v>Follow-up / quality review</x:v>
      </x:c>
    </x:row>
    <x:row r="27">
      <x:c r="A27" s="12" t="str">
        <x:v>SUB-026</x:v>
      </x:c>
      <x:c r="B27" s="12" t="str">
        <x:v>Official Letter - item 26</x:v>
      </x:c>
      <x:c r="C27" s="12" t="str">
        <x:v>ISA</x:v>
      </x:c>
      <x:c r="D27" s="12" t="str">
        <x:v>Capital Injection</x:v>
      </x:c>
      <x:c r="E27" s="12" t="str">
        <x:v>Compliance</x:v>
      </x:c>
      <x:c r="F27" s="14" t="n">
        <x:v>46173</x:v>
      </x:c>
      <x:c r="G27" s="14" t="n">
        <x:v>46183</x:v>
      </x:c>
      <x:c r="H27" s="14" t="str"/>
      <x:c r="I27" s="12" t="str">
        <x:v>Drafting</x:v>
      </x:c>
      <x:c r="J27" s="12" t="n">
        <x:f>IF(H27="",TODAY()-F27,H27-F27)</x:f>
        <x:v>11</x:v>
      </x:c>
      <x:c r="K27" s="12" t="str">
        <x:v>Partial</x:v>
      </x:c>
      <x:c r="L27" s="12" t="str">
        <x:v>High</x:v>
      </x:c>
      <x:c r="M27" s="12" t="str">
        <x:v>Follow-up / quality review</x:v>
      </x:c>
    </x:row>
    <x:row r="28">
      <x:c r="A28" s="12" t="str">
        <x:v>SUB-027</x:v>
      </x:c>
      <x:c r="B28" s="12" t="str">
        <x:v>Official Letter - item 27</x:v>
      </x:c>
      <x:c r="C28" s="12" t="str">
        <x:v>MIC</x:v>
      </x:c>
      <x:c r="D28" s="12" t="str">
        <x:v>License/Transaction</x:v>
      </x:c>
      <x:c r="E28" s="12" t="str">
        <x:v>Bancassurance</x:v>
      </x:c>
      <x:c r="F28" s="14" t="n">
        <x:v>46109</x:v>
      </x:c>
      <x:c r="G28" s="14" t="n">
        <x:v>46133</x:v>
      </x:c>
      <x:c r="H28" s="14" t="str"/>
      <x:c r="I28" s="12" t="str">
        <x:v>Drafting</x:v>
      </x:c>
      <x:c r="J28" s="12" t="n">
        <x:f>IF(H28="",TODAY()-F28,H28-F28)</x:f>
        <x:v>75</x:v>
      </x:c>
      <x:c r="K28" s="12" t="str">
        <x:v>No</x:v>
      </x:c>
      <x:c r="L28" s="12" t="str">
        <x:v>High</x:v>
      </x:c>
      <x:c r="M28" s="12" t="str">
        <x:v>Follow-up / quality review</x:v>
      </x:c>
    </x:row>
    <x:row r="29">
      <x:c r="A29" s="12" t="str">
        <x:v>SUB-028</x:v>
      </x:c>
      <x:c r="B29" s="12" t="str">
        <x:v>New Product Approval - item 28</x:v>
      </x:c>
      <x:c r="C29" s="12" t="str">
        <x:v>MIC</x:v>
      </x:c>
      <x:c r="D29" s="12" t="str">
        <x:v>Report</x:v>
      </x:c>
      <x:c r="E29" s="12" t="str">
        <x:v>Agency</x:v>
      </x:c>
      <x:c r="F29" s="14" t="n">
        <x:v>46098</x:v>
      </x:c>
      <x:c r="G29" s="14" t="n">
        <x:v>46125</x:v>
      </x:c>
      <x:c r="H29" s="14" t="str"/>
      <x:c r="I29" s="12" t="str">
        <x:v>In Review</x:v>
      </x:c>
      <x:c r="J29" s="12" t="n">
        <x:f>IF(H29="",TODAY()-F29,H29-F29)</x:f>
        <x:v>86</x:v>
      </x:c>
      <x:c r="K29" s="12" t="str">
        <x:v>No</x:v>
      </x:c>
      <x:c r="L29" s="12" t="str">
        <x:v>Medium</x:v>
      </x:c>
      <x:c r="M29" s="12" t="str">
        <x:v>Follow-up / quality review</x:v>
      </x:c>
    </x:row>
    <x:row r="30">
      <x:c r="A30" s="12" t="str">
        <x:v>SUB-029</x:v>
      </x:c>
      <x:c r="B30" s="12" t="str">
        <x:v>Agency Training - item 29</x:v>
      </x:c>
      <x:c r="C30" s="12" t="str">
        <x:v>SBV</x:v>
      </x:c>
      <x:c r="D30" s="12" t="str">
        <x:v>Official Letter</x:v>
      </x:c>
      <x:c r="E30" s="12" t="str">
        <x:v>Compliance</x:v>
      </x:c>
      <x:c r="F30" s="14" t="n">
        <x:v>46087</x:v>
      </x:c>
      <x:c r="G30" s="14" t="n">
        <x:v>46094</x:v>
      </x:c>
      <x:c r="H30" s="14" t="str"/>
      <x:c r="I30" s="12" t="str">
        <x:v>Drafting</x:v>
      </x:c>
      <x:c r="J30" s="12" t="n">
        <x:f>IF(H30="",TODAY()-F30,H30-F30)</x:f>
        <x:v>97</x:v>
      </x:c>
      <x:c r="K30" s="12" t="str">
        <x:v>Partial</x:v>
      </x:c>
      <x:c r="L30" s="12" t="str">
        <x:v>High</x:v>
      </x:c>
      <x:c r="M30" s="12" t="str">
        <x:v>Follow-up / quality review</x:v>
      </x:c>
    </x:row>
    <x:row r="31">
      <x:c r="A31" s="12" t="str">
        <x:v>SUB-030</x:v>
      </x:c>
      <x:c r="B31" s="12" t="str">
        <x:v>New Product Approval - item 30</x:v>
      </x:c>
      <x:c r="C31" s="12" t="str">
        <x:v>MOF</x:v>
      </x:c>
      <x:c r="D31" s="12" t="str">
        <x:v>Report</x:v>
      </x:c>
      <x:c r="E31" s="12" t="str">
        <x:v>Bancassurance</x:v>
      </x:c>
      <x:c r="F31" s="14" t="n">
        <x:v>46119</x:v>
      </x:c>
      <x:c r="G31" s="14" t="n">
        <x:v>46132</x:v>
      </x:c>
      <x:c r="H31" s="14" t="str"/>
      <x:c r="I31" s="12" t="str">
        <x:v>Waiting Internal Input</x:v>
      </x:c>
      <x:c r="J31" s="12" t="n">
        <x:f>IF(H31="",TODAY()-F31,H31-F31)</x:f>
        <x:v>65</x:v>
      </x:c>
      <x:c r="K31" s="12" t="str">
        <x:v>No</x:v>
      </x:c>
      <x:c r="L31" s="12" t="str">
        <x:v>High</x:v>
      </x:c>
      <x:c r="M31" s="12" t="str">
        <x:v>Follow-up / quality review</x:v>
      </x:c>
    </x:row>
    <x:row r="32">
      <x:c r="A32" s="12" t="str">
        <x:v>SUB-031</x:v>
      </x:c>
      <x:c r="B32" s="12" t="str">
        <x:v>License/Transaction - item 31</x:v>
      </x:c>
      <x:c r="C32" s="12" t="str">
        <x:v>SBV</x:v>
      </x:c>
      <x:c r="D32" s="12" t="str">
        <x:v>New Product Approval</x:v>
      </x:c>
      <x:c r="E32" s="12" t="str">
        <x:v>Compliance</x:v>
      </x:c>
      <x:c r="F32" s="14" t="n">
        <x:v>46127</x:v>
      </x:c>
      <x:c r="G32" s="14" t="n">
        <x:v>46149</x:v>
      </x:c>
      <x:c r="H32" s="14" t="n">
        <x:v>46149</x:v>
      </x:c>
      <x:c r="I32" s="12" t="str">
        <x:v>Approved</x:v>
      </x:c>
      <x:c r="J32" s="12" t="n">
        <x:f>IF(H32="",TODAY()-F32,H32-F32)</x:f>
        <x:v>22</x:v>
      </x:c>
      <x:c r="K32" s="12" t="str">
        <x:v>Yes</x:v>
      </x:c>
      <x:c r="L32" s="12" t="str">
        <x:v>Medium</x:v>
      </x:c>
      <x:c r="M32" s="12" t="str">
        <x:v>Follow-up / quality review</x:v>
      </x:c>
    </x:row>
    <x:row r="33">
      <x:c r="A33" s="12" t="str">
        <x:v>SUB-032</x:v>
      </x:c>
      <x:c r="B33" s="12" t="str">
        <x:v>New Product Approval - item 32</x:v>
      </x:c>
      <x:c r="C33" s="12" t="str">
        <x:v>IAV</x:v>
      </x:c>
      <x:c r="D33" s="12" t="str">
        <x:v>Agency Training</x:v>
      </x:c>
      <x:c r="E33" s="12" t="str">
        <x:v>Product</x:v>
      </x:c>
      <x:c r="F33" s="14" t="n">
        <x:v>46169</x:v>
      </x:c>
      <x:c r="G33" s="14" t="n">
        <x:v>46177</x:v>
      </x:c>
      <x:c r="H33" s="14" t="n">
        <x:v>46176</x:v>
      </x:c>
      <x:c r="I33" s="12" t="str">
        <x:v>Approved</x:v>
      </x:c>
      <x:c r="J33" s="12" t="n">
        <x:f>IF(H33="",TODAY()-F33,H33-F33)</x:f>
        <x:v>7</x:v>
      </x:c>
      <x:c r="K33" s="12" t="str">
        <x:v>Partial</x:v>
      </x:c>
      <x:c r="L33" s="12" t="str">
        <x:v>Medium</x:v>
      </x:c>
      <x:c r="M33" s="12" t="str">
        <x:v>Follow-up / quality review</x:v>
      </x:c>
    </x:row>
    <x:row r="34">
      <x:c r="A34" s="12" t="str">
        <x:v>SUB-033</x:v>
      </x:c>
      <x:c r="B34" s="12" t="str">
        <x:v>Agency Training - item 33</x:v>
      </x:c>
      <x:c r="C34" s="12" t="str">
        <x:v>MIC</x:v>
      </x:c>
      <x:c r="D34" s="12" t="str">
        <x:v>New Product Approval</x:v>
      </x:c>
      <x:c r="E34" s="12" t="str">
        <x:v>Legal</x:v>
      </x:c>
      <x:c r="F34" s="14" t="n">
        <x:v>46157</x:v>
      </x:c>
      <x:c r="G34" s="14" t="n">
        <x:v>46183</x:v>
      </x:c>
      <x:c r="H34" s="14" t="n">
        <x:v>46181</x:v>
      </x:c>
      <x:c r="I34" s="12" t="str">
        <x:v>Submitted</x:v>
      </x:c>
      <x:c r="J34" s="12" t="n">
        <x:f>IF(H34="",TODAY()-F34,H34-F34)</x:f>
        <x:v>24</x:v>
      </x:c>
      <x:c r="K34" s="12" t="str">
        <x:v>Yes</x:v>
      </x:c>
      <x:c r="L34" s="12" t="str">
        <x:v>Low</x:v>
      </x:c>
      <x:c r="M34" s="12" t="str">
        <x:v>Follow-up / quality review</x:v>
      </x:c>
    </x:row>
    <x:row r="35">
      <x:c r="A35" s="12" t="str">
        <x:v>SUB-034</x:v>
      </x:c>
      <x:c r="B35" s="12" t="str">
        <x:v>New Product Approval - item 34</x:v>
      </x:c>
      <x:c r="C35" s="12" t="str">
        <x:v>ISA</x:v>
      </x:c>
      <x:c r="D35" s="12" t="str">
        <x:v>License/Transaction</x:v>
      </x:c>
      <x:c r="E35" s="12" t="str">
        <x:v>Agency</x:v>
      </x:c>
      <x:c r="F35" s="14" t="n">
        <x:v>46129</x:v>
      </x:c>
      <x:c r="G35" s="14" t="n">
        <x:v>46142</x:v>
      </x:c>
      <x:c r="H35" s="14" t="str"/>
      <x:c r="I35" s="12" t="str">
        <x:v>Drafting</x:v>
      </x:c>
      <x:c r="J35" s="12" t="n">
        <x:f>IF(H35="",TODAY()-F35,H35-F35)</x:f>
        <x:v>55</x:v>
      </x:c>
      <x:c r="K35" s="12" t="str">
        <x:v>Yes</x:v>
      </x:c>
      <x:c r="L35" s="12" t="str">
        <x:v>Low</x:v>
      </x:c>
      <x:c r="M35" s="12" t="str">
        <x:v>Follow-up / quality review</x:v>
      </x:c>
    </x:row>
    <x:row r="36">
      <x:c r="A36" s="12" t="str">
        <x:v>SUB-035</x:v>
      </x:c>
      <x:c r="B36" s="12" t="str">
        <x:v>Official Letter - item 35</x:v>
      </x:c>
      <x:c r="C36" s="12" t="str">
        <x:v>MOF</x:v>
      </x:c>
      <x:c r="D36" s="12" t="str">
        <x:v>License/Transaction</x:v>
      </x:c>
      <x:c r="E36" s="12" t="str">
        <x:v>Finance</x:v>
      </x:c>
      <x:c r="F36" s="14" t="n">
        <x:v>46127</x:v>
      </x:c>
      <x:c r="G36" s="14" t="n">
        <x:v>46149</x:v>
      </x:c>
      <x:c r="H36" s="14" t="n">
        <x:v>46149</x:v>
      </x:c>
      <x:c r="I36" s="12" t="str">
        <x:v>Approved</x:v>
      </x:c>
      <x:c r="J36" s="12" t="n">
        <x:f>IF(H36="",TODAY()-F36,H36-F36)</x:f>
        <x:v>22</x:v>
      </x:c>
      <x:c r="K36" s="12" t="str">
        <x:v>Partial</x:v>
      </x:c>
      <x:c r="L36" s="12" t="str">
        <x:v>High</x:v>
      </x:c>
      <x:c r="M36" s="12" t="str">
        <x:v>Follow-up / quality review</x:v>
      </x:c>
    </x:row>
    <x:row r="37">
      <x:c r="A37" s="12" t="str">
        <x:v>SUB-036</x:v>
      </x:c>
      <x:c r="B37" s="12" t="str">
        <x:v>Report - item 36</x:v>
      </x:c>
      <x:c r="C37" s="12" t="str">
        <x:v>MOF</x:v>
      </x:c>
      <x:c r="D37" s="12" t="str">
        <x:v>New Product Approval</x:v>
      </x:c>
      <x:c r="E37" s="12" t="str">
        <x:v>Bancassurance</x:v>
      </x:c>
      <x:c r="F37" s="14" t="n">
        <x:v>46136</x:v>
      </x:c>
      <x:c r="G37" s="14" t="n">
        <x:v>46159</x:v>
      </x:c>
      <x:c r="H37" s="14" t="n">
        <x:v>46156</x:v>
      </x:c>
      <x:c r="I37" s="12" t="str">
        <x:v>Submitted</x:v>
      </x:c>
      <x:c r="J37" s="12" t="n">
        <x:f>IF(H37="",TODAY()-F37,H37-F37)</x:f>
        <x:v>20</x:v>
      </x:c>
      <x:c r="K37" s="12" t="str">
        <x:v>Yes</x:v>
      </x:c>
      <x:c r="L37" s="12" t="str">
        <x:v>Medium</x:v>
      </x:c>
      <x:c r="M37" s="12" t="str">
        <x:v>Follow-up / quality review</x:v>
      </x:c>
    </x:row>
    <x:row r="38">
      <x:c r="A38" s="12" t="str">
        <x:v>SUB-037</x:v>
      </x:c>
      <x:c r="B38" s="12" t="str">
        <x:v>Official Letter - item 37</x:v>
      </x:c>
      <x:c r="C38" s="12" t="str">
        <x:v>IAV</x:v>
      </x:c>
      <x:c r="D38" s="12" t="str">
        <x:v>Ad-hoc Response</x:v>
      </x:c>
      <x:c r="E38" s="12" t="str">
        <x:v>Operations</x:v>
      </x:c>
      <x:c r="F38" s="14" t="n">
        <x:v>46157</x:v>
      </x:c>
      <x:c r="G38" s="14" t="n">
        <x:v>46183</x:v>
      </x:c>
      <x:c r="H38" s="14" t="str"/>
      <x:c r="I38" s="12" t="str">
        <x:v>In Review</x:v>
      </x:c>
      <x:c r="J38" s="12" t="n">
        <x:f>IF(H38="",TODAY()-F38,H38-F38)</x:f>
        <x:v>27</x:v>
      </x:c>
      <x:c r="K38" s="12" t="str">
        <x:v>Partial</x:v>
      </x:c>
      <x:c r="L38" s="12" t="str">
        <x:v>Low</x:v>
      </x:c>
      <x:c r="M38" s="12" t="str">
        <x:v>Follow-up / quality review</x:v>
      </x:c>
    </x:row>
    <x:row r="39">
      <x:c r="A39" s="12" t="str">
        <x:v>SUB-038</x:v>
      </x:c>
      <x:c r="B39" s="12" t="str">
        <x:v>Capital Injection - item 38</x:v>
      </x:c>
      <x:c r="C39" s="12" t="str">
        <x:v>MOF</x:v>
      </x:c>
      <x:c r="D39" s="12" t="str">
        <x:v>Report</x:v>
      </x:c>
      <x:c r="E39" s="12" t="str">
        <x:v>Bancassurance</x:v>
      </x:c>
      <x:c r="F39" s="14" t="n">
        <x:v>46164</x:v>
      </x:c>
      <x:c r="G39" s="14" t="n">
        <x:v>46176</x:v>
      </x:c>
      <x:c r="H39" s="14" t="n">
        <x:v>46175</x:v>
      </x:c>
      <x:c r="I39" s="12" t="str">
        <x:v>Approved</x:v>
      </x:c>
      <x:c r="J39" s="12" t="n">
        <x:f>IF(H39="",TODAY()-F39,H39-F39)</x:f>
        <x:v>11</x:v>
      </x:c>
      <x:c r="K39" s="12" t="str">
        <x:v>No</x:v>
      </x:c>
      <x:c r="L39" s="12" t="str">
        <x:v>Low</x:v>
      </x:c>
      <x:c r="M39" s="12" t="str">
        <x:v>Follow-up / quality review</x:v>
      </x:c>
    </x:row>
    <x:row r="40">
      <x:c r="A40" s="12" t="str">
        <x:v>SUB-039</x:v>
      </x:c>
      <x:c r="B40" s="12" t="str">
        <x:v>Report - item 39</x:v>
      </x:c>
      <x:c r="C40" s="12" t="str">
        <x:v>MOF</x:v>
      </x:c>
      <x:c r="D40" s="12" t="str">
        <x:v>Capital Injection</x:v>
      </x:c>
      <x:c r="E40" s="12" t="str">
        <x:v>Legal</x:v>
      </x:c>
      <x:c r="F40" s="14" t="n">
        <x:v>46089</x:v>
      </x:c>
      <x:c r="G40" s="14" t="n">
        <x:v>46119</x:v>
      </x:c>
      <x:c r="H40" s="14" t="str"/>
      <x:c r="I40" s="12" t="str">
        <x:v>In Review</x:v>
      </x:c>
      <x:c r="J40" s="12" t="n">
        <x:f>IF(H40="",TODAY()-F40,H40-F40)</x:f>
        <x:v>95</x:v>
      </x:c>
      <x:c r="K40" s="12" t="str">
        <x:v>No</x:v>
      </x:c>
      <x:c r="L40" s="12" t="str">
        <x:v>High</x:v>
      </x:c>
      <x:c r="M40" s="12" t="str">
        <x:v>Follow-up / quality review</x:v>
      </x:c>
    </x:row>
    <x:row r="41">
      <x:c r="A41" s="12" t="str">
        <x:v>SUB-040</x:v>
      </x:c>
      <x:c r="B41" s="12" t="str">
        <x:v>Ad-hoc Response - item 40</x:v>
      </x:c>
      <x:c r="C41" s="12" t="str">
        <x:v>ISA</x:v>
      </x:c>
      <x:c r="D41" s="12" t="str">
        <x:v>Report</x:v>
      </x:c>
      <x:c r="E41" s="12" t="str">
        <x:v>Legal</x:v>
      </x:c>
      <x:c r="F41" s="14" t="n">
        <x:v>46158</x:v>
      </x:c>
      <x:c r="G41" s="14" t="n">
        <x:v>46177</x:v>
      </x:c>
      <x:c r="H41" s="14" t="str"/>
      <x:c r="I41" s="12" t="str">
        <x:v>In Review</x:v>
      </x:c>
      <x:c r="J41" s="12" t="n">
        <x:f>IF(H41="",TODAY()-F41,H41-F41)</x:f>
        <x:v>26</x:v>
      </x:c>
      <x:c r="K41" s="12" t="str">
        <x:v>Partial</x:v>
      </x:c>
      <x:c r="L41" s="12" t="str">
        <x:v>High</x:v>
      </x:c>
      <x:c r="M41" s="12" t="str">
        <x:v>Follow-up / quality review</x:v>
      </x:c>
    </x:row>
    <x:row r="42">
      <x:c r="A42" s="12" t="str">
        <x:v>SUB-041</x:v>
      </x:c>
      <x:c r="B42" s="12" t="str">
        <x:v>Official Letter - item 41</x:v>
      </x:c>
      <x:c r="C42" s="12" t="str">
        <x:v>IAV</x:v>
      </x:c>
      <x:c r="D42" s="12" t="str">
        <x:v>New Product Approval</x:v>
      </x:c>
      <x:c r="E42" s="12" t="str">
        <x:v>Operations</x:v>
      </x:c>
      <x:c r="F42" s="14" t="n">
        <x:v>46132</x:v>
      </x:c>
      <x:c r="G42" s="14" t="n">
        <x:v>46147</x:v>
      </x:c>
      <x:c r="H42" s="14" t="str"/>
      <x:c r="I42" s="12" t="str">
        <x:v>In Review</x:v>
      </x:c>
      <x:c r="J42" s="12" t="n">
        <x:f>IF(H42="",TODAY()-F42,H42-F42)</x:f>
        <x:v>52</x:v>
      </x:c>
      <x:c r="K42" s="12" t="str">
        <x:v>Partial</x:v>
      </x:c>
      <x:c r="L42" s="12" t="str">
        <x:v>Low</x:v>
      </x:c>
      <x:c r="M42" s="12" t="str">
        <x:v>Follow-up / quality review</x:v>
      </x:c>
    </x:row>
    <x:row r="43">
      <x:c r="A43" s="12" t="str">
        <x:v>SUB-042</x:v>
      </x:c>
      <x:c r="B43" s="12" t="str">
        <x:v>New Product Approval - item 42</x:v>
      </x:c>
      <x:c r="C43" s="12" t="str">
        <x:v>ISA</x:v>
      </x:c>
      <x:c r="D43" s="12" t="str">
        <x:v>Agency Training</x:v>
      </x:c>
      <x:c r="E43" s="12" t="str">
        <x:v>Agency</x:v>
      </x:c>
      <x:c r="F43" s="14" t="n">
        <x:v>46141</x:v>
      </x:c>
      <x:c r="G43" s="14" t="n">
        <x:v>46146</x:v>
      </x:c>
      <x:c r="H43" s="14" t="str"/>
      <x:c r="I43" s="12" t="str">
        <x:v>Drafting</x:v>
      </x:c>
      <x:c r="J43" s="12" t="n">
        <x:f>IF(H43="",TODAY()-F43,H43-F43)</x:f>
        <x:v>43</x:v>
      </x:c>
      <x:c r="K43" s="12" t="str">
        <x:v>Yes</x:v>
      </x:c>
      <x:c r="L43" s="12" t="str">
        <x:v>High</x:v>
      </x:c>
      <x:c r="M43" s="12" t="str">
        <x:v>Follow-up / quality review</x:v>
      </x:c>
    </x:row>
    <x:row r="44">
      <x:c r="A44" s="12" t="str">
        <x:v>SUB-043</x:v>
      </x:c>
      <x:c r="B44" s="12" t="str">
        <x:v>Ad-hoc Response - item 43</x:v>
      </x:c>
      <x:c r="C44" s="12" t="str">
        <x:v>IAV</x:v>
      </x:c>
      <x:c r="D44" s="12" t="str">
        <x:v>Capital Injection</x:v>
      </x:c>
      <x:c r="E44" s="12" t="str">
        <x:v>Compliance</x:v>
      </x:c>
      <x:c r="F44" s="14" t="n">
        <x:v>46107</x:v>
      </x:c>
      <x:c r="G44" s="14" t="n">
        <x:v>46125</x:v>
      </x:c>
      <x:c r="H44" s="14" t="str"/>
      <x:c r="I44" s="12" t="str">
        <x:v>In Review</x:v>
      </x:c>
      <x:c r="J44" s="12" t="n">
        <x:f>IF(H44="",TODAY()-F44,H44-F44)</x:f>
        <x:v>77</x:v>
      </x:c>
      <x:c r="K44" s="12" t="str">
        <x:v>No</x:v>
      </x:c>
      <x:c r="L44" s="12" t="str">
        <x:v>Low</x:v>
      </x:c>
      <x:c r="M44" s="12" t="str">
        <x:v>Follow-up / quality review</x:v>
      </x:c>
    </x:row>
    <x:row r="45">
      <x:c r="A45" s="12" t="str">
        <x:v>SUB-044</x:v>
      </x:c>
      <x:c r="B45" s="12" t="str">
        <x:v>Capital Injection - item 44</x:v>
      </x:c>
      <x:c r="C45" s="12" t="str">
        <x:v>MOF</x:v>
      </x:c>
      <x:c r="D45" s="12" t="str">
        <x:v>Agency Training</x:v>
      </x:c>
      <x:c r="E45" s="12" t="str">
        <x:v>Product</x:v>
      </x:c>
      <x:c r="F45" s="14" t="n">
        <x:v>46159</x:v>
      </x:c>
      <x:c r="G45" s="14" t="n">
        <x:v>46172</x:v>
      </x:c>
      <x:c r="H45" s="14" t="str"/>
      <x:c r="I45" s="12" t="str">
        <x:v>Drafting</x:v>
      </x:c>
      <x:c r="J45" s="12" t="n">
        <x:f>IF(H45="",TODAY()-F45,H45-F45)</x:f>
        <x:v>25</x:v>
      </x:c>
      <x:c r="K45" s="12" t="str">
        <x:v>No</x:v>
      </x:c>
      <x:c r="L45" s="12" t="str">
        <x:v>Medium</x:v>
      </x:c>
      <x:c r="M45" s="12" t="str">
        <x:v>Follow-up / quality review</x:v>
      </x:c>
    </x:row>
    <x:row r="46">
      <x:c r="A46" s="12" t="str">
        <x:v>SUB-045</x:v>
      </x:c>
      <x:c r="B46" s="12" t="str">
        <x:v>Agency Training - item 45</x:v>
      </x:c>
      <x:c r="C46" s="12" t="str">
        <x:v>IAV</x:v>
      </x:c>
      <x:c r="D46" s="12" t="str">
        <x:v>License/Transaction</x:v>
      </x:c>
      <x:c r="E46" s="12" t="str">
        <x:v>Compliance</x:v>
      </x:c>
      <x:c r="F46" s="14" t="n">
        <x:v>46175</x:v>
      </x:c>
      <x:c r="G46" s="14" t="n">
        <x:v>46201</x:v>
      </x:c>
      <x:c r="H46" s="14" t="str"/>
      <x:c r="I46" s="12" t="str">
        <x:v>Overdue</x:v>
      </x:c>
      <x:c r="J46" s="12" t="n">
        <x:f>IF(H46="",TODAY()-F46,H46-F46)</x:f>
        <x:v>9</x:v>
      </x:c>
      <x:c r="K46" s="12" t="str">
        <x:v>Partial</x:v>
      </x:c>
      <x:c r="L46" s="12" t="str">
        <x:v>Medium</x:v>
      </x:c>
      <x:c r="M46" s="12" t="str">
        <x:v>Follow-up / quality review</x:v>
      </x:c>
    </x:row>
    <x:row r="47">
      <x:c r="A47" s="12" t="str">
        <x:v>SUB-046</x:v>
      </x:c>
      <x:c r="B47" s="12" t="str">
        <x:v>Capital Injection - item 46</x:v>
      </x:c>
      <x:c r="C47" s="12" t="str">
        <x:v>IAV</x:v>
      </x:c>
      <x:c r="D47" s="12" t="str">
        <x:v>Agency Training</x:v>
      </x:c>
      <x:c r="E47" s="12" t="str">
        <x:v>Finance</x:v>
      </x:c>
      <x:c r="F47" s="14" t="n">
        <x:v>46119</x:v>
      </x:c>
      <x:c r="G47" s="14" t="n">
        <x:v>46133</x:v>
      </x:c>
      <x:c r="H47" s="14" t="n">
        <x:v>46131</x:v>
      </x:c>
      <x:c r="I47" s="12" t="str">
        <x:v>Approved</x:v>
      </x:c>
      <x:c r="J47" s="12" t="n">
        <x:f>IF(H47="",TODAY()-F47,H47-F47)</x:f>
        <x:v>12</x:v>
      </x:c>
      <x:c r="K47" s="12" t="str">
        <x:v>Yes</x:v>
      </x:c>
      <x:c r="L47" s="12" t="str">
        <x:v>Medium</x:v>
      </x:c>
      <x:c r="M47" s="12" t="str">
        <x:v>Follow-up / quality review</x:v>
      </x:c>
    </x:row>
    <x:row r="48">
      <x:c r="A48" s="12" t="str">
        <x:v>SUB-047</x:v>
      </x:c>
      <x:c r="B48" s="12" t="str">
        <x:v>Agency Training - item 47</x:v>
      </x:c>
      <x:c r="C48" s="12" t="str">
        <x:v>SBV</x:v>
      </x:c>
      <x:c r="D48" s="12" t="str">
        <x:v>New Product Approval</x:v>
      </x:c>
      <x:c r="E48" s="12" t="str">
        <x:v>Operations</x:v>
      </x:c>
      <x:c r="F48" s="14" t="n">
        <x:v>46098</x:v>
      </x:c>
      <x:c r="G48" s="14" t="n">
        <x:v>46115</x:v>
      </x:c>
      <x:c r="H48" s="14" t="n">
        <x:v>46114</x:v>
      </x:c>
      <x:c r="I48" s="12" t="str">
        <x:v>Approved</x:v>
      </x:c>
      <x:c r="J48" s="12" t="n">
        <x:f>IF(H48="",TODAY()-F48,H48-F48)</x:f>
        <x:v>16</x:v>
      </x:c>
      <x:c r="K48" s="12" t="str">
        <x:v>Partial</x:v>
      </x:c>
      <x:c r="L48" s="12" t="str">
        <x:v>High</x:v>
      </x:c>
      <x:c r="M48" s="12" t="str">
        <x:v>Follow-up / quality review</x:v>
      </x:c>
    </x:row>
    <x:row r="49">
      <x:c r="A49" s="12" t="str">
        <x:v>SUB-048</x:v>
      </x:c>
      <x:c r="B49" s="12" t="str">
        <x:v>Ad-hoc Response - item 48</x:v>
      </x:c>
      <x:c r="C49" s="12" t="str">
        <x:v>SBV</x:v>
      </x:c>
      <x:c r="D49" s="12" t="str">
        <x:v>Agency Training</x:v>
      </x:c>
      <x:c r="E49" s="12" t="str">
        <x:v>Bancassurance</x:v>
      </x:c>
      <x:c r="F49" s="14" t="n">
        <x:v>46145</x:v>
      </x:c>
      <x:c r="G49" s="14" t="n">
        <x:v>46159</x:v>
      </x:c>
      <x:c r="H49" s="14" t="str"/>
      <x:c r="I49" s="12" t="str">
        <x:v>Waiting Internal Input</x:v>
      </x:c>
      <x:c r="J49" s="12" t="n">
        <x:f>IF(H49="",TODAY()-F49,H49-F49)</x:f>
        <x:v>39</x:v>
      </x:c>
      <x:c r="K49" s="12" t="str">
        <x:v>No</x:v>
      </x:c>
      <x:c r="L49" s="12" t="str">
        <x:v>Medium</x:v>
      </x:c>
      <x:c r="M49" s="12" t="str">
        <x:v>Follow-up / quality review</x:v>
      </x:c>
    </x:row>
    <x:row r="50">
      <x:c r="A50" s="12" t="str">
        <x:v>SUB-049</x:v>
      </x:c>
      <x:c r="B50" s="12" t="str">
        <x:v>Capital Injection - item 49</x:v>
      </x:c>
      <x:c r="C50" s="12" t="str">
        <x:v>ISA</x:v>
      </x:c>
      <x:c r="D50" s="12" t="str">
        <x:v>License/Transaction</x:v>
      </x:c>
      <x:c r="E50" s="12" t="str">
        <x:v>Compliance</x:v>
      </x:c>
      <x:c r="F50" s="14" t="n">
        <x:v>46127</x:v>
      </x:c>
      <x:c r="G50" s="14" t="n">
        <x:v>46153</x:v>
      </x:c>
      <x:c r="H50" s="14" t="str"/>
      <x:c r="I50" s="12" t="str">
        <x:v>Waiting Internal Input</x:v>
      </x:c>
      <x:c r="J50" s="12" t="n">
        <x:f>IF(H50="",TODAY()-F50,H50-F50)</x:f>
        <x:v>57</x:v>
      </x:c>
      <x:c r="K50" s="12" t="str">
        <x:v>No</x:v>
      </x:c>
      <x:c r="L50" s="12" t="str">
        <x:v>Low</x:v>
      </x:c>
      <x:c r="M50" s="12" t="str">
        <x:v>Follow-up / quality review</x:v>
      </x:c>
    </x:row>
    <x:row r="51">
      <x:c r="A51" s="12" t="str">
        <x:v>SUB-050</x:v>
      </x:c>
      <x:c r="B51" s="12" t="str">
        <x:v>Ad-hoc Response - item 50</x:v>
      </x:c>
      <x:c r="C51" s="12" t="str">
        <x:v>ISA</x:v>
      </x:c>
      <x:c r="D51" s="12" t="str">
        <x:v>License/Transaction</x:v>
      </x:c>
      <x:c r="E51" s="12" t="str">
        <x:v>Agency</x:v>
      </x:c>
      <x:c r="F51" s="14" t="n">
        <x:v>46099</x:v>
      </x:c>
      <x:c r="G51" s="14" t="n">
        <x:v>46124</x:v>
      </x:c>
      <x:c r="H51" s="14" t="n">
        <x:v>46124</x:v>
      </x:c>
      <x:c r="I51" s="12" t="str">
        <x:v>Submitted</x:v>
      </x:c>
      <x:c r="J51" s="12" t="n">
        <x:f>IF(H51="",TODAY()-F51,H51-F51)</x:f>
        <x:v>25</x:v>
      </x:c>
      <x:c r="K51" s="12" t="str">
        <x:v>Yes</x:v>
      </x:c>
      <x:c r="L51" s="12" t="str">
        <x:v>High</x:v>
      </x:c>
      <x:c r="M51" s="12" t="str">
        <x:v>Follow-up / quality review</x:v>
      </x:c>
    </x:row>
    <x:row r="52">
      <x:c r="A52" s="12" t="str">
        <x:v>SUB-051</x:v>
      </x:c>
      <x:c r="B52" s="12" t="str">
        <x:v>Capital Injection - item 51</x:v>
      </x:c>
      <x:c r="C52" s="12" t="str">
        <x:v>SBV</x:v>
      </x:c>
      <x:c r="D52" s="12" t="str">
        <x:v>Ad-hoc Response</x:v>
      </x:c>
      <x:c r="E52" s="12" t="str">
        <x:v>Compliance</x:v>
      </x:c>
      <x:c r="F52" s="14" t="n">
        <x:v>46165</x:v>
      </x:c>
      <x:c r="G52" s="14" t="n">
        <x:v>46170</x:v>
      </x:c>
      <x:c r="H52" s="14" t="str"/>
      <x:c r="I52" s="12" t="str">
        <x:v>Drafting</x:v>
      </x:c>
      <x:c r="J52" s="12" t="n">
        <x:f>IF(H52="",TODAY()-F52,H52-F52)</x:f>
        <x:v>19</x:v>
      </x:c>
      <x:c r="K52" s="12" t="str">
        <x:v>No</x:v>
      </x:c>
      <x:c r="L52" s="12" t="str">
        <x:v>Medium</x:v>
      </x:c>
      <x:c r="M52" s="12" t="str">
        <x:v>Follow-up / quality review</x:v>
      </x:c>
    </x:row>
    <x:row r="53">
      <x:c r="A53" s="12" t="str">
        <x:v>SUB-052</x:v>
      </x:c>
      <x:c r="B53" s="12" t="str">
        <x:v>License/Transaction - item 52</x:v>
      </x:c>
      <x:c r="C53" s="12" t="str">
        <x:v>MIC</x:v>
      </x:c>
      <x:c r="D53" s="12" t="str">
        <x:v>Capital Injection</x:v>
      </x:c>
      <x:c r="E53" s="12" t="str">
        <x:v>Operations</x:v>
      </x:c>
      <x:c r="F53" s="14" t="n">
        <x:v>46103</x:v>
      </x:c>
      <x:c r="G53" s="14" t="n">
        <x:v>46126</x:v>
      </x:c>
      <x:c r="H53" s="14" t="str"/>
      <x:c r="I53" s="12" t="str">
        <x:v>Waiting Internal Input</x:v>
      </x:c>
      <x:c r="J53" s="12" t="n">
        <x:f>IF(H53="",TODAY()-F53,H53-F53)</x:f>
        <x:v>81</x:v>
      </x:c>
      <x:c r="K53" s="12" t="str">
        <x:v>Yes</x:v>
      </x:c>
      <x:c r="L53" s="12" t="str">
        <x:v>High</x:v>
      </x:c>
      <x:c r="M53" s="12" t="str">
        <x:v>Follow-up / quality review</x:v>
      </x:c>
    </x:row>
    <x:row r="54">
      <x:c r="A54" s="12" t="str">
        <x:v>SUB-053</x:v>
      </x:c>
      <x:c r="B54" s="12" t="str">
        <x:v>Ad-hoc Response - item 53</x:v>
      </x:c>
      <x:c r="C54" s="12" t="str">
        <x:v>MOF</x:v>
      </x:c>
      <x:c r="D54" s="12" t="str">
        <x:v>Ad-hoc Response</x:v>
      </x:c>
      <x:c r="E54" s="12" t="str">
        <x:v>Operations</x:v>
      </x:c>
      <x:c r="F54" s="14" t="n">
        <x:v>46100</x:v>
      </x:c>
      <x:c r="G54" s="14" t="n">
        <x:v>46127</x:v>
      </x:c>
      <x:c r="H54" s="14" t="str"/>
      <x:c r="I54" s="12" t="str">
        <x:v>Drafting</x:v>
      </x:c>
      <x:c r="J54" s="12" t="n">
        <x:f>IF(H54="",TODAY()-F54,H54-F54)</x:f>
        <x:v>84</x:v>
      </x:c>
      <x:c r="K54" s="12" t="str">
        <x:v>Yes</x:v>
      </x:c>
      <x:c r="L54" s="12" t="str">
        <x:v>High</x:v>
      </x:c>
      <x:c r="M54" s="12" t="str">
        <x:v>Follow-up / quality review</x:v>
      </x:c>
    </x:row>
    <x:row r="55">
      <x:c r="A55" s="12" t="str">
        <x:v>SUB-054</x:v>
      </x:c>
      <x:c r="B55" s="12" t="str">
        <x:v>Ad-hoc Response - item 54</x:v>
      </x:c>
      <x:c r="C55" s="12" t="str">
        <x:v>MOF</x:v>
      </x:c>
      <x:c r="D55" s="12" t="str">
        <x:v>Capital Injection</x:v>
      </x:c>
      <x:c r="E55" s="12" t="str">
        <x:v>Finance</x:v>
      </x:c>
      <x:c r="F55" s="14" t="n">
        <x:v>46094</x:v>
      </x:c>
      <x:c r="G55" s="14" t="n">
        <x:v>46115</x:v>
      </x:c>
      <x:c r="H55" s="14" t="n">
        <x:v>46114</x:v>
      </x:c>
      <x:c r="I55" s="12" t="str">
        <x:v>Submitted</x:v>
      </x:c>
      <x:c r="J55" s="12" t="n">
        <x:f>IF(H55="",TODAY()-F55,H55-F55)</x:f>
        <x:v>20</x:v>
      </x:c>
      <x:c r="K55" s="12" t="str">
        <x:v>No</x:v>
      </x:c>
      <x:c r="L55" s="12" t="str">
        <x:v>Low</x:v>
      </x:c>
      <x:c r="M55" s="12" t="str">
        <x:v>Follow-up / quality review</x:v>
      </x:c>
    </x:row>
    <x:row r="56">
      <x:c r="A56" s="12" t="str">
        <x:v>SUB-055</x:v>
      </x:c>
      <x:c r="B56" s="12" t="str">
        <x:v>Agency Training - item 55</x:v>
      </x:c>
      <x:c r="C56" s="12" t="str">
        <x:v>SBV</x:v>
      </x:c>
      <x:c r="D56" s="12" t="str">
        <x:v>Capital Injection</x:v>
      </x:c>
      <x:c r="E56" s="12" t="str">
        <x:v>CEO Office</x:v>
      </x:c>
      <x:c r="F56" s="14" t="n">
        <x:v>46116</x:v>
      </x:c>
      <x:c r="G56" s="14" t="n">
        <x:v>46138</x:v>
      </x:c>
      <x:c r="H56" s="14" t="n">
        <x:v>46135</x:v>
      </x:c>
      <x:c r="I56" s="12" t="str">
        <x:v>Submitted</x:v>
      </x:c>
      <x:c r="J56" s="12" t="n">
        <x:f>IF(H56="",TODAY()-F56,H56-F56)</x:f>
        <x:v>19</x:v>
      </x:c>
      <x:c r="K56" s="12" t="str">
        <x:v>Yes</x:v>
      </x:c>
      <x:c r="L56" s="12" t="str">
        <x:v>Low</x:v>
      </x:c>
      <x:c r="M56" s="12" t="str">
        <x:v>Follow-up / quality review</x:v>
      </x:c>
    </x:row>
    <x:row r="57">
      <x:c r="A57" s="12" t="str">
        <x:v>SUB-056</x:v>
      </x:c>
      <x:c r="B57" s="12" t="str">
        <x:v>Report - item 56</x:v>
      </x:c>
      <x:c r="C57" s="12" t="str">
        <x:v>IAV</x:v>
      </x:c>
      <x:c r="D57" s="12" t="str">
        <x:v>Ad-hoc Response</x:v>
      </x:c>
      <x:c r="E57" s="12" t="str">
        <x:v>CEO Office</x:v>
      </x:c>
      <x:c r="F57" s="14" t="n">
        <x:v>46123</x:v>
      </x:c>
      <x:c r="G57" s="14" t="n">
        <x:v>46142</x:v>
      </x:c>
      <x:c r="H57" s="14" t="str"/>
      <x:c r="I57" s="12" t="str">
        <x:v>In Review</x:v>
      </x:c>
      <x:c r="J57" s="12" t="n">
        <x:f>IF(H57="",TODAY()-F57,H57-F57)</x:f>
        <x:v>61</x:v>
      </x:c>
      <x:c r="K57" s="12" t="str">
        <x:v>Partial</x:v>
      </x:c>
      <x:c r="L57" s="12" t="str">
        <x:v>High</x:v>
      </x:c>
      <x:c r="M57" s="12" t="str">
        <x:v>Follow-up / quality review</x:v>
      </x:c>
    </x:row>
    <x:row r="58">
      <x:c r="A58" s="12" t="str">
        <x:v>SUB-057</x:v>
      </x:c>
      <x:c r="B58" s="12" t="str">
        <x:v>New Product Approval - item 57</x:v>
      </x:c>
      <x:c r="C58" s="12" t="str">
        <x:v>ISA</x:v>
      </x:c>
      <x:c r="D58" s="12" t="str">
        <x:v>New Product Approval</x:v>
      </x:c>
      <x:c r="E58" s="12" t="str">
        <x:v>Bancassurance</x:v>
      </x:c>
      <x:c r="F58" s="14" t="n">
        <x:v>46148</x:v>
      </x:c>
      <x:c r="G58" s="14" t="n">
        <x:v>46167</x:v>
      </x:c>
      <x:c r="H58" s="14" t="str"/>
      <x:c r="I58" s="12" t="str">
        <x:v>Drafting</x:v>
      </x:c>
      <x:c r="J58" s="12" t="n">
        <x:f>IF(H58="",TODAY()-F58,H58-F58)</x:f>
        <x:v>36</x:v>
      </x:c>
      <x:c r="K58" s="12" t="str">
        <x:v>No</x:v>
      </x:c>
      <x:c r="L58" s="12" t="str">
        <x:v>Low</x:v>
      </x:c>
      <x:c r="M58" s="12" t="str">
        <x:v>Follow-up / quality review</x:v>
      </x:c>
    </x:row>
    <x:row r="59">
      <x:c r="A59" s="12" t="str">
        <x:v>SUB-058</x:v>
      </x:c>
      <x:c r="B59" s="12" t="str">
        <x:v>Capital Injection - item 58</x:v>
      </x:c>
      <x:c r="C59" s="12" t="str">
        <x:v>ISA</x:v>
      </x:c>
      <x:c r="D59" s="12" t="str">
        <x:v>License/Transaction</x:v>
      </x:c>
      <x:c r="E59" s="12" t="str">
        <x:v>Product</x:v>
      </x:c>
      <x:c r="F59" s="14" t="n">
        <x:v>46173</x:v>
      </x:c>
      <x:c r="G59" s="14" t="n">
        <x:v>46182</x:v>
      </x:c>
      <x:c r="H59" s="14" t="str"/>
      <x:c r="I59" s="12" t="str">
        <x:v>Waiting Internal Input</x:v>
      </x:c>
      <x:c r="J59" s="12" t="n">
        <x:f>IF(H59="",TODAY()-F59,H59-F59)</x:f>
        <x:v>11</x:v>
      </x:c>
      <x:c r="K59" s="12" t="str">
        <x:v>Yes</x:v>
      </x:c>
      <x:c r="L59" s="12" t="str">
        <x:v>Medium</x:v>
      </x:c>
      <x:c r="M59" s="12" t="str">
        <x:v>Follow-up / quality review</x:v>
      </x:c>
    </x:row>
    <x:row r="60">
      <x:c r="A60" s="12" t="str">
        <x:v>SUB-059</x:v>
      </x:c>
      <x:c r="B60" s="12" t="str">
        <x:v>Official Letter - item 59</x:v>
      </x:c>
      <x:c r="C60" s="12" t="str">
        <x:v>ISA</x:v>
      </x:c>
      <x:c r="D60" s="12" t="str">
        <x:v>Ad-hoc Response</x:v>
      </x:c>
      <x:c r="E60" s="12" t="str">
        <x:v>Operations</x:v>
      </x:c>
      <x:c r="F60" s="14" t="n">
        <x:v>46131</x:v>
      </x:c>
      <x:c r="G60" s="14" t="n">
        <x:v>46146</x:v>
      </x:c>
      <x:c r="H60" s="14" t="n">
        <x:v>46143</x:v>
      </x:c>
      <x:c r="I60" s="12" t="str">
        <x:v>Submitted</x:v>
      </x:c>
      <x:c r="J60" s="12" t="n">
        <x:f>IF(H60="",TODAY()-F60,H60-F60)</x:f>
        <x:v>12</x:v>
      </x:c>
      <x:c r="K60" s="12" t="str">
        <x:v>No</x:v>
      </x:c>
      <x:c r="L60" s="12" t="str">
        <x:v>Low</x:v>
      </x:c>
      <x:c r="M60" s="12" t="str">
        <x:v>Follow-up / quality review</x:v>
      </x:c>
    </x:row>
    <x:row r="61">
      <x:c r="A61" s="12" t="str">
        <x:v>SUB-060</x:v>
      </x:c>
      <x:c r="B61" s="12" t="str">
        <x:v>Capital Injection - item 60</x:v>
      </x:c>
      <x:c r="C61" s="12" t="str">
        <x:v>MOF</x:v>
      </x:c>
      <x:c r="D61" s="12" t="str">
        <x:v>New Product Approval</x:v>
      </x:c>
      <x:c r="E61" s="12" t="str">
        <x:v>Agency</x:v>
      </x:c>
      <x:c r="F61" s="14" t="n">
        <x:v>46094</x:v>
      </x:c>
      <x:c r="G61" s="14" t="n">
        <x:v>46099</x:v>
      </x:c>
      <x:c r="H61" s="14" t="n">
        <x:v>46096</x:v>
      </x:c>
      <x:c r="I61" s="12" t="str">
        <x:v>Approved</x:v>
      </x:c>
      <x:c r="J61" s="12" t="n">
        <x:f>IF(H61="",TODAY()-F61,H61-F61)</x:f>
        <x:v>2</x:v>
      </x:c>
      <x:c r="K61" s="12" t="str">
        <x:v>No</x:v>
      </x:c>
      <x:c r="L61" s="12" t="str">
        <x:v>Medium</x:v>
      </x:c>
      <x:c r="M61" s="12" t="str">
        <x:v>Follow-up / quality review</x:v>
      </x:c>
    </x:row>
  </x:sheetData>
  <x:conditionalFormatting sqref="I2:I61">
    <x:cfRule type="expression" dxfId="2" priority="1">
      <x:formula>I2="Overdue"</x:formula>
    </x:cfRule>
  </x:conditionalFormatting>
  <x:dataValidations count="1">
    <x:dataValidation type="list" sqref="I2:I61">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42f5fc0ec6464958"/>
  </x:tableParts>
</x:worksheet>
</file>

<file path=xl/worksheets/sheet4.xml><?xml version="1.0" encoding="utf-8"?>
<x:worksheet xmlns:x="http://schemas.openxmlformats.org/spreadsheetml/2006/main">
  <x:sheetFormatPr defaultRowHeight="15"/>
  <x:cols>
    <x:col min="1" max="1" width="12.25" hidden="0" customWidth="1"/>
    <x:col min="2" max="2" width="22.610000610351562" hidden="0" customWidth="1"/>
    <x:col min="3" max="3" width="9.960000038146973" hidden="0" customWidth="1"/>
    <x:col min="4" max="4" width="10.5" hidden="0" customWidth="1"/>
    <x:col min="5" max="5" width="15.75" hidden="0" customWidth="1"/>
    <x:col min="6" max="6" width="18.440000534057617" hidden="0" customWidth="1"/>
    <x:col min="7" max="7" width="13.59000015258789" hidden="0" customWidth="1"/>
    <x:col min="8" max="8" width="19.780000686645508" hidden="0" customWidth="1"/>
    <x:col min="9" max="9" width="15.609999656677246" hidden="0" customWidth="1"/>
    <x:col min="10" max="10" width="24.6299991607666" hidden="0" customWidth="1"/>
    <x:col min="11" max="11" width="15.75" hidden="0" customWidth="1"/>
    <x:col min="12" max="12" width="16.690000534057617" hidden="0" customWidth="1"/>
    <x:col min="13" max="13" width="23.010000228881836" hidden="0" customWidth="1"/>
  </x:cols>
  <x:sheetData>
    <x:row r="1">
      <x:c r="A1" s="6" t="str">
        <x:v>Approval ID</x:v>
      </x:c>
      <x:c r="B1" s="6" t="str">
        <x:v>Approval Item</x:v>
      </x:c>
      <x:c r="C1" s="6" t="str">
        <x:v>Category</x:v>
      </x:c>
      <x:c r="D1" s="6" t="str">
        <x:v>Regulator</x:v>
      </x:c>
      <x:c r="E1" s="6" t="str">
        <x:v>Business Owner</x:v>
      </x:c>
      <x:c r="F1" s="6" t="str">
        <x:v>Current Stage</x:v>
      </x:c>
      <x:c r="G1" s="6" t="str">
        <x:v>Request Date</x:v>
      </x:c>
      <x:c r="H1" s="6" t="str">
        <x:v>Target Approval Date</x:v>
      </x:c>
      <x:c r="I1" s="6" t="str">
        <x:v>Days in Pipeline</x:v>
      </x:c>
      <x:c r="J1" s="6" t="str">
        <x:v>Probability of Approval (%)</x:v>
      </x:c>
      <x:c r="K1" s="6" t="str">
        <x:v>Business Impact</x:v>
      </x:c>
      <x:c r="L1" s="6" t="str">
        <x:v>Blocker</x:v>
      </x:c>
      <x:c r="M1" s="6" t="str">
        <x:v>Next Action</x:v>
      </x:c>
      <x:c r="N1" s="12"/>
      <x:c r="O1" s="12"/>
      <x:c r="P1" s="12"/>
      <x:c r="Q1" s="12"/>
      <x:c r="R1" s="12"/>
      <x:c r="S1" s="12"/>
      <x:c r="T1" s="12"/>
      <x:c r="U1" s="12"/>
      <x:c r="V1" s="12"/>
      <x:c r="W1" s="12"/>
      <x:c r="X1" s="12"/>
      <x:c r="Y1" s="12"/>
      <x:c r="Z1" s="12"/>
    </x:row>
    <x:row r="2">
      <x:c r="A2" s="12" t="str">
        <x:v>APR-001</x:v>
      </x:c>
      <x:c r="B2" s="12" t="str">
        <x:v>Health Rider Update 1</x:v>
      </x:c>
      <x:c r="C2" s="12" t="str">
        <x:v>License</x:v>
      </x:c>
      <x:c r="D2" s="12" t="str">
        <x:v>MOF</x:v>
      </x:c>
      <x:c r="E2" s="12" t="str">
        <x:v>Agency</x:v>
      </x:c>
      <x:c r="F2" s="12" t="str">
        <x:v>Approved</x:v>
      </x:c>
      <x:c r="G2" s="14" t="n">
        <x:v>46111</x:v>
      </x:c>
      <x:c r="H2" s="14" t="n">
        <x:v>46200</x:v>
      </x:c>
      <x:c r="I2" s="12" t="n">
        <x:f>TODAY()-G2</x:f>
        <x:v>73</x:v>
      </x:c>
      <x:c r="J2" s="12" t="n">
        <x:v>72</x:v>
      </x:c>
      <x:c r="K2" s="12" t="str">
        <x:v>Medium</x:v>
      </x:c>
      <x:c r="L2" s="12" t="str">
        <x:v>None</x:v>
      </x:c>
      <x:c r="M2" s="12" t="str">
        <x:v>Prepare response / follow up</x:v>
      </x:c>
    </x:row>
    <x:row r="3">
      <x:c r="A3" s="12" t="str">
        <x:v>APR-002</x:v>
      </x:c>
      <x:c r="B3" s="12" t="str">
        <x:v>Agency Training Program 2</x:v>
      </x:c>
      <x:c r="C3" s="12" t="str">
        <x:v>Distribution</x:v>
      </x:c>
      <x:c r="D3" s="12" t="str">
        <x:v>MOF</x:v>
      </x:c>
      <x:c r="E3" s="12" t="str">
        <x:v>Bancassurance</x:v>
      </x:c>
      <x:c r="F3" s="12" t="str">
        <x:v>Regulator Q&amp;A</x:v>
      </x:c>
      <x:c r="G3" s="14" t="n">
        <x:v>46130</x:v>
      </x:c>
      <x:c r="H3" s="14" t="n">
        <x:v>46193</x:v>
      </x:c>
      <x:c r="I3" s="12" t="n">
        <x:f>TODAY()-G3</x:f>
        <x:v>54</x:v>
      </x:c>
      <x:c r="J3" s="12" t="n">
        <x:v>53</x:v>
      </x:c>
      <x:c r="K3" s="12" t="str">
        <x:v>Low</x:v>
      </x:c>
      <x:c r="L3" s="12" t="str">
        <x:v>Internal sign-off</x:v>
      </x:c>
      <x:c r="M3" s="12" t="str">
        <x:v>Prepare response / follow up</x:v>
      </x:c>
    </x:row>
    <x:row r="4">
      <x:c r="A4" s="12" t="str">
        <x:v>APR-003</x:v>
      </x:c>
      <x:c r="B4" s="12" t="str">
        <x:v>License Amendment 3</x:v>
      </x:c>
      <x:c r="C4" s="12" t="str">
        <x:v>Product</x:v>
      </x:c>
      <x:c r="D4" s="12" t="str">
        <x:v>MOF</x:v>
      </x:c>
      <x:c r="E4" s="12" t="str">
        <x:v>Bancassurance</x:v>
      </x:c>
      <x:c r="F4" s="12" t="str">
        <x:v>Regulator Q&amp;A</x:v>
      </x:c>
      <x:c r="G4" s="14" t="n">
        <x:v>46176</x:v>
      </x:c>
      <x:c r="H4" s="14" t="n">
        <x:v>46246</x:v>
      </x:c>
      <x:c r="I4" s="12" t="n">
        <x:f>TODAY()-G4</x:f>
        <x:v>8</x:v>
      </x:c>
      <x:c r="J4" s="12" t="n">
        <x:v>53</x:v>
      </x:c>
      <x:c r="K4" s="12" t="str">
        <x:v>Medium</x:v>
      </x:c>
      <x:c r="L4" s="12" t="str">
        <x:v>Awaiting legal memo</x:v>
      </x:c>
      <x:c r="M4" s="12" t="str">
        <x:v>Prepare response / follow up</x:v>
      </x:c>
    </x:row>
    <x:row r="5">
      <x:c r="A5" s="12" t="str">
        <x:v>APR-004</x:v>
      </x:c>
      <x:c r="B5" s="12" t="str">
        <x:v>Health Rider Update 4</x:v>
      </x:c>
      <x:c r="C5" s="12" t="str">
        <x:v>License</x:v>
      </x:c>
      <x:c r="D5" s="12" t="str">
        <x:v>ISA</x:v>
      </x:c>
      <x:c r="E5" s="12" t="str">
        <x:v>Agency</x:v>
      </x:c>
      <x:c r="F5" s="12" t="str">
        <x:v>Submitted to Regulator</x:v>
      </x:c>
      <x:c r="G5" s="14" t="n">
        <x:v>46173</x:v>
      </x:c>
      <x:c r="H5" s="14" t="n">
        <x:v>46226</x:v>
      </x:c>
      <x:c r="I5" s="12" t="n">
        <x:f>TODAY()-G5</x:f>
        <x:v>11</x:v>
      </x:c>
      <x:c r="J5" s="12" t="n">
        <x:v>93</x:v>
      </x:c>
      <x:c r="K5" s="12" t="str">
        <x:v>Medium</x:v>
      </x:c>
      <x:c r="L5" s="12" t="str">
        <x:v>Missing attachment</x:v>
      </x:c>
      <x:c r="M5" s="12" t="str">
        <x:v>Prepare response / follow up</x:v>
      </x:c>
    </x:row>
    <x:row r="6">
      <x:c r="A6" s="12" t="str">
        <x:v>APR-005</x:v>
      </x:c>
      <x:c r="B6" s="12" t="str">
        <x:v>New UL Product 5</x:v>
      </x:c>
      <x:c r="C6" s="12" t="str">
        <x:v>License</x:v>
      </x:c>
      <x:c r="D6" s="12" t="str">
        <x:v>MOF</x:v>
      </x:c>
      <x:c r="E6" s="12" t="str">
        <x:v>CEO Office</x:v>
      </x:c>
      <x:c r="F6" s="12" t="str">
        <x:v>Compliance Review</x:v>
      </x:c>
      <x:c r="G6" s="14" t="n">
        <x:v>46083</x:v>
      </x:c>
      <x:c r="H6" s="14" t="n">
        <x:v>46156</x:v>
      </x:c>
      <x:c r="I6" s="12" t="n">
        <x:f>TODAY()-G6</x:f>
        <x:v>101</x:v>
      </x:c>
      <x:c r="J6" s="12" t="n">
        <x:v>48</x:v>
      </x:c>
      <x:c r="K6" s="12" t="str">
        <x:v>Medium</x:v>
      </x:c>
      <x:c r="L6" s="12" t="str">
        <x:v>Awaiting legal memo</x:v>
      </x:c>
      <x:c r="M6" s="12" t="str">
        <x:v>Prepare response / follow up</x:v>
      </x:c>
    </x:row>
    <x:row r="7">
      <x:c r="A7" s="12" t="str">
        <x:v>APR-006</x:v>
      </x:c>
      <x:c r="B7" s="12" t="str">
        <x:v>License Amendment 6</x:v>
      </x:c>
      <x:c r="C7" s="12" t="str">
        <x:v>Product</x:v>
      </x:c>
      <x:c r="D7" s="12" t="str">
        <x:v>MOF</x:v>
      </x:c>
      <x:c r="E7" s="12" t="str">
        <x:v>Finance</x:v>
      </x:c>
      <x:c r="F7" s="12" t="str">
        <x:v>Approved</x:v>
      </x:c>
      <x:c r="G7" s="14" t="n">
        <x:v>46096</x:v>
      </x:c>
      <x:c r="H7" s="14" t="n">
        <x:v>46124</x:v>
      </x:c>
      <x:c r="I7" s="12" t="n">
        <x:f>TODAY()-G7</x:f>
        <x:v>88</x:v>
      </x:c>
      <x:c r="J7" s="12" t="n">
        <x:v>57</x:v>
      </x:c>
      <x:c r="K7" s="12" t="str">
        <x:v>High</x:v>
      </x:c>
      <x:c r="L7" s="12" t="str">
        <x:v>Internal sign-off</x:v>
      </x:c>
      <x:c r="M7" s="12" t="str">
        <x:v>Prepare response / follow up</x:v>
      </x:c>
    </x:row>
    <x:row r="8">
      <x:c r="A8" s="12" t="str">
        <x:v>APR-007</x:v>
      </x:c>
      <x:c r="B8" s="12" t="str">
        <x:v>License Amendment 7</x:v>
      </x:c>
      <x:c r="C8" s="12" t="str">
        <x:v>Product</x:v>
      </x:c>
      <x:c r="D8" s="12" t="str">
        <x:v>MOF</x:v>
      </x:c>
      <x:c r="E8" s="12" t="str">
        <x:v>Bancassurance</x:v>
      </x:c>
      <x:c r="F8" s="12" t="str">
        <x:v>Legal Review</x:v>
      </x:c>
      <x:c r="G8" s="14" t="n">
        <x:v>46160</x:v>
      </x:c>
      <x:c r="H8" s="14" t="n">
        <x:v>46210</x:v>
      </x:c>
      <x:c r="I8" s="12" t="n">
        <x:f>TODAY()-G8</x:f>
        <x:v>24</x:v>
      </x:c>
      <x:c r="J8" s="12" t="n">
        <x:v>89</x:v>
      </x:c>
      <x:c r="K8" s="12" t="str">
        <x:v>Medium</x:v>
      </x:c>
      <x:c r="L8" s="12" t="str">
        <x:v>Missing attachment</x:v>
      </x:c>
      <x:c r="M8" s="12" t="str">
        <x:v>Prepare response / follow up</x:v>
      </x:c>
    </x:row>
    <x:row r="9">
      <x:c r="A9" s="12" t="str">
        <x:v>APR-008</x:v>
      </x:c>
      <x:c r="B9" s="12" t="str">
        <x:v>Health Rider Update 8</x:v>
      </x:c>
      <x:c r="C9" s="12" t="str">
        <x:v>Agency</x:v>
      </x:c>
      <x:c r="D9" s="12" t="str">
        <x:v>MOF</x:v>
      </x:c>
      <x:c r="E9" s="12" t="str">
        <x:v>CEO Office</x:v>
      </x:c>
      <x:c r="F9" s="12" t="str">
        <x:v>Approved</x:v>
      </x:c>
      <x:c r="G9" s="14" t="n">
        <x:v>46158</x:v>
      </x:c>
      <x:c r="H9" s="14" t="n">
        <x:v>46192</x:v>
      </x:c>
      <x:c r="I9" s="12" t="n">
        <x:f>TODAY()-G9</x:f>
        <x:v>26</x:v>
      </x:c>
      <x:c r="J9" s="12" t="n">
        <x:v>46</x:v>
      </x:c>
      <x:c r="K9" s="12" t="str">
        <x:v>Medium</x:v>
      </x:c>
      <x:c r="L9" s="12" t="str">
        <x:v>Internal sign-off</x:v>
      </x:c>
      <x:c r="M9" s="12" t="str">
        <x:v>Prepare response / follow up</x:v>
      </x:c>
    </x:row>
    <x:row r="10">
      <x:c r="A10" s="12" t="str">
        <x:v>APR-009</x:v>
      </x:c>
      <x:c r="B10" s="12" t="str">
        <x:v>License Amendment 9</x:v>
      </x:c>
      <x:c r="C10" s="12" t="str">
        <x:v>Capital</x:v>
      </x:c>
      <x:c r="D10" s="12" t="str">
        <x:v>MOF</x:v>
      </x:c>
      <x:c r="E10" s="12" t="str">
        <x:v>CEO Office</x:v>
      </x:c>
      <x:c r="F10" s="12" t="str">
        <x:v>Submitted to Regulator</x:v>
      </x:c>
      <x:c r="G10" s="14" t="n">
        <x:v>46093</x:v>
      </x:c>
      <x:c r="H10" s="14" t="n">
        <x:v>46161</x:v>
      </x:c>
      <x:c r="I10" s="12" t="n">
        <x:f>TODAY()-G10</x:f>
        <x:v>91</x:v>
      </x:c>
      <x:c r="J10" s="12" t="n">
        <x:v>89</x:v>
      </x:c>
      <x:c r="K10" s="12" t="str">
        <x:v>Low</x:v>
      </x:c>
      <x:c r="L10" s="12" t="str">
        <x:v>Awaiting legal memo</x:v>
      </x:c>
      <x:c r="M10" s="12" t="str">
        <x:v>Prepare response / follow up</x:v>
      </x:c>
    </x:row>
    <x:row r="11">
      <x:c r="A11" s="12" t="str">
        <x:v>APR-010</x:v>
      </x:c>
      <x:c r="B11" s="12" t="str">
        <x:v>Bancassurance Campaign 10</x:v>
      </x:c>
      <x:c r="C11" s="12" t="str">
        <x:v>Product</x:v>
      </x:c>
      <x:c r="D11" s="12" t="str">
        <x:v>MOF</x:v>
      </x:c>
      <x:c r="E11" s="12" t="str">
        <x:v>Agency</x:v>
      </x:c>
      <x:c r="F11" s="12" t="str">
        <x:v>Approved</x:v>
      </x:c>
      <x:c r="G11" s="14" t="n">
        <x:v>46166</x:v>
      </x:c>
      <x:c r="H11" s="14" t="n">
        <x:v>46224</x:v>
      </x:c>
      <x:c r="I11" s="12" t="n">
        <x:f>TODAY()-G11</x:f>
        <x:v>18</x:v>
      </x:c>
      <x:c r="J11" s="12" t="n">
        <x:v>79</x:v>
      </x:c>
      <x:c r="K11" s="12" t="str">
        <x:v>Medium</x:v>
      </x:c>
      <x:c r="L11" s="12" t="str">
        <x:v>Missing attachment</x:v>
      </x:c>
      <x:c r="M11" s="12" t="str">
        <x:v>Prepare response / follow up</x:v>
      </x:c>
    </x:row>
    <x:row r="12">
      <x:c r="A12" s="12" t="str">
        <x:v>APR-011</x:v>
      </x:c>
      <x:c r="B12" s="12" t="str">
        <x:v>New UL Product 11</x:v>
      </x:c>
      <x:c r="C12" s="12" t="str">
        <x:v>License</x:v>
      </x:c>
      <x:c r="D12" s="12" t="str">
        <x:v>ISA</x:v>
      </x:c>
      <x:c r="E12" s="12" t="str">
        <x:v>Product</x:v>
      </x:c>
      <x:c r="F12" s="12" t="str">
        <x:v>Regulator Q&amp;A</x:v>
      </x:c>
      <x:c r="G12" s="14" t="n">
        <x:v>46171</x:v>
      </x:c>
      <x:c r="H12" s="14" t="n">
        <x:v>46255</x:v>
      </x:c>
      <x:c r="I12" s="12" t="n">
        <x:f>TODAY()-G12</x:f>
        <x:v>13</x:v>
      </x:c>
      <x:c r="J12" s="12" t="n">
        <x:v>72</x:v>
      </x:c>
      <x:c r="K12" s="12" t="str">
        <x:v>Medium</x:v>
      </x:c>
      <x:c r="L12" s="12" t="str">
        <x:v>Regulator Q&amp;A</x:v>
      </x:c>
      <x:c r="M12" s="12" t="str">
        <x:v>Prepare response / follow up</x:v>
      </x:c>
    </x:row>
    <x:row r="13">
      <x:c r="A13" s="12" t="str">
        <x:v>APR-012</x:v>
      </x:c>
      <x:c r="B13" s="12" t="str">
        <x:v>License Amendment 12</x:v>
      </x:c>
      <x:c r="C13" s="12" t="str">
        <x:v>Transaction</x:v>
      </x:c>
      <x:c r="D13" s="12" t="str">
        <x:v>ISA</x:v>
      </x:c>
      <x:c r="E13" s="12" t="str">
        <x:v>CEO Office</x:v>
      </x:c>
      <x:c r="F13" s="12" t="str">
        <x:v>Submitted to Regulator</x:v>
      </x:c>
      <x:c r="G13" s="14" t="n">
        <x:v>46089</x:v>
      </x:c>
      <x:c r="H13" s="14" t="n">
        <x:v>46128</x:v>
      </x:c>
      <x:c r="I13" s="12" t="n">
        <x:f>TODAY()-G13</x:f>
        <x:v>95</x:v>
      </x:c>
      <x:c r="J13" s="12" t="n">
        <x:v>79</x:v>
      </x:c>
      <x:c r="K13" s="12" t="str">
        <x:v>Medium</x:v>
      </x:c>
      <x:c r="L13" s="12" t="str">
        <x:v>Regulator Q&amp;A</x:v>
      </x:c>
      <x:c r="M13" s="12" t="str">
        <x:v>Prepare response / follow up</x:v>
      </x:c>
    </x:row>
    <x:row r="14">
      <x:c r="A14" s="12" t="str">
        <x:v>APR-013</x:v>
      </x:c>
      <x:c r="B14" s="12" t="str">
        <x:v>Health Rider Update 13</x:v>
      </x:c>
      <x:c r="C14" s="12" t="str">
        <x:v>Product</x:v>
      </x:c>
      <x:c r="D14" s="12" t="str">
        <x:v>ISA</x:v>
      </x:c>
      <x:c r="E14" s="12" t="str">
        <x:v>Bancassurance</x:v>
      </x:c>
      <x:c r="F14" s="12" t="str">
        <x:v>Compliance Review</x:v>
      </x:c>
      <x:c r="G14" s="14" t="n">
        <x:v>46124</x:v>
      </x:c>
      <x:c r="H14" s="14" t="n">
        <x:v>46178</x:v>
      </x:c>
      <x:c r="I14" s="12" t="n">
        <x:f>TODAY()-G14</x:f>
        <x:v>60</x:v>
      </x:c>
      <x:c r="J14" s="12" t="n">
        <x:v>60</x:v>
      </x:c>
      <x:c r="K14" s="12" t="str">
        <x:v>Medium</x:v>
      </x:c>
      <x:c r="L14" s="12" t="str">
        <x:v>Internal sign-off</x:v>
      </x:c>
      <x:c r="M14" s="12" t="str">
        <x:v>Prepare response / follow up</x:v>
      </x:c>
    </x:row>
    <x:row r="15">
      <x:c r="A15" s="12" t="str">
        <x:v>APR-014</x:v>
      </x:c>
      <x:c r="B15" s="12" t="str">
        <x:v>Agency Training Program 14</x:v>
      </x:c>
      <x:c r="C15" s="12" t="str">
        <x:v>Agency</x:v>
      </x:c>
      <x:c r="D15" s="12" t="str">
        <x:v>MOF</x:v>
      </x:c>
      <x:c r="E15" s="12" t="str">
        <x:v>Bancassurance</x:v>
      </x:c>
      <x:c r="F15" s="12" t="str">
        <x:v>Compliance Review</x:v>
      </x:c>
      <x:c r="G15" s="14" t="n">
        <x:v>46101</x:v>
      </x:c>
      <x:c r="H15" s="14" t="n">
        <x:v>46169</x:v>
      </x:c>
      <x:c r="I15" s="12" t="n">
        <x:f>TODAY()-G15</x:f>
        <x:v>83</x:v>
      </x:c>
      <x:c r="J15" s="12" t="n">
        <x:v>58</x:v>
      </x:c>
      <x:c r="K15" s="12" t="str">
        <x:v>Medium</x:v>
      </x:c>
      <x:c r="L15" s="12" t="str">
        <x:v>Missing attachment</x:v>
      </x:c>
      <x:c r="M15" s="12" t="str">
        <x:v>Prepare response / follow up</x:v>
      </x:c>
    </x:row>
    <x:row r="16">
      <x:c r="A16" s="12" t="str">
        <x:v>APR-015</x:v>
      </x:c>
      <x:c r="B16" s="12" t="str">
        <x:v>License Amendment 15</x:v>
      </x:c>
      <x:c r="C16" s="12" t="str">
        <x:v>Agency</x:v>
      </x:c>
      <x:c r="D16" s="12" t="str">
        <x:v>MOF</x:v>
      </x:c>
      <x:c r="E16" s="12" t="str">
        <x:v>CEO Office</x:v>
      </x:c>
      <x:c r="F16" s="12" t="str">
        <x:v>Approved</x:v>
      </x:c>
      <x:c r="G16" s="14" t="n">
        <x:v>46136</x:v>
      </x:c>
      <x:c r="H16" s="14" t="n">
        <x:v>46191</x:v>
      </x:c>
      <x:c r="I16" s="12" t="n">
        <x:f>TODAY()-G16</x:f>
        <x:v>48</x:v>
      </x:c>
      <x:c r="J16" s="12" t="n">
        <x:v>57</x:v>
      </x:c>
      <x:c r="K16" s="12" t="str">
        <x:v>High</x:v>
      </x:c>
      <x:c r="L16" s="12" t="str">
        <x:v>Awaiting legal memo</x:v>
      </x:c>
      <x:c r="M16" s="12" t="str">
        <x:v>Prepare response / follow up</x:v>
      </x:c>
    </x:row>
    <x:row r="17">
      <x:c r="A17" s="12" t="str">
        <x:v>APR-016</x:v>
      </x:c>
      <x:c r="B17" s="12" t="str">
        <x:v>Health Rider Update 16</x:v>
      </x:c>
      <x:c r="C17" s="12" t="str">
        <x:v>Distribution</x:v>
      </x:c>
      <x:c r="D17" s="12" t="str">
        <x:v>ISA</x:v>
      </x:c>
      <x:c r="E17" s="12" t="str">
        <x:v>Bancassurance</x:v>
      </x:c>
      <x:c r="F17" s="12" t="str">
        <x:v>Submitted to Regulator</x:v>
      </x:c>
      <x:c r="G17" s="14" t="n">
        <x:v>46087</x:v>
      </x:c>
      <x:c r="H17" s="14" t="n">
        <x:v>46159</x:v>
      </x:c>
      <x:c r="I17" s="12" t="n">
        <x:f>TODAY()-G17</x:f>
        <x:v>97</x:v>
      </x:c>
      <x:c r="J17" s="12" t="n">
        <x:v>73</x:v>
      </x:c>
      <x:c r="K17" s="12" t="str">
        <x:v>High</x:v>
      </x:c>
      <x:c r="L17" s="12" t="str">
        <x:v>None</x:v>
      </x:c>
      <x:c r="M17" s="12" t="str">
        <x:v>Prepare response / follow up</x:v>
      </x:c>
    </x:row>
    <x:row r="18">
      <x:c r="A18" s="12" t="str">
        <x:v>APR-017</x:v>
      </x:c>
      <x:c r="B18" s="12" t="str">
        <x:v>Health Rider Update 17</x:v>
      </x:c>
      <x:c r="C18" s="12" t="str">
        <x:v>Agency</x:v>
      </x:c>
      <x:c r="D18" s="12" t="str">
        <x:v>ISA</x:v>
      </x:c>
      <x:c r="E18" s="12" t="str">
        <x:v>Bancassurance</x:v>
      </x:c>
      <x:c r="F18" s="12" t="str">
        <x:v>Submitted to Regulator</x:v>
      </x:c>
      <x:c r="G18" s="14" t="n">
        <x:v>46142</x:v>
      </x:c>
      <x:c r="H18" s="14" t="n">
        <x:v>46190</x:v>
      </x:c>
      <x:c r="I18" s="12" t="n">
        <x:f>TODAY()-G18</x:f>
        <x:v>42</x:v>
      </x:c>
      <x:c r="J18" s="12" t="n">
        <x:v>80</x:v>
      </x:c>
      <x:c r="K18" s="12" t="str">
        <x:v>Low</x:v>
      </x:c>
      <x:c r="L18" s="12" t="str">
        <x:v>Missing attachment</x:v>
      </x:c>
      <x:c r="M18" s="12" t="str">
        <x:v>Prepare response / follow up</x:v>
      </x:c>
    </x:row>
    <x:row r="19">
      <x:c r="A19" s="12" t="str">
        <x:v>APR-018</x:v>
      </x:c>
      <x:c r="B19" s="12" t="str">
        <x:v>License Amendment 18</x:v>
      </x:c>
      <x:c r="C19" s="12" t="str">
        <x:v>License</x:v>
      </x:c>
      <x:c r="D19" s="12" t="str">
        <x:v>ISA</x:v>
      </x:c>
      <x:c r="E19" s="12" t="str">
        <x:v>Agency</x:v>
      </x:c>
      <x:c r="F19" s="12" t="str">
        <x:v>Compliance Review</x:v>
      </x:c>
      <x:c r="G19" s="14" t="n">
        <x:v>46125</x:v>
      </x:c>
      <x:c r="H19" s="14" t="n">
        <x:v>46215</x:v>
      </x:c>
      <x:c r="I19" s="12" t="n">
        <x:f>TODAY()-G19</x:f>
        <x:v>59</x:v>
      </x:c>
      <x:c r="J19" s="12" t="n">
        <x:v>61</x:v>
      </x:c>
      <x:c r="K19" s="12" t="str">
        <x:v>High</x:v>
      </x:c>
      <x:c r="L19" s="12" t="str">
        <x:v>None</x:v>
      </x:c>
      <x:c r="M19" s="12" t="str">
        <x:v>Prepare response / follow up</x:v>
      </x:c>
    </x:row>
    <x:row r="20">
      <x:c r="A20" s="12" t="str">
        <x:v>APR-019</x:v>
      </x:c>
      <x:c r="B20" s="12" t="str">
        <x:v>License Amendment 19</x:v>
      </x:c>
      <x:c r="C20" s="12" t="str">
        <x:v>Transaction</x:v>
      </x:c>
      <x:c r="D20" s="12" t="str">
        <x:v>MOF</x:v>
      </x:c>
      <x:c r="E20" s="12" t="str">
        <x:v>Finance</x:v>
      </x:c>
      <x:c r="F20" s="12" t="str">
        <x:v>Compliance Review</x:v>
      </x:c>
      <x:c r="G20" s="14" t="n">
        <x:v>46087</x:v>
      </x:c>
      <x:c r="H20" s="14" t="n">
        <x:v>46131</x:v>
      </x:c>
      <x:c r="I20" s="12" t="n">
        <x:f>TODAY()-G20</x:f>
        <x:v>97</x:v>
      </x:c>
      <x:c r="J20" s="12" t="n">
        <x:v>58</x:v>
      </x:c>
      <x:c r="K20" s="12" t="str">
        <x:v>Low</x:v>
      </x:c>
      <x:c r="L20" s="12" t="str">
        <x:v>Regulator Q&amp;A</x:v>
      </x:c>
      <x:c r="M20" s="12" t="str">
        <x:v>Prepare response / follow up</x:v>
      </x:c>
    </x:row>
    <x:row r="21">
      <x:c r="A21" s="12" t="str">
        <x:v>APR-020</x:v>
      </x:c>
      <x:c r="B21" s="12" t="str">
        <x:v>New UL Product 20</x:v>
      </x:c>
      <x:c r="C21" s="12" t="str">
        <x:v>Capital</x:v>
      </x:c>
      <x:c r="D21" s="12" t="str">
        <x:v>ISA</x:v>
      </x:c>
      <x:c r="E21" s="12" t="str">
        <x:v>Finance</x:v>
      </x:c>
      <x:c r="F21" s="12" t="str">
        <x:v>Regulator Q&amp;A</x:v>
      </x:c>
      <x:c r="G21" s="14" t="n">
        <x:v>46144</x:v>
      </x:c>
      <x:c r="H21" s="14" t="n">
        <x:v>46231</x:v>
      </x:c>
      <x:c r="I21" s="12" t="n">
        <x:f>TODAY()-G21</x:f>
        <x:v>40</x:v>
      </x:c>
      <x:c r="J21" s="12" t="n">
        <x:v>68</x:v>
      </x:c>
      <x:c r="K21" s="12" t="str">
        <x:v>High</x:v>
      </x:c>
      <x:c r="L21" s="12" t="str">
        <x:v>Missing attachment</x:v>
      </x:c>
      <x:c r="M21" s="12" t="str">
        <x:v>Prepare response / follow up</x:v>
      </x:c>
    </x:row>
    <x:row r="22">
      <x:c r="A22" s="12" t="str">
        <x:v>APR-021</x:v>
      </x:c>
      <x:c r="B22" s="12" t="str">
        <x:v>New UL Product 21</x:v>
      </x:c>
      <x:c r="C22" s="12" t="str">
        <x:v>Product</x:v>
      </x:c>
      <x:c r="D22" s="12" t="str">
        <x:v>ISA</x:v>
      </x:c>
      <x:c r="E22" s="12" t="str">
        <x:v>Finance</x:v>
      </x:c>
      <x:c r="F22" s="12" t="str">
        <x:v>Legal Review</x:v>
      </x:c>
      <x:c r="G22" s="14" t="n">
        <x:v>46178</x:v>
      </x:c>
      <x:c r="H22" s="14" t="n">
        <x:v>46266</x:v>
      </x:c>
      <x:c r="I22" s="12" t="n">
        <x:f>TODAY()-G22</x:f>
        <x:v>6</x:v>
      </x:c>
      <x:c r="J22" s="12" t="n">
        <x:v>85</x:v>
      </x:c>
      <x:c r="K22" s="12" t="str">
        <x:v>Medium</x:v>
      </x:c>
      <x:c r="L22" s="12" t="str">
        <x:v>None</x:v>
      </x:c>
      <x:c r="M22" s="12" t="str">
        <x:v>Prepare response / follow up</x:v>
      </x:c>
    </x:row>
    <x:row r="23">
      <x:c r="A23" s="12" t="str">
        <x:v>APR-022</x:v>
      </x:c>
      <x:c r="B23" s="12" t="str">
        <x:v>Agency Training Program 22</x:v>
      </x:c>
      <x:c r="C23" s="12" t="str">
        <x:v>License</x:v>
      </x:c>
      <x:c r="D23" s="12" t="str">
        <x:v>ISA</x:v>
      </x:c>
      <x:c r="E23" s="12" t="str">
        <x:v>Agency</x:v>
      </x:c>
      <x:c r="F23" s="12" t="str">
        <x:v>Regulator Q&amp;A</x:v>
      </x:c>
      <x:c r="G23" s="14" t="n">
        <x:v>46068</x:v>
      </x:c>
      <x:c r="H23" s="14" t="n">
        <x:v>46089</x:v>
      </x:c>
      <x:c r="I23" s="12" t="n">
        <x:f>TODAY()-G23</x:f>
        <x:v>116</x:v>
      </x:c>
      <x:c r="J23" s="12" t="n">
        <x:v>56</x:v>
      </x:c>
      <x:c r="K23" s="12" t="str">
        <x:v>High</x:v>
      </x:c>
      <x:c r="L23" s="12" t="str">
        <x:v>Missing attachment</x:v>
      </x:c>
      <x:c r="M23" s="12" t="str">
        <x:v>Prepare response / follow up</x:v>
      </x:c>
    </x:row>
    <x:row r="24">
      <x:c r="A24" s="12" t="str">
        <x:v>APR-023</x:v>
      </x:c>
      <x:c r="B24" s="12" t="str">
        <x:v>New UL Product 23</x:v>
      </x:c>
      <x:c r="C24" s="12" t="str">
        <x:v>License</x:v>
      </x:c>
      <x:c r="D24" s="12" t="str">
        <x:v>ISA</x:v>
      </x:c>
      <x:c r="E24" s="12" t="str">
        <x:v>Product</x:v>
      </x:c>
      <x:c r="F24" s="12" t="str">
        <x:v>Legal Review</x:v>
      </x:c>
      <x:c r="G24" s="14" t="n">
        <x:v>46069</x:v>
      </x:c>
      <x:c r="H24" s="14" t="n">
        <x:v>46150</x:v>
      </x:c>
      <x:c r="I24" s="12" t="n">
        <x:f>TODAY()-G24</x:f>
        <x:v>115</x:v>
      </x:c>
      <x:c r="J24" s="12" t="n">
        <x:v>81</x:v>
      </x:c>
      <x:c r="K24" s="12" t="str">
        <x:v>Low</x:v>
      </x:c>
      <x:c r="L24" s="12" t="str">
        <x:v>None</x:v>
      </x:c>
      <x:c r="M24" s="12" t="str">
        <x:v>Prepare response / follow up</x:v>
      </x:c>
    </x:row>
    <x:row r="25">
      <x:c r="A25" s="12" t="str">
        <x:v>APR-024</x:v>
      </x:c>
      <x:c r="B25" s="12" t="str">
        <x:v>Capital Injection 24</x:v>
      </x:c>
      <x:c r="C25" s="12" t="str">
        <x:v>Product</x:v>
      </x:c>
      <x:c r="D25" s="12" t="str">
        <x:v>MOF</x:v>
      </x:c>
      <x:c r="E25" s="12" t="str">
        <x:v>Product</x:v>
      </x:c>
      <x:c r="F25" s="12" t="str">
        <x:v>Approved</x:v>
      </x:c>
      <x:c r="G25" s="14" t="n">
        <x:v>46160</x:v>
      </x:c>
      <x:c r="H25" s="14" t="n">
        <x:v>46199</x:v>
      </x:c>
      <x:c r="I25" s="12" t="n">
        <x:f>TODAY()-G25</x:f>
        <x:v>24</x:v>
      </x:c>
      <x:c r="J25" s="12" t="n">
        <x:v>80</x:v>
      </x:c>
      <x:c r="K25" s="12" t="str">
        <x:v>Medium</x:v>
      </x:c>
      <x:c r="L25" s="12" t="str">
        <x:v>Internal sign-off</x:v>
      </x:c>
      <x:c r="M25" s="12" t="str">
        <x:v>Prepare response / follow up</x:v>
      </x:c>
    </x:row>
    <x:row r="26">
      <x:c r="A26" s="12" t="str">
        <x:v>APR-025</x:v>
      </x:c>
      <x:c r="B26" s="12" t="str">
        <x:v>Agency Training Program 25</x:v>
      </x:c>
      <x:c r="C26" s="12" t="str">
        <x:v>License</x:v>
      </x:c>
      <x:c r="D26" s="12" t="str">
        <x:v>ISA</x:v>
      </x:c>
      <x:c r="E26" s="12" t="str">
        <x:v>Agency</x:v>
      </x:c>
      <x:c r="F26" s="12" t="str">
        <x:v>Approved</x:v>
      </x:c>
      <x:c r="G26" s="14" t="n">
        <x:v>46103</x:v>
      </x:c>
      <x:c r="H26" s="14" t="n">
        <x:v>46151</x:v>
      </x:c>
      <x:c r="I26" s="12" t="n">
        <x:f>TODAY()-G26</x:f>
        <x:v>81</x:v>
      </x:c>
      <x:c r="J26" s="12" t="n">
        <x:v>82</x:v>
      </x:c>
      <x:c r="K26" s="12" t="str">
        <x:v>Medium</x:v>
      </x:c>
      <x:c r="L26" s="12" t="str">
        <x:v>Missing attachment</x:v>
      </x:c>
      <x:c r="M26" s="12" t="str">
        <x:v>Prepare response / follow up</x:v>
      </x:c>
    </x:row>
  </x:sheetData>
  <x:dataValidations count="1">
    <x:dataValidation type="list" sqref="F2:F26">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c5b3cc4cb9704bd3"/>
  </x:tableParts>
</x:worksheet>
</file>

<file path=xl/worksheets/sheet5.xml><?xml version="1.0" encoding="utf-8"?>
<x:worksheet xmlns:x="http://schemas.openxmlformats.org/spreadsheetml/2006/main">
  <x:sheetFormatPr defaultRowHeight="15"/>
  <x:cols>
    <x:col min="1" max="1" width="13.729999542236328" hidden="0" customWidth="1"/>
    <x:col min="2" max="2" width="6.460000038146973" hidden="0" customWidth="1"/>
    <x:col min="3" max="3" width="10.5" hidden="0" customWidth="1"/>
    <x:col min="4" max="4" width="22.209999084472656" hidden="0" customWidth="1"/>
    <x:col min="5" max="5" width="17.360000610351562" hidden="0" customWidth="1"/>
    <x:col min="6" max="6" width="15.880000114440918" hidden="0" customWidth="1"/>
    <x:col min="7" max="7" width="8.609999656677246" hidden="0" customWidth="1"/>
    <x:col min="8" max="8" width="40.5099983215332" hidden="0" customWidth="1"/>
    <x:col min="9" max="9" width="16.690000534057617" hidden="0" customWidth="1"/>
    <x:col min="10" max="10" width="14.539999961853027" hidden="0" customWidth="1"/>
    <x:col min="11" max="11" width="8.75" hidden="0" customWidth="1"/>
  </x:cols>
  <x:sheetData>
    <x:row r="1">
      <x:c r="A1" s="6" t="str">
        <x:v>Interaction ID</x:v>
      </x:c>
      <x:c r="B1" s="6" t="str">
        <x:v>Date</x:v>
      </x:c>
      <x:c r="C1" s="6" t="str">
        <x:v>Regulator</x:v>
      </x:c>
      <x:c r="D1" s="6" t="str">
        <x:v>Person / Unit</x:v>
      </x:c>
      <x:c r="E1" s="6" t="str">
        <x:v>Topic</x:v>
      </x:c>
      <x:c r="F1" s="6" t="str">
        <x:v>Interaction Type</x:v>
      </x:c>
      <x:c r="G1" s="6" t="str">
        <x:v>Tone</x:v>
      </x:c>
      <x:c r="H1" s="6" t="str">
        <x:v>Key Message</x:v>
      </x:c>
      <x:c r="I1" s="6" t="str">
        <x:v>Follow-up Owner</x:v>
      </x:c>
      <x:c r="J1" s="6" t="str">
        <x:v>Follow-up Due</x:v>
      </x:c>
      <x:c r="K1" s="6" t="str">
        <x:v>Status</x:v>
      </x:c>
      <x:c r="L1" s="12"/>
      <x:c r="M1" s="12"/>
      <x:c r="N1" s="12"/>
      <x:c r="O1" s="12"/>
      <x:c r="P1" s="12"/>
      <x:c r="Q1" s="12"/>
      <x:c r="R1" s="12"/>
      <x:c r="S1" s="12"/>
      <x:c r="T1" s="12"/>
      <x:c r="U1" s="12"/>
      <x:c r="V1" s="12"/>
      <x:c r="W1" s="12"/>
      <x:c r="X1" s="12"/>
      <x:c r="Y1" s="12"/>
      <x:c r="Z1" s="12"/>
    </x:row>
    <x:row r="2">
      <x:c r="A2" s="12" t="str">
        <x:v>INT-001</x:v>
      </x:c>
      <x:c r="B2" s="14" t="n">
        <x:v>45601</x:v>
      </x:c>
      <x:c r="C2" s="12" t="str">
        <x:v>MIC</x:v>
      </x:c>
      <x:c r="D2" s="12" t="str">
        <x:v>Policy Dept</x:v>
      </x:c>
      <x:c r="E2" s="12" t="str">
        <x:v>Capital requirement</x:v>
      </x:c>
      <x:c r="F2" s="12" t="str">
        <x:v>Call</x:v>
      </x:c>
      <x:c r="G2" s="12" t="str">
        <x:v>Neutral</x:v>
      </x:c>
      <x:c r="H2" s="12" t="str">
        <x:v>Provide transparent update and confirm next steps</x:v>
      </x:c>
      <x:c r="I2" s="12" t="str">
        <x:v>Agency</x:v>
      </x:c>
      <x:c r="J2" s="14" t="n">
        <x:v>45606</x:v>
      </x:c>
      <x:c r="K2" s="12" t="str">
        <x:v>Open</x:v>
      </x:c>
    </x:row>
    <x:row r="3">
      <x:c r="A3" s="12" t="str">
        <x:v>INT-002</x:v>
      </x:c>
      <x:c r="B3" s="14" t="n">
        <x:v>45938</x:v>
      </x:c>
      <x:c r="C3" s="12" t="str">
        <x:v>ISA</x:v>
      </x:c>
      <x:c r="D3" s="12" t="str">
        <x:v>Association Secretariat</x:v>
      </x:c>
      <x:c r="E3" s="12" t="str">
        <x:v>Capital requirement</x:v>
      </x:c>
      <x:c r="F3" s="12" t="str">
        <x:v>Call</x:v>
      </x:c>
      <x:c r="G3" s="12" t="str">
        <x:v>Positive</x:v>
      </x:c>
      <x:c r="H3" s="12" t="str">
        <x:v>Provide transparent update and confirm next steps</x:v>
      </x:c>
      <x:c r="I3" s="12" t="str">
        <x:v>Operations</x:v>
      </x:c>
      <x:c r="J3" s="14" t="n">
        <x:v>45955</x:v>
      </x:c>
      <x:c r="K3" s="12" t="str">
        <x:v>In Progress</x:v>
      </x:c>
    </x:row>
    <x:row r="4">
      <x:c r="A4" s="12" t="str">
        <x:v>INT-003</x:v>
      </x:c>
      <x:c r="B4" s="14" t="n">
        <x:v>45575</x:v>
      </x:c>
      <x:c r="C4" s="12" t="str">
        <x:v>SBV</x:v>
      </x:c>
      <x:c r="D4" s="12" t="str">
        <x:v>Insurance Supervision Team</x:v>
      </x:c>
      <x:c r="E4" s="12" t="str">
        <x:v>Product approval</x:v>
      </x:c>
      <x:c r="F4" s="12" t="str">
        <x:v>Call</x:v>
      </x:c>
      <x:c r="G4" s="12" t="str">
        <x:v>Cautious</x:v>
      </x:c>
      <x:c r="H4" s="12" t="str">
        <x:v>Provide transparent update and confirm next steps</x:v>
      </x:c>
      <x:c r="I4" s="12" t="str">
        <x:v>Agency</x:v>
      </x:c>
      <x:c r="J4" s="14" t="n">
        <x:v>45592</x:v>
      </x:c>
      <x:c r="K4" s="12" t="str">
        <x:v>Open</x:v>
      </x:c>
    </x:row>
    <x:row r="5">
      <x:c r="A5" s="12" t="str">
        <x:v>INT-004</x:v>
      </x:c>
      <x:c r="B5" s="14" t="n">
        <x:v>45480</x:v>
      </x:c>
      <x:c r="C5" s="12" t="str">
        <x:v>ISA</x:v>
      </x:c>
      <x:c r="D5" s="12" t="str">
        <x:v>Insurance Supervision Team</x:v>
      </x:c>
      <x:c r="E5" s="12" t="str">
        <x:v>Consumer complaints</x:v>
      </x:c>
      <x:c r="F5" s="12" t="str">
        <x:v>Submission counter</x:v>
      </x:c>
      <x:c r="G5" s="12" t="str">
        <x:v>Positive</x:v>
      </x:c>
      <x:c r="H5" s="12" t="str">
        <x:v>Provide transparent update and confirm next steps</x:v>
      </x:c>
      <x:c r="I5" s="12" t="str">
        <x:v>Product</x:v>
      </x:c>
      <x:c r="J5" s="14" t="n">
        <x:v>45487</x:v>
      </x:c>
      <x:c r="K5" s="12" t="str">
        <x:v>Closed</x:v>
      </x:c>
    </x:row>
    <x:row r="6">
      <x:c r="A6" s="12" t="str">
        <x:v>INT-005</x:v>
      </x:c>
      <x:c r="B6" s="14" t="n">
        <x:v>46038</x:v>
      </x:c>
      <x:c r="C6" s="12" t="str">
        <x:v>MOF</x:v>
      </x:c>
      <x:c r="D6" s="12" t="str">
        <x:v>Policy Dept</x:v>
      </x:c>
      <x:c r="E6" s="12" t="str">
        <x:v>Market conduct</x:v>
      </x:c>
      <x:c r="F6" s="12" t="str">
        <x:v>Email</x:v>
      </x:c>
      <x:c r="G6" s="12" t="str">
        <x:v>Cautious</x:v>
      </x:c>
      <x:c r="H6" s="12" t="str">
        <x:v>Provide transparent update and confirm next steps</x:v>
      </x:c>
      <x:c r="I6" s="12" t="str">
        <x:v>CEO Office</x:v>
      </x:c>
      <x:c r="J6" s="14" t="n">
        <x:v>46044</x:v>
      </x:c>
      <x:c r="K6" s="12" t="str">
        <x:v>Closed</x:v>
      </x:c>
    </x:row>
    <x:row r="7">
      <x:c r="A7" s="12" t="str">
        <x:v>INT-006</x:v>
      </x:c>
      <x:c r="B7" s="14" t="n">
        <x:v>45478</x:v>
      </x:c>
      <x:c r="C7" s="12" t="str">
        <x:v>IAV</x:v>
      </x:c>
      <x:c r="D7" s="12" t="str">
        <x:v>Legal Unit</x:v>
      </x:c>
      <x:c r="E7" s="12" t="str">
        <x:v>Data privacy</x:v>
      </x:c>
      <x:c r="F7" s="12" t="str">
        <x:v>Workshop</x:v>
      </x:c>
      <x:c r="G7" s="12" t="str">
        <x:v>Concerned</x:v>
      </x:c>
      <x:c r="H7" s="12" t="str">
        <x:v>Provide transparent update and confirm next steps</x:v>
      </x:c>
      <x:c r="I7" s="12" t="str">
        <x:v>CEO Office</x:v>
      </x:c>
      <x:c r="J7" s="14" t="n">
        <x:v>45483</x:v>
      </x:c>
      <x:c r="K7" s="12" t="str">
        <x:v>In Progress</x:v>
      </x:c>
    </x:row>
    <x:row r="8">
      <x:c r="A8" s="12" t="str">
        <x:v>INT-007</x:v>
      </x:c>
      <x:c r="B8" s="14" t="n">
        <x:v>46143</x:v>
      </x:c>
      <x:c r="C8" s="12" t="str">
        <x:v>SBV</x:v>
      </x:c>
      <x:c r="D8" s="12" t="str">
        <x:v>Insurance Supervision Team</x:v>
      </x:c>
      <x:c r="E8" s="12" t="str">
        <x:v>Data privacy</x:v>
      </x:c>
      <x:c r="F8" s="12" t="str">
        <x:v>Meeting</x:v>
      </x:c>
      <x:c r="G8" s="12" t="str">
        <x:v>Positive</x:v>
      </x:c>
      <x:c r="H8" s="12" t="str">
        <x:v>Provide transparent update and confirm next steps</x:v>
      </x:c>
      <x:c r="I8" s="12" t="str">
        <x:v>Product</x:v>
      </x:c>
      <x:c r="J8" s="14" t="n">
        <x:v>46146</x:v>
      </x:c>
      <x:c r="K8" s="12" t="str">
        <x:v>In Progress</x:v>
      </x:c>
    </x:row>
    <x:row r="9">
      <x:c r="A9" s="12" t="str">
        <x:v>INT-008</x:v>
      </x:c>
      <x:c r="B9" s="14" t="n">
        <x:v>45908</x:v>
      </x:c>
      <x:c r="C9" s="12" t="str">
        <x:v>MIC</x:v>
      </x:c>
      <x:c r="D9" s="12" t="str">
        <x:v>Policy Dept</x:v>
      </x:c>
      <x:c r="E9" s="12" t="str">
        <x:v>Market conduct</x:v>
      </x:c>
      <x:c r="F9" s="12" t="str">
        <x:v>Submission counter</x:v>
      </x:c>
      <x:c r="G9" s="12" t="str">
        <x:v>Concerned</x:v>
      </x:c>
      <x:c r="H9" s="12" t="str">
        <x:v>Provide transparent update and confirm next steps</x:v>
      </x:c>
      <x:c r="I9" s="12" t="str">
        <x:v>Agency</x:v>
      </x:c>
      <x:c r="J9" s="14" t="n">
        <x:v>45916</x:v>
      </x:c>
      <x:c r="K9" s="12" t="str">
        <x:v>In Progress</x:v>
      </x:c>
    </x:row>
    <x:row r="10">
      <x:c r="A10" s="12" t="str">
        <x:v>INT-009</x:v>
      </x:c>
      <x:c r="B10" s="14" t="n">
        <x:v>45737</x:v>
      </x:c>
      <x:c r="C10" s="12" t="str">
        <x:v>VCA</x:v>
      </x:c>
      <x:c r="D10" s="12" t="str">
        <x:v>Legal Unit</x:v>
      </x:c>
      <x:c r="E10" s="12" t="str">
        <x:v>Capital requirement</x:v>
      </x:c>
      <x:c r="F10" s="12" t="str">
        <x:v>Submission counter</x:v>
      </x:c>
      <x:c r="G10" s="12" t="str">
        <x:v>Cautious</x:v>
      </x:c>
      <x:c r="H10" s="12" t="str">
        <x:v>Provide transparent update and confirm next steps</x:v>
      </x:c>
      <x:c r="I10" s="12" t="str">
        <x:v>Operations</x:v>
      </x:c>
      <x:c r="J10" s="14" t="n">
        <x:v>45750</x:v>
      </x:c>
      <x:c r="K10" s="12" t="str">
        <x:v>Closed</x:v>
      </x:c>
    </x:row>
    <x:row r="11">
      <x:c r="A11" s="12" t="str">
        <x:v>INT-010</x:v>
      </x:c>
      <x:c r="B11" s="14" t="n">
        <x:v>45497</x:v>
      </x:c>
      <x:c r="C11" s="12" t="str">
        <x:v>MOF</x:v>
      </x:c>
      <x:c r="D11" s="12" t="str">
        <x:v>Administrative Office</x:v>
      </x:c>
      <x:c r="E11" s="12" t="str">
        <x:v>Bancassurance</x:v>
      </x:c>
      <x:c r="F11" s="12" t="str">
        <x:v>Submission counter</x:v>
      </x:c>
      <x:c r="G11" s="12" t="str">
        <x:v>Concerned</x:v>
      </x:c>
      <x:c r="H11" s="12" t="str">
        <x:v>Provide transparent update and confirm next steps</x:v>
      </x:c>
      <x:c r="I11" s="12" t="str">
        <x:v>Agency</x:v>
      </x:c>
      <x:c r="J11" s="14" t="n">
        <x:v>45512</x:v>
      </x:c>
      <x:c r="K11" s="12" t="str">
        <x:v>In Progress</x:v>
      </x:c>
    </x:row>
    <x:row r="12">
      <x:c r="A12" s="12" t="str">
        <x:v>INT-011</x:v>
      </x:c>
      <x:c r="B12" s="14" t="n">
        <x:v>46146</x:v>
      </x:c>
      <x:c r="C12" s="12" t="str">
        <x:v>SBV</x:v>
      </x:c>
      <x:c r="D12" s="12" t="str">
        <x:v>Policy Dept</x:v>
      </x:c>
      <x:c r="E12" s="12" t="str">
        <x:v>Bancassurance</x:v>
      </x:c>
      <x:c r="F12" s="12" t="str">
        <x:v>Email</x:v>
      </x:c>
      <x:c r="G12" s="12" t="str">
        <x:v>Cautious</x:v>
      </x:c>
      <x:c r="H12" s="12" t="str">
        <x:v>Provide transparent update and confirm next steps</x:v>
      </x:c>
      <x:c r="I12" s="12" t="str">
        <x:v>Compliance</x:v>
      </x:c>
      <x:c r="J12" s="14" t="n">
        <x:v>46161</x:v>
      </x:c>
      <x:c r="K12" s="12" t="str">
        <x:v>In Progress</x:v>
      </x:c>
    </x:row>
    <x:row r="13">
      <x:c r="A13" s="12" t="str">
        <x:v>INT-012</x:v>
      </x:c>
      <x:c r="B13" s="14" t="n">
        <x:v>46182</x:v>
      </x:c>
      <x:c r="C13" s="12" t="str">
        <x:v>VCA</x:v>
      </x:c>
      <x:c r="D13" s="12" t="str">
        <x:v>Association Secretariat</x:v>
      </x:c>
      <x:c r="E13" s="12" t="str">
        <x:v>ESG reporting</x:v>
      </x:c>
      <x:c r="F13" s="12" t="str">
        <x:v>Submission counter</x:v>
      </x:c>
      <x:c r="G13" s="12" t="str">
        <x:v>Positive</x:v>
      </x:c>
      <x:c r="H13" s="12" t="str">
        <x:v>Provide transparent update and confirm next steps</x:v>
      </x:c>
      <x:c r="I13" s="12" t="str">
        <x:v>Product</x:v>
      </x:c>
      <x:c r="J13" s="14" t="n">
        <x:v>46201</x:v>
      </x:c>
      <x:c r="K13" s="12" t="str">
        <x:v>Closed</x:v>
      </x:c>
    </x:row>
    <x:row r="14">
      <x:c r="A14" s="12" t="str">
        <x:v>INT-013</x:v>
      </x:c>
      <x:c r="B14" s="14" t="n">
        <x:v>45546</x:v>
      </x:c>
      <x:c r="C14" s="12" t="str">
        <x:v>SBV</x:v>
      </x:c>
      <x:c r="D14" s="12" t="str">
        <x:v>Legal Unit</x:v>
      </x:c>
      <x:c r="E14" s="12" t="str">
        <x:v>Product approval</x:v>
      </x:c>
      <x:c r="F14" s="12" t="str">
        <x:v>Call</x:v>
      </x:c>
      <x:c r="G14" s="12" t="str">
        <x:v>Cautious</x:v>
      </x:c>
      <x:c r="H14" s="12" t="str">
        <x:v>Provide transparent update and confirm next steps</x:v>
      </x:c>
      <x:c r="I14" s="12" t="str">
        <x:v>Finance</x:v>
      </x:c>
      <x:c r="J14" s="14" t="n">
        <x:v>45558</x:v>
      </x:c>
      <x:c r="K14" s="12" t="str">
        <x:v>Closed</x:v>
      </x:c>
    </x:row>
    <x:row r="15">
      <x:c r="A15" s="12" t="str">
        <x:v>INT-014</x:v>
      </x:c>
      <x:c r="B15" s="14" t="n">
        <x:v>45468</x:v>
      </x:c>
      <x:c r="C15" s="12" t="str">
        <x:v>SBV</x:v>
      </x:c>
      <x:c r="D15" s="12" t="str">
        <x:v>Policy Dept</x:v>
      </x:c>
      <x:c r="E15" s="12" t="str">
        <x:v>Product approval</x:v>
      </x:c>
      <x:c r="F15" s="12" t="str">
        <x:v>Workshop</x:v>
      </x:c>
      <x:c r="G15" s="12" t="str">
        <x:v>Neutral</x:v>
      </x:c>
      <x:c r="H15" s="12" t="str">
        <x:v>Provide transparent update and confirm next steps</x:v>
      </x:c>
      <x:c r="I15" s="12" t="str">
        <x:v>Finance</x:v>
      </x:c>
      <x:c r="J15" s="14" t="n">
        <x:v>45480</x:v>
      </x:c>
      <x:c r="K15" s="12" t="str">
        <x:v>In Progress</x:v>
      </x:c>
    </x:row>
    <x:row r="16">
      <x:c r="A16" s="12" t="str">
        <x:v>INT-015</x:v>
      </x:c>
      <x:c r="B16" s="14" t="n">
        <x:v>46169</x:v>
      </x:c>
      <x:c r="C16" s="12" t="str">
        <x:v>MIC</x:v>
      </x:c>
      <x:c r="D16" s="12" t="str">
        <x:v>Legal Unit</x:v>
      </x:c>
      <x:c r="E16" s="12" t="str">
        <x:v>Capital requirement</x:v>
      </x:c>
      <x:c r="F16" s="12" t="str">
        <x:v>Call</x:v>
      </x:c>
      <x:c r="G16" s="12" t="str">
        <x:v>Positive</x:v>
      </x:c>
      <x:c r="H16" s="12" t="str">
        <x:v>Provide transparent update and confirm next steps</x:v>
      </x:c>
      <x:c r="I16" s="12" t="str">
        <x:v>CEO Office</x:v>
      </x:c>
      <x:c r="J16" s="14" t="n">
        <x:v>46175</x:v>
      </x:c>
      <x:c r="K16" s="12" t="str">
        <x:v>In Progress</x:v>
      </x:c>
    </x:row>
    <x:row r="17">
      <x:c r="A17" s="12" t="str">
        <x:v>INT-016</x:v>
      </x:c>
      <x:c r="B17" s="14" t="n">
        <x:v>46026</x:v>
      </x:c>
      <x:c r="C17" s="12" t="str">
        <x:v>SBV</x:v>
      </x:c>
      <x:c r="D17" s="12" t="str">
        <x:v>Insurance Supervision Team</x:v>
      </x:c>
      <x:c r="E17" s="12" t="str">
        <x:v>Quarterly update</x:v>
      </x:c>
      <x:c r="F17" s="12" t="str">
        <x:v>Email</x:v>
      </x:c>
      <x:c r="G17" s="12" t="str">
        <x:v>Concerned</x:v>
      </x:c>
      <x:c r="H17" s="12" t="str">
        <x:v>Provide transparent update and confirm next steps</x:v>
      </x:c>
      <x:c r="I17" s="12" t="str">
        <x:v>CEO Office</x:v>
      </x:c>
      <x:c r="J17" s="14" t="n">
        <x:v>46044</x:v>
      </x:c>
      <x:c r="K17" s="12" t="str">
        <x:v>Open</x:v>
      </x:c>
    </x:row>
    <x:row r="18">
      <x:c r="A18" s="12" t="str">
        <x:v>INT-017</x:v>
      </x:c>
      <x:c r="B18" s="14" t="n">
        <x:v>45716</x:v>
      </x:c>
      <x:c r="C18" s="12" t="str">
        <x:v>MIC</x:v>
      </x:c>
      <x:c r="D18" s="12" t="str">
        <x:v>Administrative Office</x:v>
      </x:c>
      <x:c r="E18" s="12" t="str">
        <x:v>Agency training</x:v>
      </x:c>
      <x:c r="F18" s="12" t="str">
        <x:v>Call</x:v>
      </x:c>
      <x:c r="G18" s="12" t="str">
        <x:v>Neutral</x:v>
      </x:c>
      <x:c r="H18" s="12" t="str">
        <x:v>Provide transparent update and confirm next steps</x:v>
      </x:c>
      <x:c r="I18" s="12" t="str">
        <x:v>Compliance</x:v>
      </x:c>
      <x:c r="J18" s="14" t="n">
        <x:v>45727</x:v>
      </x:c>
      <x:c r="K18" s="12" t="str">
        <x:v>Closed</x:v>
      </x:c>
    </x:row>
    <x:row r="19">
      <x:c r="A19" s="12" t="str">
        <x:v>INT-018</x:v>
      </x:c>
      <x:c r="B19" s="14" t="n">
        <x:v>45835</x:v>
      </x:c>
      <x:c r="C19" s="12" t="str">
        <x:v>MIC</x:v>
      </x:c>
      <x:c r="D19" s="12" t="str">
        <x:v>Insurance Supervision Team</x:v>
      </x:c>
      <x:c r="E19" s="12" t="str">
        <x:v>Product approval</x:v>
      </x:c>
      <x:c r="F19" s="12" t="str">
        <x:v>Email</x:v>
      </x:c>
      <x:c r="G19" s="12" t="str">
        <x:v>Cautious</x:v>
      </x:c>
      <x:c r="H19" s="12" t="str">
        <x:v>Provide transparent update and confirm next steps</x:v>
      </x:c>
      <x:c r="I19" s="12" t="str">
        <x:v>CEO Office</x:v>
      </x:c>
      <x:c r="J19" s="14" t="n">
        <x:v>45842</x:v>
      </x:c>
      <x:c r="K19" s="12" t="str">
        <x:v>Closed</x:v>
      </x:c>
    </x:row>
    <x:row r="20">
      <x:c r="A20" s="12" t="str">
        <x:v>INT-019</x:v>
      </x:c>
      <x:c r="B20" s="14" t="n">
        <x:v>45632</x:v>
      </x:c>
      <x:c r="C20" s="12" t="str">
        <x:v>SBV</x:v>
      </x:c>
      <x:c r="D20" s="12" t="str">
        <x:v>Insurance Supervision Team</x:v>
      </x:c>
      <x:c r="E20" s="12" t="str">
        <x:v>Bancassurance</x:v>
      </x:c>
      <x:c r="F20" s="12" t="str">
        <x:v>Workshop</x:v>
      </x:c>
      <x:c r="G20" s="12" t="str">
        <x:v>Concerned</x:v>
      </x:c>
      <x:c r="H20" s="12" t="str">
        <x:v>Provide transparent update and confirm next steps</x:v>
      </x:c>
      <x:c r="I20" s="12" t="str">
        <x:v>CEO Office</x:v>
      </x:c>
      <x:c r="J20" s="14" t="n">
        <x:v>45645</x:v>
      </x:c>
      <x:c r="K20" s="12" t="str">
        <x:v>Open</x:v>
      </x:c>
    </x:row>
    <x:row r="21">
      <x:c r="A21" s="12" t="str">
        <x:v>INT-020</x:v>
      </x:c>
      <x:c r="B21" s="14" t="n">
        <x:v>45469</x:v>
      </x:c>
      <x:c r="C21" s="12" t="str">
        <x:v>ISA</x:v>
      </x:c>
      <x:c r="D21" s="12" t="str">
        <x:v>Association Secretariat</x:v>
      </x:c>
      <x:c r="E21" s="12" t="str">
        <x:v>Agency training</x:v>
      </x:c>
      <x:c r="F21" s="12" t="str">
        <x:v>Call</x:v>
      </x:c>
      <x:c r="G21" s="12" t="str">
        <x:v>Concerned</x:v>
      </x:c>
      <x:c r="H21" s="12" t="str">
        <x:v>Provide transparent update and confirm next steps</x:v>
      </x:c>
      <x:c r="I21" s="12" t="str">
        <x:v>Legal</x:v>
      </x:c>
      <x:c r="J21" s="14" t="n">
        <x:v>45482</x:v>
      </x:c>
      <x:c r="K21" s="12" t="str">
        <x:v>In Progress</x:v>
      </x:c>
    </x:row>
    <x:row r="22">
      <x:c r="A22" s="12" t="str">
        <x:v>INT-021</x:v>
      </x:c>
      <x:c r="B22" s="14" t="n">
        <x:v>45699</x:v>
      </x:c>
      <x:c r="C22" s="12" t="str">
        <x:v>VCA</x:v>
      </x:c>
      <x:c r="D22" s="12" t="str">
        <x:v>Legal Unit</x:v>
      </x:c>
      <x:c r="E22" s="12" t="str">
        <x:v>Agency training</x:v>
      </x:c>
      <x:c r="F22" s="12" t="str">
        <x:v>Call</x:v>
      </x:c>
      <x:c r="G22" s="12" t="str">
        <x:v>Concerned</x:v>
      </x:c>
      <x:c r="H22" s="12" t="str">
        <x:v>Provide transparent update and confirm next steps</x:v>
      </x:c>
      <x:c r="I22" s="12" t="str">
        <x:v>Legal</x:v>
      </x:c>
      <x:c r="J22" s="14" t="n">
        <x:v>45706</x:v>
      </x:c>
      <x:c r="K22" s="12" t="str">
        <x:v>In Progress</x:v>
      </x:c>
    </x:row>
    <x:row r="23">
      <x:c r="A23" s="12" t="str">
        <x:v>INT-022</x:v>
      </x:c>
      <x:c r="B23" s="14" t="n">
        <x:v>45579</x:v>
      </x:c>
      <x:c r="C23" s="12" t="str">
        <x:v>IAV</x:v>
      </x:c>
      <x:c r="D23" s="12" t="str">
        <x:v>Policy Dept</x:v>
      </x:c>
      <x:c r="E23" s="12" t="str">
        <x:v>ESG reporting</x:v>
      </x:c>
      <x:c r="F23" s="12" t="str">
        <x:v>Meeting</x:v>
      </x:c>
      <x:c r="G23" s="12" t="str">
        <x:v>Concerned</x:v>
      </x:c>
      <x:c r="H23" s="12" t="str">
        <x:v>Provide transparent update and confirm next steps</x:v>
      </x:c>
      <x:c r="I23" s="12" t="str">
        <x:v>Legal</x:v>
      </x:c>
      <x:c r="J23" s="14" t="n">
        <x:v>45586</x:v>
      </x:c>
      <x:c r="K23" s="12" t="str">
        <x:v>Closed</x:v>
      </x:c>
    </x:row>
    <x:row r="24">
      <x:c r="A24" s="12" t="str">
        <x:v>INT-023</x:v>
      </x:c>
      <x:c r="B24" s="14" t="n">
        <x:v>45513</x:v>
      </x:c>
      <x:c r="C24" s="12" t="str">
        <x:v>ISA</x:v>
      </x:c>
      <x:c r="D24" s="12" t="str">
        <x:v>Policy Dept</x:v>
      </x:c>
      <x:c r="E24" s="12" t="str">
        <x:v>ESG reporting</x:v>
      </x:c>
      <x:c r="F24" s="12" t="str">
        <x:v>Email</x:v>
      </x:c>
      <x:c r="G24" s="12" t="str">
        <x:v>Cautious</x:v>
      </x:c>
      <x:c r="H24" s="12" t="str">
        <x:v>Provide transparent update and confirm next steps</x:v>
      </x:c>
      <x:c r="I24" s="12" t="str">
        <x:v>Operations</x:v>
      </x:c>
      <x:c r="J24" s="14" t="n">
        <x:v>45518</x:v>
      </x:c>
      <x:c r="K24" s="12" t="str">
        <x:v>Closed</x:v>
      </x:c>
    </x:row>
    <x:row r="25">
      <x:c r="A25" s="12" t="str">
        <x:v>INT-024</x:v>
      </x:c>
      <x:c r="B25" s="14" t="n">
        <x:v>45493</x:v>
      </x:c>
      <x:c r="C25" s="12" t="str">
        <x:v>MIC</x:v>
      </x:c>
      <x:c r="D25" s="12" t="str">
        <x:v>Legal Unit</x:v>
      </x:c>
      <x:c r="E25" s="12" t="str">
        <x:v>Bancassurance</x:v>
      </x:c>
      <x:c r="F25" s="12" t="str">
        <x:v>Submission counter</x:v>
      </x:c>
      <x:c r="G25" s="12" t="str">
        <x:v>Positive</x:v>
      </x:c>
      <x:c r="H25" s="12" t="str">
        <x:v>Provide transparent update and confirm next steps</x:v>
      </x:c>
      <x:c r="I25" s="12" t="str">
        <x:v>Compliance</x:v>
      </x:c>
      <x:c r="J25" s="14" t="n">
        <x:v>45503</x:v>
      </x:c>
      <x:c r="K25" s="12" t="str">
        <x:v>In Progress</x:v>
      </x:c>
    </x:row>
    <x:row r="26">
      <x:c r="A26" s="12" t="str">
        <x:v>INT-025</x:v>
      </x:c>
      <x:c r="B26" s="14" t="n">
        <x:v>45483</x:v>
      </x:c>
      <x:c r="C26" s="12" t="str">
        <x:v>IAV</x:v>
      </x:c>
      <x:c r="D26" s="12" t="str">
        <x:v>Administrative Office</x:v>
      </x:c>
      <x:c r="E26" s="12" t="str">
        <x:v>Capital requirement</x:v>
      </x:c>
      <x:c r="F26" s="12" t="str">
        <x:v>Submission counter</x:v>
      </x:c>
      <x:c r="G26" s="12" t="str">
        <x:v>Positive</x:v>
      </x:c>
      <x:c r="H26" s="12" t="str">
        <x:v>Provide transparent update and confirm next steps</x:v>
      </x:c>
      <x:c r="I26" s="12" t="str">
        <x:v>Compliance</x:v>
      </x:c>
      <x:c r="J26" s="14" t="n">
        <x:v>45500</x:v>
      </x:c>
      <x:c r="K26" s="12" t="str">
        <x:v>Open</x:v>
      </x:c>
    </x:row>
    <x:row r="27">
      <x:c r="A27" s="12" t="str">
        <x:v>INT-026</x:v>
      </x:c>
      <x:c r="B27" s="14" t="n">
        <x:v>45473</x:v>
      </x:c>
      <x:c r="C27" s="12" t="str">
        <x:v>IAV</x:v>
      </x:c>
      <x:c r="D27" s="12" t="str">
        <x:v>Policy Dept</x:v>
      </x:c>
      <x:c r="E27" s="12" t="str">
        <x:v>Product approval</x:v>
      </x:c>
      <x:c r="F27" s="12" t="str">
        <x:v>Email</x:v>
      </x:c>
      <x:c r="G27" s="12" t="str">
        <x:v>Positive</x:v>
      </x:c>
      <x:c r="H27" s="12" t="str">
        <x:v>Provide transparent update and confirm next steps</x:v>
      </x:c>
      <x:c r="I27" s="12" t="str">
        <x:v>Agency</x:v>
      </x:c>
      <x:c r="J27" s="14" t="n">
        <x:v>45487</x:v>
      </x:c>
      <x:c r="K27" s="12" t="str">
        <x:v>Closed</x:v>
      </x:c>
    </x:row>
    <x:row r="28">
      <x:c r="A28" s="12" t="str">
        <x:v>INT-027</x:v>
      </x:c>
      <x:c r="B28" s="14" t="n">
        <x:v>45742</x:v>
      </x:c>
      <x:c r="C28" s="12" t="str">
        <x:v>ISA</x:v>
      </x:c>
      <x:c r="D28" s="12" t="str">
        <x:v>Administrative Office</x:v>
      </x:c>
      <x:c r="E28" s="12" t="str">
        <x:v>Quarterly update</x:v>
      </x:c>
      <x:c r="F28" s="12" t="str">
        <x:v>Submission counter</x:v>
      </x:c>
      <x:c r="G28" s="12" t="str">
        <x:v>Neutral</x:v>
      </x:c>
      <x:c r="H28" s="12" t="str">
        <x:v>Provide transparent update and confirm next steps</x:v>
      </x:c>
      <x:c r="I28" s="12" t="str">
        <x:v>Finance</x:v>
      </x:c>
      <x:c r="J28" s="14" t="n">
        <x:v>45750</x:v>
      </x:c>
      <x:c r="K28" s="12" t="str">
        <x:v>Open</x:v>
      </x:c>
    </x:row>
    <x:row r="29">
      <x:c r="A29" s="12" t="str">
        <x:v>INT-028</x:v>
      </x:c>
      <x:c r="B29" s="14" t="n">
        <x:v>45559</x:v>
      </x:c>
      <x:c r="C29" s="12" t="str">
        <x:v>SBV</x:v>
      </x:c>
      <x:c r="D29" s="12" t="str">
        <x:v>Association Secretariat</x:v>
      </x:c>
      <x:c r="E29" s="12" t="str">
        <x:v>Consumer complaints</x:v>
      </x:c>
      <x:c r="F29" s="12" t="str">
        <x:v>Submission counter</x:v>
      </x:c>
      <x:c r="G29" s="12" t="str">
        <x:v>Neutral</x:v>
      </x:c>
      <x:c r="H29" s="12" t="str">
        <x:v>Provide transparent update and confirm next steps</x:v>
      </x:c>
      <x:c r="I29" s="12" t="str">
        <x:v>Product</x:v>
      </x:c>
      <x:c r="J29" s="14" t="n">
        <x:v>45576</x:v>
      </x:c>
      <x:c r="K29" s="12" t="str">
        <x:v>In Progress</x:v>
      </x:c>
    </x:row>
    <x:row r="30">
      <x:c r="A30" s="12" t="str">
        <x:v>INT-029</x:v>
      </x:c>
      <x:c r="B30" s="14" t="n">
        <x:v>45923</x:v>
      </x:c>
      <x:c r="C30" s="12" t="str">
        <x:v>SBV</x:v>
      </x:c>
      <x:c r="D30" s="12" t="str">
        <x:v>Insurance Supervision Team</x:v>
      </x:c>
      <x:c r="E30" s="12" t="str">
        <x:v>Product approval</x:v>
      </x:c>
      <x:c r="F30" s="12" t="str">
        <x:v>Submission counter</x:v>
      </x:c>
      <x:c r="G30" s="12" t="str">
        <x:v>Cautious</x:v>
      </x:c>
      <x:c r="H30" s="12" t="str">
        <x:v>Provide transparent update and confirm next steps</x:v>
      </x:c>
      <x:c r="I30" s="12" t="str">
        <x:v>Finance</x:v>
      </x:c>
      <x:c r="J30" s="14" t="n">
        <x:v>45928</x:v>
      </x:c>
      <x:c r="K30" s="12" t="str">
        <x:v>Closed</x:v>
      </x:c>
    </x:row>
    <x:row r="31">
      <x:c r="A31" s="12" t="str">
        <x:v>INT-030</x:v>
      </x:c>
      <x:c r="B31" s="14" t="n">
        <x:v>45830</x:v>
      </x:c>
      <x:c r="C31" s="12" t="str">
        <x:v>MIC</x:v>
      </x:c>
      <x:c r="D31" s="12" t="str">
        <x:v>Insurance Supervision Team</x:v>
      </x:c>
      <x:c r="E31" s="12" t="str">
        <x:v>Agency training</x:v>
      </x:c>
      <x:c r="F31" s="12" t="str">
        <x:v>Email</x:v>
      </x:c>
      <x:c r="G31" s="12" t="str">
        <x:v>Concerned</x:v>
      </x:c>
      <x:c r="H31" s="12" t="str">
        <x:v>Provide transparent update and confirm next steps</x:v>
      </x:c>
      <x:c r="I31" s="12" t="str">
        <x:v>Agency</x:v>
      </x:c>
      <x:c r="J31" s="14" t="n">
        <x:v>45839</x:v>
      </x:c>
      <x:c r="K31" s="12" t="str">
        <x:v>Closed</x:v>
      </x:c>
    </x:row>
    <x:row r="32">
      <x:c r="A32" s="12" t="str">
        <x:v>INT-031</x:v>
      </x:c>
      <x:c r="B32" s="14" t="n">
        <x:v>45689</x:v>
      </x:c>
      <x:c r="C32" s="12" t="str">
        <x:v>MOF</x:v>
      </x:c>
      <x:c r="D32" s="12" t="str">
        <x:v>Administrative Office</x:v>
      </x:c>
      <x:c r="E32" s="12" t="str">
        <x:v>Agency training</x:v>
      </x:c>
      <x:c r="F32" s="12" t="str">
        <x:v>Workshop</x:v>
      </x:c>
      <x:c r="G32" s="12" t="str">
        <x:v>Cautious</x:v>
      </x:c>
      <x:c r="H32" s="12" t="str">
        <x:v>Provide transparent update and confirm next steps</x:v>
      </x:c>
      <x:c r="I32" s="12" t="str">
        <x:v>Agency</x:v>
      </x:c>
      <x:c r="J32" s="14" t="n">
        <x:v>45701</x:v>
      </x:c>
      <x:c r="K32" s="12" t="str">
        <x:v>Open</x:v>
      </x:c>
    </x:row>
    <x:row r="33">
      <x:c r="A33" s="12" t="str">
        <x:v>INT-032</x:v>
      </x:c>
      <x:c r="B33" s="14" t="n">
        <x:v>45509</x:v>
      </x:c>
      <x:c r="C33" s="12" t="str">
        <x:v>SBV</x:v>
      </x:c>
      <x:c r="D33" s="12" t="str">
        <x:v>Insurance Supervision Team</x:v>
      </x:c>
      <x:c r="E33" s="12" t="str">
        <x:v>Product approval</x:v>
      </x:c>
      <x:c r="F33" s="12" t="str">
        <x:v>Workshop</x:v>
      </x:c>
      <x:c r="G33" s="12" t="str">
        <x:v>Positive</x:v>
      </x:c>
      <x:c r="H33" s="12" t="str">
        <x:v>Provide transparent update and confirm next steps</x:v>
      </x:c>
      <x:c r="I33" s="12" t="str">
        <x:v>CEO Office</x:v>
      </x:c>
      <x:c r="J33" s="14" t="n">
        <x:v>45521</x:v>
      </x:c>
      <x:c r="K33" s="12" t="str">
        <x:v>Open</x:v>
      </x:c>
    </x:row>
    <x:row r="34">
      <x:c r="A34" s="12" t="str">
        <x:v>INT-033</x:v>
      </x:c>
      <x:c r="B34" s="14" t="n">
        <x:v>45562</x:v>
      </x:c>
      <x:c r="C34" s="12" t="str">
        <x:v>IAV</x:v>
      </x:c>
      <x:c r="D34" s="12" t="str">
        <x:v>Administrative Office</x:v>
      </x:c>
      <x:c r="E34" s="12" t="str">
        <x:v>Consumer complaints</x:v>
      </x:c>
      <x:c r="F34" s="12" t="str">
        <x:v>Workshop</x:v>
      </x:c>
      <x:c r="G34" s="12" t="str">
        <x:v>Cautious</x:v>
      </x:c>
      <x:c r="H34" s="12" t="str">
        <x:v>Provide transparent update and confirm next steps</x:v>
      </x:c>
      <x:c r="I34" s="12" t="str">
        <x:v>Finance</x:v>
      </x:c>
      <x:c r="J34" s="14" t="n">
        <x:v>45568</x:v>
      </x:c>
      <x:c r="K34" s="12" t="str">
        <x:v>In Progress</x:v>
      </x:c>
    </x:row>
    <x:row r="35">
      <x:c r="A35" s="12" t="str">
        <x:v>INT-034</x:v>
      </x:c>
      <x:c r="B35" s="14" t="n">
        <x:v>45522</x:v>
      </x:c>
      <x:c r="C35" s="12" t="str">
        <x:v>MOF</x:v>
      </x:c>
      <x:c r="D35" s="12" t="str">
        <x:v>Insurance Supervision Team</x:v>
      </x:c>
      <x:c r="E35" s="12" t="str">
        <x:v>ESG reporting</x:v>
      </x:c>
      <x:c r="F35" s="12" t="str">
        <x:v>Meeting</x:v>
      </x:c>
      <x:c r="G35" s="12" t="str">
        <x:v>Cautious</x:v>
      </x:c>
      <x:c r="H35" s="12" t="str">
        <x:v>Provide transparent update and confirm next steps</x:v>
      </x:c>
      <x:c r="I35" s="12" t="str">
        <x:v>Finance</x:v>
      </x:c>
      <x:c r="J35" s="14" t="n">
        <x:v>45527</x:v>
      </x:c>
      <x:c r="K35" s="12" t="str">
        <x:v>Closed</x:v>
      </x:c>
    </x:row>
    <x:row r="36">
      <x:c r="A36" s="12" t="str">
        <x:v>INT-035</x:v>
      </x:c>
      <x:c r="B36" s="14" t="n">
        <x:v>45849</x:v>
      </x:c>
      <x:c r="C36" s="12" t="str">
        <x:v>VCA</x:v>
      </x:c>
      <x:c r="D36" s="12" t="str">
        <x:v>Legal Unit</x:v>
      </x:c>
      <x:c r="E36" s="12" t="str">
        <x:v>Market conduct</x:v>
      </x:c>
      <x:c r="F36" s="12" t="str">
        <x:v>Call</x:v>
      </x:c>
      <x:c r="G36" s="12" t="str">
        <x:v>Neutral</x:v>
      </x:c>
      <x:c r="H36" s="12" t="str">
        <x:v>Provide transparent update and confirm next steps</x:v>
      </x:c>
      <x:c r="I36" s="12" t="str">
        <x:v>Bancassurance</x:v>
      </x:c>
      <x:c r="J36" s="14" t="n">
        <x:v>45868</x:v>
      </x:c>
      <x:c r="K36" s="12" t="str">
        <x:v>In Progress</x:v>
      </x:c>
    </x:row>
    <x:row r="37">
      <x:c r="A37" s="12" t="str">
        <x:v>INT-036</x:v>
      </x:c>
      <x:c r="B37" s="14" t="n">
        <x:v>45904</x:v>
      </x:c>
      <x:c r="C37" s="12" t="str">
        <x:v>ISA</x:v>
      </x:c>
      <x:c r="D37" s="12" t="str">
        <x:v>Insurance Supervision Team</x:v>
      </x:c>
      <x:c r="E37" s="12" t="str">
        <x:v>ESG reporting</x:v>
      </x:c>
      <x:c r="F37" s="12" t="str">
        <x:v>Email</x:v>
      </x:c>
      <x:c r="G37" s="12" t="str">
        <x:v>Cautious</x:v>
      </x:c>
      <x:c r="H37" s="12" t="str">
        <x:v>Provide transparent update and confirm next steps</x:v>
      </x:c>
      <x:c r="I37" s="12" t="str">
        <x:v>Compliance</x:v>
      </x:c>
      <x:c r="J37" s="14" t="n">
        <x:v>45921</x:v>
      </x:c>
      <x:c r="K37" s="12" t="str">
        <x:v>Open</x:v>
      </x:c>
    </x:row>
    <x:row r="38">
      <x:c r="A38" s="12" t="str">
        <x:v>INT-037</x:v>
      </x:c>
      <x:c r="B38" s="14" t="n">
        <x:v>46039</x:v>
      </x:c>
      <x:c r="C38" s="12" t="str">
        <x:v>ISA</x:v>
      </x:c>
      <x:c r="D38" s="12" t="str">
        <x:v>Legal Unit</x:v>
      </x:c>
      <x:c r="E38" s="12" t="str">
        <x:v>Quarterly update</x:v>
      </x:c>
      <x:c r="F38" s="12" t="str">
        <x:v>Email</x:v>
      </x:c>
      <x:c r="G38" s="12" t="str">
        <x:v>Positive</x:v>
      </x:c>
      <x:c r="H38" s="12" t="str">
        <x:v>Provide transparent update and confirm next steps</x:v>
      </x:c>
      <x:c r="I38" s="12" t="str">
        <x:v>Operations</x:v>
      </x:c>
      <x:c r="J38" s="14" t="n">
        <x:v>46042</x:v>
      </x:c>
      <x:c r="K38" s="12" t="str">
        <x:v>Closed</x:v>
      </x:c>
    </x:row>
    <x:row r="39">
      <x:c r="A39" s="12" t="str">
        <x:v>INT-038</x:v>
      </x:c>
      <x:c r="B39" s="14" t="n">
        <x:v>45634</x:v>
      </x:c>
      <x:c r="C39" s="12" t="str">
        <x:v>MOF</x:v>
      </x:c>
      <x:c r="D39" s="12" t="str">
        <x:v>Legal Unit</x:v>
      </x:c>
      <x:c r="E39" s="12" t="str">
        <x:v>Bancassurance</x:v>
      </x:c>
      <x:c r="F39" s="12" t="str">
        <x:v>Email</x:v>
      </x:c>
      <x:c r="G39" s="12" t="str">
        <x:v>Concerned</x:v>
      </x:c>
      <x:c r="H39" s="12" t="str">
        <x:v>Provide transparent update and confirm next steps</x:v>
      </x:c>
      <x:c r="I39" s="12" t="str">
        <x:v>Bancassurance</x:v>
      </x:c>
      <x:c r="J39" s="14" t="n">
        <x:v>45640</x:v>
      </x:c>
      <x:c r="K39" s="12" t="str">
        <x:v>In Progress</x:v>
      </x:c>
    </x:row>
    <x:row r="40">
      <x:c r="A40" s="12" t="str">
        <x:v>INT-039</x:v>
      </x:c>
      <x:c r="B40" s="14" t="n">
        <x:v>45944</x:v>
      </x:c>
      <x:c r="C40" s="12" t="str">
        <x:v>SBV</x:v>
      </x:c>
      <x:c r="D40" s="12" t="str">
        <x:v>Policy Dept</x:v>
      </x:c>
      <x:c r="E40" s="12" t="str">
        <x:v>Quarterly update</x:v>
      </x:c>
      <x:c r="F40" s="12" t="str">
        <x:v>Email</x:v>
      </x:c>
      <x:c r="G40" s="12" t="str">
        <x:v>Neutral</x:v>
      </x:c>
      <x:c r="H40" s="12" t="str">
        <x:v>Provide transparent update and confirm next steps</x:v>
      </x:c>
      <x:c r="I40" s="12" t="str">
        <x:v>Compliance</x:v>
      </x:c>
      <x:c r="J40" s="14" t="n">
        <x:v>45961</x:v>
      </x:c>
      <x:c r="K40" s="12" t="str">
        <x:v>In Progress</x:v>
      </x:c>
    </x:row>
    <x:row r="41">
      <x:c r="A41" s="12" t="str">
        <x:v>INT-040</x:v>
      </x:c>
      <x:c r="B41" s="14" t="n">
        <x:v>45874</x:v>
      </x:c>
      <x:c r="C41" s="12" t="str">
        <x:v>VCA</x:v>
      </x:c>
      <x:c r="D41" s="12" t="str">
        <x:v>Legal Unit</x:v>
      </x:c>
      <x:c r="E41" s="12" t="str">
        <x:v>Capital requirement</x:v>
      </x:c>
      <x:c r="F41" s="12" t="str">
        <x:v>Call</x:v>
      </x:c>
      <x:c r="G41" s="12" t="str">
        <x:v>Positive</x:v>
      </x:c>
      <x:c r="H41" s="12" t="str">
        <x:v>Provide transparent update and confirm next steps</x:v>
      </x:c>
      <x:c r="I41" s="12" t="str">
        <x:v>Legal</x:v>
      </x:c>
      <x:c r="J41" s="14" t="n">
        <x:v>45886</x:v>
      </x:c>
      <x:c r="K41" s="12" t="str">
        <x:v>Closed</x:v>
      </x:c>
    </x:row>
    <x:row r="42">
      <x:c r="A42" s="12" t="str">
        <x:v>INT-041</x:v>
      </x:c>
      <x:c r="B42" s="14" t="n">
        <x:v>46065</x:v>
      </x:c>
      <x:c r="C42" s="12" t="str">
        <x:v>MOF</x:v>
      </x:c>
      <x:c r="D42" s="12" t="str">
        <x:v>Administrative Office</x:v>
      </x:c>
      <x:c r="E42" s="12" t="str">
        <x:v>Quarterly update</x:v>
      </x:c>
      <x:c r="F42" s="12" t="str">
        <x:v>Call</x:v>
      </x:c>
      <x:c r="G42" s="12" t="str">
        <x:v>Concerned</x:v>
      </x:c>
      <x:c r="H42" s="12" t="str">
        <x:v>Provide transparent update and confirm next steps</x:v>
      </x:c>
      <x:c r="I42" s="12" t="str">
        <x:v>CEO Office</x:v>
      </x:c>
      <x:c r="J42" s="14" t="n">
        <x:v>46079</x:v>
      </x:c>
      <x:c r="K42" s="12" t="str">
        <x:v>In Progress</x:v>
      </x:c>
    </x:row>
    <x:row r="43">
      <x:c r="A43" s="12" t="str">
        <x:v>INT-042</x:v>
      </x:c>
      <x:c r="B43" s="14" t="n">
        <x:v>45470</x:v>
      </x:c>
      <x:c r="C43" s="12" t="str">
        <x:v>MIC</x:v>
      </x:c>
      <x:c r="D43" s="12" t="str">
        <x:v>Legal Unit</x:v>
      </x:c>
      <x:c r="E43" s="12" t="str">
        <x:v>Market conduct</x:v>
      </x:c>
      <x:c r="F43" s="12" t="str">
        <x:v>Submission counter</x:v>
      </x:c>
      <x:c r="G43" s="12" t="str">
        <x:v>Positive</x:v>
      </x:c>
      <x:c r="H43" s="12" t="str">
        <x:v>Provide transparent update and confirm next steps</x:v>
      </x:c>
      <x:c r="I43" s="12" t="str">
        <x:v>CEO Office</x:v>
      </x:c>
      <x:c r="J43" s="14" t="n">
        <x:v>45486</x:v>
      </x:c>
      <x:c r="K43" s="12" t="str">
        <x:v>Closed</x:v>
      </x:c>
    </x:row>
    <x:row r="44">
      <x:c r="A44" s="12" t="str">
        <x:v>INT-043</x:v>
      </x:c>
      <x:c r="B44" s="14" t="n">
        <x:v>46150</x:v>
      </x:c>
      <x:c r="C44" s="12" t="str">
        <x:v>VCA</x:v>
      </x:c>
      <x:c r="D44" s="12" t="str">
        <x:v>Insurance Supervision Team</x:v>
      </x:c>
      <x:c r="E44" s="12" t="str">
        <x:v>Consumer complaints</x:v>
      </x:c>
      <x:c r="F44" s="12" t="str">
        <x:v>Submission counter</x:v>
      </x:c>
      <x:c r="G44" s="12" t="str">
        <x:v>Concerned</x:v>
      </x:c>
      <x:c r="H44" s="12" t="str">
        <x:v>Provide transparent update and confirm next steps</x:v>
      </x:c>
      <x:c r="I44" s="12" t="str">
        <x:v>Product</x:v>
      </x:c>
      <x:c r="J44" s="14" t="n">
        <x:v>46164</x:v>
      </x:c>
      <x:c r="K44" s="12" t="str">
        <x:v>Open</x:v>
      </x:c>
    </x:row>
    <x:row r="45">
      <x:c r="A45" s="12" t="str">
        <x:v>INT-044</x:v>
      </x:c>
      <x:c r="B45" s="14" t="n">
        <x:v>45481</x:v>
      </x:c>
      <x:c r="C45" s="12" t="str">
        <x:v>IAV</x:v>
      </x:c>
      <x:c r="D45" s="12" t="str">
        <x:v>Association Secretariat</x:v>
      </x:c>
      <x:c r="E45" s="12" t="str">
        <x:v>Bancassurance</x:v>
      </x:c>
      <x:c r="F45" s="12" t="str">
        <x:v>Meeting</x:v>
      </x:c>
      <x:c r="G45" s="12" t="str">
        <x:v>Concerned</x:v>
      </x:c>
      <x:c r="H45" s="12" t="str">
        <x:v>Provide transparent update and confirm next steps</x:v>
      </x:c>
      <x:c r="I45" s="12" t="str">
        <x:v>Agency</x:v>
      </x:c>
      <x:c r="J45" s="14" t="n">
        <x:v>45490</x:v>
      </x:c>
      <x:c r="K45" s="12" t="str">
        <x:v>Open</x:v>
      </x:c>
    </x:row>
    <x:row r="46">
      <x:c r="A46" s="12" t="str">
        <x:v>INT-045</x:v>
      </x:c>
      <x:c r="B46" s="14" t="n">
        <x:v>45718</x:v>
      </x:c>
      <x:c r="C46" s="12" t="str">
        <x:v>MOF</x:v>
      </x:c>
      <x:c r="D46" s="12" t="str">
        <x:v>Administrative Office</x:v>
      </x:c>
      <x:c r="E46" s="12" t="str">
        <x:v>Product approval</x:v>
      </x:c>
      <x:c r="F46" s="12" t="str">
        <x:v>Meeting</x:v>
      </x:c>
      <x:c r="G46" s="12" t="str">
        <x:v>Cautious</x:v>
      </x:c>
      <x:c r="H46" s="12" t="str">
        <x:v>Provide transparent update and confirm next steps</x:v>
      </x:c>
      <x:c r="I46" s="12" t="str">
        <x:v>Product</x:v>
      </x:c>
      <x:c r="J46" s="14" t="n">
        <x:v>45725</x:v>
      </x:c>
      <x:c r="K46" s="12" t="str">
        <x:v>In Progress</x:v>
      </x:c>
    </x:row>
    <x:row r="47">
      <x:c r="A47" s="12" t="str">
        <x:v>INT-046</x:v>
      </x:c>
      <x:c r="B47" s="14" t="n">
        <x:v>45973</x:v>
      </x:c>
      <x:c r="C47" s="12" t="str">
        <x:v>MOF</x:v>
      </x:c>
      <x:c r="D47" s="12" t="str">
        <x:v>Association Secretariat</x:v>
      </x:c>
      <x:c r="E47" s="12" t="str">
        <x:v>Consumer complaints</x:v>
      </x:c>
      <x:c r="F47" s="12" t="str">
        <x:v>Workshop</x:v>
      </x:c>
      <x:c r="G47" s="12" t="str">
        <x:v>Neutral</x:v>
      </x:c>
      <x:c r="H47" s="12" t="str">
        <x:v>Provide transparent update and confirm next steps</x:v>
      </x:c>
      <x:c r="I47" s="12" t="str">
        <x:v>Product</x:v>
      </x:c>
      <x:c r="J47" s="14" t="n">
        <x:v>45986</x:v>
      </x:c>
      <x:c r="K47" s="12" t="str">
        <x:v>Open</x:v>
      </x:c>
    </x:row>
    <x:row r="48">
      <x:c r="A48" s="12" t="str">
        <x:v>INT-047</x:v>
      </x:c>
      <x:c r="B48" s="14" t="n">
        <x:v>45573</x:v>
      </x:c>
      <x:c r="C48" s="12" t="str">
        <x:v>MOF</x:v>
      </x:c>
      <x:c r="D48" s="12" t="str">
        <x:v>Insurance Supervision Team</x:v>
      </x:c>
      <x:c r="E48" s="12" t="str">
        <x:v>Market conduct</x:v>
      </x:c>
      <x:c r="F48" s="12" t="str">
        <x:v>Call</x:v>
      </x:c>
      <x:c r="G48" s="12" t="str">
        <x:v>Cautious</x:v>
      </x:c>
      <x:c r="H48" s="12" t="str">
        <x:v>Provide transparent update and confirm next steps</x:v>
      </x:c>
      <x:c r="I48" s="12" t="str">
        <x:v>Finance</x:v>
      </x:c>
      <x:c r="J48" s="14" t="n">
        <x:v>45579</x:v>
      </x:c>
      <x:c r="K48" s="12" t="str">
        <x:v>In Progress</x:v>
      </x:c>
    </x:row>
    <x:row r="49">
      <x:c r="A49" s="12" t="str">
        <x:v>INT-048</x:v>
      </x:c>
      <x:c r="B49" s="14" t="n">
        <x:v>46157</x:v>
      </x:c>
      <x:c r="C49" s="12" t="str">
        <x:v>ISA</x:v>
      </x:c>
      <x:c r="D49" s="12" t="str">
        <x:v>Policy Dept</x:v>
      </x:c>
      <x:c r="E49" s="12" t="str">
        <x:v>Bancassurance</x:v>
      </x:c>
      <x:c r="F49" s="12" t="str">
        <x:v>Call</x:v>
      </x:c>
      <x:c r="G49" s="12" t="str">
        <x:v>Cautious</x:v>
      </x:c>
      <x:c r="H49" s="12" t="str">
        <x:v>Provide transparent update and confirm next steps</x:v>
      </x:c>
      <x:c r="I49" s="12" t="str">
        <x:v>Legal</x:v>
      </x:c>
      <x:c r="J49" s="14" t="n">
        <x:v>46165</x:v>
      </x:c>
      <x:c r="K49" s="12" t="str">
        <x:v>Closed</x:v>
      </x:c>
    </x:row>
  </x:sheetData>
  <x:dataValidations count="1">
    <x:dataValidation type="list" sqref="K2:K49">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0e7feef5918c44cd"/>
  </x:tableParts>
</x:worksheet>
</file>

<file path=xl/worksheets/sheet6.xml><?xml version="1.0" encoding="utf-8"?>
<x:worksheet xmlns:x="http://schemas.openxmlformats.org/spreadsheetml/2006/main">
  <x:sheetFormatPr defaultRowHeight="15"/>
  <x:cols>
    <x:col min="1" max="1" width="9.6899995803833" hidden="0" customWidth="1"/>
    <x:col min="2" max="2" width="36.880001068115234" hidden="0" customWidth="1"/>
    <x:col min="3" max="3" width="8.75" hidden="0" customWidth="1"/>
    <x:col min="4" max="4" width="14.130000114440918" hidden="0" customWidth="1"/>
    <x:col min="5" max="5" width="17.6299991607666" hidden="0" customWidth="1"/>
    <x:col min="6" max="6" width="14.670000076293945" hidden="0" customWidth="1"/>
    <x:col min="7" max="7" width="20.049999237060547" hidden="0" customWidth="1"/>
    <x:col min="8" max="8" width="22.06999969482422" hidden="0" customWidth="1"/>
    <x:col min="9" max="9" width="10.899999618530273" hidden="0" customWidth="1"/>
    <x:col min="10" max="10" width="12.789999961853027" hidden="0" customWidth="1"/>
    <x:col min="11" max="11" width="47.63999938964844" hidden="0" customWidth="1"/>
    <x:col min="12" max="12" width="10.229999542236328" hidden="0" customWidth="1"/>
  </x:cols>
  <x:sheetData>
    <x:row r="1">
      <x:c r="A1" s="6" t="str">
        <x:v>Policy ID</x:v>
      </x:c>
      <x:c r="B1" s="6" t="str">
        <x:v>Policy / Regulation</x:v>
      </x:c>
      <x:c r="C1" s="6" t="str">
        <x:v>Agency</x:v>
      </x:c>
      <x:c r="D1" s="6" t="str">
        <x:v>Policy Stage</x:v>
      </x:c>
      <x:c r="E1" s="6" t="str">
        <x:v>Expected Timeline</x:v>
      </x:c>
      <x:c r="F1" s="6" t="str">
        <x:v>Probability (%)</x:v>
      </x:c>
      <x:c r="G1" s="6" t="str">
        <x:v>Business Impact (1-5)</x:v>
      </x:c>
      <x:c r="H1" s="6" t="str">
        <x:v>Reputation Impact (1-5)</x:v>
      </x:c>
      <x:c r="I1" s="6" t="str">
        <x:v>Risk Score</x:v>
      </x:c>
      <x:c r="J1" s="6" t="str">
        <x:v>Opportunity</x:v>
      </x:c>
      <x:c r="K1" s="6" t="str">
        <x:v>Recommended Action</x:v>
      </x:c>
      <x:c r="L1" s="6" t="str">
        <x:v>Owner</x:v>
      </x:c>
      <x:c r="M1" s="12"/>
      <x:c r="N1" s="12"/>
      <x:c r="O1" s="12"/>
      <x:c r="P1" s="12"/>
      <x:c r="Q1" s="12"/>
      <x:c r="R1" s="12"/>
      <x:c r="S1" s="12"/>
      <x:c r="T1" s="12"/>
      <x:c r="U1" s="12"/>
      <x:c r="V1" s="12"/>
      <x:c r="W1" s="12"/>
      <x:c r="X1" s="12"/>
      <x:c r="Y1" s="12"/>
      <x:c r="Z1" s="12"/>
    </x:row>
    <x:row r="2">
      <x:c r="A2" s="12" t="str">
        <x:v>POL-001</x:v>
      </x:c>
      <x:c r="B2" s="12" t="str">
        <x:v>Insurance Law amendment</x:v>
      </x:c>
      <x:c r="C2" s="12" t="str">
        <x:v>MOF</x:v>
      </x:c>
      <x:c r="D2" s="12" t="str">
        <x:v>Draft discussion</x:v>
      </x:c>
      <x:c r="E2" s="12" t="str">
        <x:v>0-3 months</x:v>
      </x:c>
      <x:c r="F2" s="12" t="n">
        <x:v>38</x:v>
      </x:c>
      <x:c r="G2" s="12" t="n">
        <x:v>3</x:v>
      </x:c>
      <x:c r="H2" s="12" t="n">
        <x:v>4</x:v>
      </x:c>
      <x:c r="I2" s="12" t="n">
        <x:f>ROUND(F2*G2*H2/100,2)</x:f>
        <x:v>4.56</x:v>
      </x:c>
      <x:c r="J2" s="12" t="str">
        <x:v>High</x:v>
      </x:c>
      <x:c r="K2" s="12" t="str">
        <x:v>Monitor, prepare internal memo and engage via association</x:v>
      </x:c>
      <x:c r="L2" s="12" t="str">
        <x:v>Legal</x:v>
      </x:c>
    </x:row>
    <x:row r="3">
      <x:c r="A3" s="12" t="str">
        <x:v>POL-002</x:v>
      </x:c>
      <x:c r="B3" s="12" t="str">
        <x:v>Circular on product approval process</x:v>
      </x:c>
      <x:c r="C3" s="12" t="str">
        <x:v>ISA</x:v>
      </x:c>
      <x:c r="D3" s="12" t="str">
        <x:v>Consultation</x:v>
      </x:c>
      <x:c r="E3" s="12" t="str">
        <x:v>0-3 months</x:v>
      </x:c>
      <x:c r="F3" s="12" t="n">
        <x:v>65</x:v>
      </x:c>
      <x:c r="G3" s="12" t="n">
        <x:v>5</x:v>
      </x:c>
      <x:c r="H3" s="12" t="n">
        <x:v>3</x:v>
      </x:c>
      <x:c r="I3" s="12" t="n">
        <x:f>ROUND(F3*G3*H3/100,2)</x:f>
        <x:v>9.75</x:v>
      </x:c>
      <x:c r="J3" s="12" t="str">
        <x:v>Medium</x:v>
      </x:c>
      <x:c r="K3" s="12" t="str">
        <x:v>Monitor, prepare internal memo and engage via association</x:v>
      </x:c>
      <x:c r="L3" s="12" t="str">
        <x:v>Compliance</x:v>
      </x:c>
    </x:row>
    <x:row r="4">
      <x:c r="A4" s="12" t="str">
        <x:v>POL-003</x:v>
      </x:c>
      <x:c r="B4" s="12" t="str">
        <x:v>Bancassurance conduct guideline</x:v>
      </x:c>
      <x:c r="C4" s="12" t="str">
        <x:v>SBV / MOF</x:v>
      </x:c>
      <x:c r="D4" s="12" t="str">
        <x:v>Drafting</x:v>
      </x:c>
      <x:c r="E4" s="12" t="str">
        <x:v>6-12 months</x:v>
      </x:c>
      <x:c r="F4" s="12" t="n">
        <x:v>74</x:v>
      </x:c>
      <x:c r="G4" s="12" t="n">
        <x:v>2</x:v>
      </x:c>
      <x:c r="H4" s="12" t="n">
        <x:v>5</x:v>
      </x:c>
      <x:c r="I4" s="12" t="n">
        <x:f>ROUND(F4*G4*H4/100,2)</x:f>
        <x:v>7.4</x:v>
      </x:c>
      <x:c r="J4" s="12" t="str">
        <x:v>Medium</x:v>
      </x:c>
      <x:c r="K4" s="12" t="str">
        <x:v>Monitor, prepare internal memo and engage via association</x:v>
      </x:c>
      <x:c r="L4" s="12" t="str">
        <x:v>Legal</x:v>
      </x:c>
    </x:row>
    <x:row r="5">
      <x:c r="A5" s="12" t="str">
        <x:v>POL-004</x:v>
      </x:c>
      <x:c r="B5" s="12" t="str">
        <x:v>Personal data protection implementation</x:v>
      </x:c>
      <x:c r="C5" s="12" t="str">
        <x:v>MIC</x:v>
      </x:c>
      <x:c r="D5" s="12" t="str">
        <x:v>Implementation</x:v>
      </x:c>
      <x:c r="E5" s="12" t="str">
        <x:v>12+ months</x:v>
      </x:c>
      <x:c r="F5" s="12" t="n">
        <x:v>38</x:v>
      </x:c>
      <x:c r="G5" s="12" t="n">
        <x:v>5</x:v>
      </x:c>
      <x:c r="H5" s="12" t="n">
        <x:v>4</x:v>
      </x:c>
      <x:c r="I5" s="12" t="n">
        <x:f>ROUND(F5*G5*H5/100,2)</x:f>
        <x:v>7.6</x:v>
      </x:c>
      <x:c r="J5" s="12" t="str">
        <x:v>High</x:v>
      </x:c>
      <x:c r="K5" s="12" t="str">
        <x:v>Monitor, prepare internal memo and engage via association</x:v>
      </x:c>
      <x:c r="L5" s="12" t="str">
        <x:v>Legal</x:v>
      </x:c>
    </x:row>
    <x:row r="6">
      <x:c r="A6" s="12" t="str">
        <x:v>POL-005</x:v>
      </x:c>
      <x:c r="B6" s="12" t="str">
        <x:v>Consumer protection reporting requirement</x:v>
      </x:c>
      <x:c r="C6" s="12" t="str">
        <x:v>VCA</x:v>
      </x:c>
      <x:c r="D6" s="12" t="str">
        <x:v>Effective soon</x:v>
      </x:c>
      <x:c r="E6" s="12" t="str">
        <x:v>0-3 months</x:v>
      </x:c>
      <x:c r="F6" s="12" t="n">
        <x:v>66</x:v>
      </x:c>
      <x:c r="G6" s="12" t="n">
        <x:v>5</x:v>
      </x:c>
      <x:c r="H6" s="12" t="n">
        <x:v>1</x:v>
      </x:c>
      <x:c r="I6" s="12" t="n">
        <x:f>ROUND(F6*G6*H6/100,2)</x:f>
        <x:v>3.3</x:v>
      </x:c>
      <x:c r="J6" s="12" t="str">
        <x:v>Medium</x:v>
      </x:c>
      <x:c r="K6" s="12" t="str">
        <x:v>Monitor, prepare internal memo and engage via association</x:v>
      </x:c>
      <x:c r="L6" s="12" t="str">
        <x:v>Compliance</x:v>
      </x:c>
    </x:row>
    <x:row r="7">
      <x:c r="A7" s="12" t="str">
        <x:v>POL-006</x:v>
      </x:c>
      <x:c r="B7" s="12" t="str">
        <x:v>Mandatory ESG disclosure for insurers</x:v>
      </x:c>
      <x:c r="C7" s="12" t="str">
        <x:v>MOF</x:v>
      </x:c>
      <x:c r="D7" s="12" t="str">
        <x:v>Early consultation</x:v>
      </x:c>
      <x:c r="E7" s="12" t="str">
        <x:v>6-12 months</x:v>
      </x:c>
      <x:c r="F7" s="12" t="n">
        <x:v>39</x:v>
      </x:c>
      <x:c r="G7" s="12" t="n">
        <x:v>3</x:v>
      </x:c>
      <x:c r="H7" s="12" t="n">
        <x:v>3</x:v>
      </x:c>
      <x:c r="I7" s="12" t="n">
        <x:f>ROUND(F7*G7*H7/100,2)</x:f>
        <x:v>3.51</x:v>
      </x:c>
      <x:c r="J7" s="12" t="str">
        <x:v>Medium</x:v>
      </x:c>
      <x:c r="K7" s="12" t="str">
        <x:v>Monitor, prepare internal memo and engage via association</x:v>
      </x:c>
      <x:c r="L7" s="12" t="str">
        <x:v>Public Affairs</x:v>
      </x:c>
    </x:row>
    <x:row r="8">
      <x:c r="A8" s="12" t="str">
        <x:v>POL-007</x:v>
      </x:c>
      <x:c r="B8" s="12" t="str">
        <x:v>Capital adequacy and solvency update</x:v>
      </x:c>
      <x:c r="C8" s="12" t="str">
        <x:v>ISA</x:v>
      </x:c>
      <x:c r="D8" s="12" t="str">
        <x:v>Consultation</x:v>
      </x:c>
      <x:c r="E8" s="12" t="str">
        <x:v>0-3 months</x:v>
      </x:c>
      <x:c r="F8" s="12" t="n">
        <x:v>64</x:v>
      </x:c>
      <x:c r="G8" s="12" t="n">
        <x:v>5</x:v>
      </x:c>
      <x:c r="H8" s="12" t="n">
        <x:v>1</x:v>
      </x:c>
      <x:c r="I8" s="12" t="n">
        <x:f>ROUND(F8*G8*H8/100,2)</x:f>
        <x:v>3.2</x:v>
      </x:c>
      <x:c r="J8" s="12" t="str">
        <x:v>High</x:v>
      </x:c>
      <x:c r="K8" s="12" t="str">
        <x:v>Monitor, prepare internal memo and engage via association</x:v>
      </x:c>
      <x:c r="L8" s="12" t="str">
        <x:v>Compliance</x:v>
      </x:c>
    </x:row>
    <x:row r="9">
      <x:c r="A9" s="12" t="str">
        <x:v>POL-008</x:v>
      </x:c>
      <x:c r="B9" s="12" t="str">
        <x:v>Agency training standard revision</x:v>
      </x:c>
      <x:c r="C9" s="12" t="str">
        <x:v>ISA</x:v>
      </x:c>
      <x:c r="D9" s="12" t="str">
        <x:v>Drafting</x:v>
      </x:c>
      <x:c r="E9" s="12" t="str">
        <x:v>12+ months</x:v>
      </x:c>
      <x:c r="F9" s="12" t="n">
        <x:v>62</x:v>
      </x:c>
      <x:c r="G9" s="12" t="n">
        <x:v>5</x:v>
      </x:c>
      <x:c r="H9" s="12" t="n">
        <x:v>2</x:v>
      </x:c>
      <x:c r="I9" s="12" t="n">
        <x:f>ROUND(F9*G9*H9/100,2)</x:f>
        <x:v>6.2</x:v>
      </x:c>
      <x:c r="J9" s="12" t="str">
        <x:v>Medium</x:v>
      </x:c>
      <x:c r="K9" s="12" t="str">
        <x:v>Monitor, prepare internal memo and engage via association</x:v>
      </x:c>
      <x:c r="L9" s="12" t="str">
        <x:v>Risk</x:v>
      </x:c>
    </x:row>
    <x:row r="10">
      <x:c r="A10" s="12" t="str">
        <x:v>POL-009</x:v>
      </x:c>
      <x:c r="B10" s="12" t="str">
        <x:v>Digital insurance distribution rules</x:v>
      </x:c>
      <x:c r="C10" s="12" t="str">
        <x:v>MIC / MOF</x:v>
      </x:c>
      <x:c r="D10" s="12" t="str">
        <x:v>Policy design</x:v>
      </x:c>
      <x:c r="E10" s="12" t="str">
        <x:v>6-12 months</x:v>
      </x:c>
      <x:c r="F10" s="12" t="n">
        <x:v>60</x:v>
      </x:c>
      <x:c r="G10" s="12" t="n">
        <x:v>5</x:v>
      </x:c>
      <x:c r="H10" s="12" t="n">
        <x:v>1</x:v>
      </x:c>
      <x:c r="I10" s="12" t="n">
        <x:f>ROUND(F10*G10*H10/100,2)</x:f>
        <x:v>3</x:v>
      </x:c>
      <x:c r="J10" s="12" t="str">
        <x:v>Medium</x:v>
      </x:c>
      <x:c r="K10" s="12" t="str">
        <x:v>Monitor, prepare internal memo and engage via association</x:v>
      </x:c>
      <x:c r="L10" s="12" t="str">
        <x:v>Public Affairs</x:v>
      </x:c>
    </x:row>
    <x:row r="11">
      <x:c r="A11" s="12" t="str">
        <x:v>POL-010</x:v>
      </x:c>
      <x:c r="B11" s="12" t="str">
        <x:v>Complaint handling transparency requirement</x:v>
      </x:c>
      <x:c r="C11" s="12" t="str">
        <x:v>VCA / ISA</x:v>
      </x:c>
      <x:c r="D11" s="12" t="str">
        <x:v>Drafting</x:v>
      </x:c>
      <x:c r="E11" s="12" t="str">
        <x:v>3-6 months</x:v>
      </x:c>
      <x:c r="F11" s="12" t="n">
        <x:v>77</x:v>
      </x:c>
      <x:c r="G11" s="12" t="n">
        <x:v>4</x:v>
      </x:c>
      <x:c r="H11" s="12" t="n">
        <x:v>3</x:v>
      </x:c>
      <x:c r="I11" s="12" t="n">
        <x:f>ROUND(F11*G11*H11/100,2)</x:f>
        <x:v>9.24</x:v>
      </x:c>
      <x:c r="J11" s="12" t="str">
        <x:v>High</x:v>
      </x:c>
      <x:c r="K11" s="12" t="str">
        <x:v>Monitor, prepare internal memo and engage via association</x:v>
      </x:c>
      <x:c r="L11" s="12" t="str">
        <x:v>Risk</x:v>
      </x:c>
    </x:row>
  </x:sheetData>
  <x:conditionalFormatting sqref="I2:I11">
    <x:cfRule type="colorScale" priority="1">
      <x:colorScale>
        <x:cfvo type="min"/>
        <x:cfvo type="percentile" val="50"/>
        <x:cfvo type="max"/>
        <x:color rgb="D9EAD3"/>
        <x:color rgb="FFF2CC"/>
        <x:color rgb="F4CCCC"/>
      </x:colorScale>
    </x:cfRule>
  </x:conditionalFormatting>
  <x:dataValidations count="1">
    <x:dataValidation type="list" sqref="L2:L11">
      <x:formula1>"Legal,Compliance,Public Affairs,Risk,Product"</x:formula1>
    </x:dataValidation>
  </x:dataValidations>
  <x:pageMargins left="0.7" right="0.7" top="0.75" bottom="0.75" header="0.3" footer="0.3"/>
  <x:drawing xmlns:r="http://schemas.openxmlformats.org/officeDocument/2006/relationships" r:id="Rdf4e25816b8541ee"/>
  <x:tableParts count="1">
    <x:tablePart xmlns:r="http://schemas.openxmlformats.org/officeDocument/2006/relationships" r:id="R782a9c0353c24039"/>
  </x:tableParts>
</x:worksheet>
</file>

<file path=xl/worksheets/sheet7.xml><?xml version="1.0" encoding="utf-8"?>
<x:worksheet xmlns:x="http://schemas.openxmlformats.org/spreadsheetml/2006/main">
  <x:sheetFormatPr defaultRowHeight="15"/>
  <x:cols>
    <x:col min="1" max="1" width="10.5" hidden="0" customWidth="1"/>
    <x:col min="2" max="2" width="12.109999656677246" hidden="0" customWidth="1"/>
    <x:col min="3" max="3" width="13.1899995803833" hidden="0" customWidth="1"/>
    <x:col min="4" max="4" width="24.5" hidden="0" customWidth="1"/>
    <x:col min="5" max="5" width="11.039999961853027" hidden="0" customWidth="1"/>
    <x:col min="6" max="6" width="13.1899995803833" hidden="0" customWidth="1"/>
    <x:col min="7" max="7" width="19.25" hidden="0" customWidth="1"/>
    <x:col min="8" max="8" width="30.81999969482422" hidden="0" customWidth="1"/>
    <x:col min="9" max="9" width="23.549999237060547" hidden="0" customWidth="1"/>
    <x:col min="10" max="10" width="21.530000686645508" hidden="0" customWidth="1"/>
  </x:cols>
  <x:sheetData>
    <x:row r="1">
      <x:c r="A1" s="6" t="str">
        <x:v>Regulator</x:v>
      </x:c>
      <x:c r="B1" s="6" t="str">
        <x:v>Power (1-5)</x:v>
      </x:c>
      <x:c r="C1" s="6" t="str">
        <x:v>Interest (1-5)</x:v>
      </x:c>
      <x:c r="D1" s="6" t="str">
        <x:v>Relationship Strength (1-5)</x:v>
      </x:c>
      <x:c r="E1" s="6" t="str">
        <x:v>Sentiment</x:v>
      </x:c>
      <x:c r="F1" s="6" t="str">
        <x:v>Trend</x:v>
      </x:c>
      <x:c r="G1" s="6" t="str">
        <x:v>Engagement Priority</x:v>
      </x:c>
      <x:c r="H1" s="6" t="str">
        <x:v>Key Concerns</x:v>
      </x:c>
      <x:c r="I1" s="6" t="str">
        <x:v>Next Engagement</x:v>
      </x:c>
      <x:c r="J1" s="6" t="str">
        <x:v>Relationship Risk Score</x:v>
      </x:c>
      <x:c r="K1" s="12"/>
      <x:c r="L1" s="12"/>
      <x:c r="M1" s="12"/>
      <x:c r="N1" s="12"/>
      <x:c r="O1" s="12"/>
      <x:c r="P1" s="12"/>
      <x:c r="Q1" s="12"/>
      <x:c r="R1" s="12"/>
      <x:c r="S1" s="12"/>
      <x:c r="T1" s="12"/>
      <x:c r="U1" s="12"/>
      <x:c r="V1" s="12"/>
      <x:c r="W1" s="12"/>
      <x:c r="X1" s="12"/>
      <x:c r="Y1" s="12"/>
      <x:c r="Z1" s="12"/>
    </x:row>
    <x:row r="2">
      <x:c r="A2" s="12" t="str">
        <x:v>MOF</x:v>
      </x:c>
      <x:c r="B2" s="12" t="n">
        <x:v>5</x:v>
      </x:c>
      <x:c r="C2" s="12" t="n">
        <x:v>5</x:v>
      </x:c>
      <x:c r="D2" s="12" t="n">
        <x:v>4</x:v>
      </x:c>
      <x:c r="E2" s="12" t="str">
        <x:v>Positive</x:v>
      </x:c>
      <x:c r="F2" s="12" t="str">
        <x:v>Improving</x:v>
      </x:c>
      <x:c r="G2" s="12" t="str">
        <x:v>Critical</x:v>
      </x:c>
      <x:c r="H2" s="12" t="str">
        <x:v>Capital strength, market stability</x:v>
      </x:c>
      <x:c r="I2" s="12" t="str">
        <x:v>Quarterly strategic dialogue</x:v>
      </x:c>
      <x:c r="J2" s="12" t="n">
        <x:f>ROUND((B2*C2)/D2,2)</x:f>
        <x:v>6.25</x:v>
      </x:c>
    </x:row>
    <x:row r="3">
      <x:c r="A3" s="12" t="str">
        <x:v>ISA</x:v>
      </x:c>
      <x:c r="B3" s="12" t="n">
        <x:v>5</x:v>
      </x:c>
      <x:c r="C3" s="12" t="n">
        <x:v>5</x:v>
      </x:c>
      <x:c r="D3" s="12" t="n">
        <x:v>3</x:v>
      </x:c>
      <x:c r="E3" s="12" t="str">
        <x:v>Neutral</x:v>
      </x:c>
      <x:c r="F3" s="12" t="str">
        <x:v>Stable</x:v>
      </x:c>
      <x:c r="G3" s="12" t="str">
        <x:v>Critical</x:v>
      </x:c>
      <x:c r="H3" s="12" t="str">
        <x:v>Market conduct, product transparency</x:v>
      </x:c>
      <x:c r="I3" s="12" t="str">
        <x:v>Monthly technical session</x:v>
      </x:c>
      <x:c r="J3" s="12" t="n">
        <x:f>ROUND((B3*C3)/D3,2)</x:f>
        <x:v>8.33</x:v>
      </x:c>
    </x:row>
    <x:row r="4">
      <x:c r="A4" s="12" t="str">
        <x:v>IAV</x:v>
      </x:c>
      <x:c r="B4" s="12" t="n">
        <x:v>3</x:v>
      </x:c>
      <x:c r="C4" s="12" t="n">
        <x:v>4</x:v>
      </x:c>
      <x:c r="D4" s="12" t="n">
        <x:v>5</x:v>
      </x:c>
      <x:c r="E4" s="12" t="str">
        <x:v>Positive</x:v>
      </x:c>
      <x:c r="F4" s="12" t="str">
        <x:v>Stable</x:v>
      </x:c>
      <x:c r="G4" s="12" t="str">
        <x:v>High</x:v>
      </x:c>
      <x:c r="H4" s="12" t="str">
        <x:v>Industry alignment</x:v>
      </x:c>
      <x:c r="I4" s="12" t="str">
        <x:v>Join working group</x:v>
      </x:c>
      <x:c r="J4" s="12" t="n">
        <x:f>ROUND((B4*C4)/D4,2)</x:f>
        <x:v>2.4</x:v>
      </x:c>
    </x:row>
    <x:row r="5">
      <x:c r="A5" s="12" t="str">
        <x:v>SBV</x:v>
      </x:c>
      <x:c r="B5" s="12" t="n">
        <x:v>4</x:v>
      </x:c>
      <x:c r="C5" s="12" t="n">
        <x:v>3</x:v>
      </x:c>
      <x:c r="D5" s="12" t="n">
        <x:v>3</x:v>
      </x:c>
      <x:c r="E5" s="12" t="str">
        <x:v>Neutral</x:v>
      </x:c>
      <x:c r="F5" s="12" t="str">
        <x:v>Stable</x:v>
      </x:c>
      <x:c r="G5" s="12" t="str">
        <x:v>High</x:v>
      </x:c>
      <x:c r="H5" s="12" t="str">
        <x:v>Bancassurance, system risk</x:v>
      </x:c>
      <x:c r="I5" s="12" t="str">
        <x:v>Quarterly industry dialogue</x:v>
      </x:c>
      <x:c r="J5" s="12" t="n">
        <x:f>ROUND((B5*C5)/D5,2)</x:f>
        <x:v>4</x:v>
      </x:c>
    </x:row>
    <x:row r="6">
      <x:c r="A6" s="12" t="str">
        <x:v>MIC</x:v>
      </x:c>
      <x:c r="B6" s="12" t="n">
        <x:v>3</x:v>
      </x:c>
      <x:c r="C6" s="12" t="n">
        <x:v>4</x:v>
      </x:c>
      <x:c r="D6" s="12" t="n">
        <x:v>2</x:v>
      </x:c>
      <x:c r="E6" s="12" t="str">
        <x:v>Cautious</x:v>
      </x:c>
      <x:c r="F6" s="12" t="str">
        <x:v>Slightly Negative</x:v>
      </x:c>
      <x:c r="G6" s="12" t="str">
        <x:v>Medium</x:v>
      </x:c>
      <x:c r="H6" s="12" t="str">
        <x:v>Data privacy and localization</x:v>
      </x:c>
      <x:c r="I6" s="12" t="str">
        <x:v>Digital policy roundtable</x:v>
      </x:c>
      <x:c r="J6" s="12" t="n">
        <x:f>ROUND((B6*C6)/D6,2)</x:f>
        <x:v>6</x:v>
      </x:c>
    </x:row>
    <x:row r="7">
      <x:c r="A7" s="12" t="str">
        <x:v>VCA</x:v>
      </x:c>
      <x:c r="B7" s="12" t="n">
        <x:v>4</x:v>
      </x:c>
      <x:c r="C7" s="12" t="n">
        <x:v>4</x:v>
      </x:c>
      <x:c r="D7" s="12" t="n">
        <x:v>3</x:v>
      </x:c>
      <x:c r="E7" s="12" t="str">
        <x:v>Cautious</x:v>
      </x:c>
      <x:c r="F7" s="12" t="str">
        <x:v>Stable</x:v>
      </x:c>
      <x:c r="G7" s="12" t="str">
        <x:v>High</x:v>
      </x:c>
      <x:c r="H7" s="12" t="str">
        <x:v>Consumer complaints</x:v>
      </x:c>
      <x:c r="I7" s="12" t="str">
        <x:v>Consumer protection briefing</x:v>
      </x:c>
      <x:c r="J7" s="12" t="n">
        <x:f>ROUND((B7*C7)/D7,2)</x:f>
        <x:v>5.33</x:v>
      </x:c>
    </x:row>
  </x:sheetData>
  <x:conditionalFormatting sqref="J2:J7">
    <x:cfRule type="colorScale" priority="1">
      <x:colorScale>
        <x:cfvo type="min"/>
        <x:cfvo type="percentile" val="50"/>
        <x:cfvo type="max"/>
        <x:color rgb="D9EAD3"/>
        <x:color rgb="FFF2CC"/>
        <x:color rgb="F4CCCC"/>
      </x:colorScale>
    </x:cfRule>
  </x:conditionalFormatting>
  <x:pageMargins left="0.7" right="0.7" top="0.75" bottom="0.75" header="0.3" footer="0.3"/>
  <x:tableParts count="1">
    <x:tablePart xmlns:r="http://schemas.openxmlformats.org/officeDocument/2006/relationships" r:id="R73229184c0f94d9b"/>
  </x:tableParts>
</x:worksheet>
</file>

<file path=xl/worksheets/sheet8.xml><?xml version="1.0" encoding="utf-8"?>
<x:worksheet xmlns:x="http://schemas.openxmlformats.org/spreadsheetml/2006/main">
  <x:sheetFormatPr defaultRowHeight="15"/>
  <x:cols>
    <x:col min="1" max="1" width="18.84000015258789" hidden="0" customWidth="1"/>
    <x:col min="2" max="2" width="79.94999694824219" hidden="0" customWidth="1"/>
  </x:cols>
  <x:sheetData>
    <x:row r="1">
      <x:c r="A1" s="6" t="str">
        <x:v>Brief Field</x:v>
      </x:c>
      <x:c r="B1" s="6" t="str">
        <x:v>Content</x:v>
      </x:c>
      <x:c r="C1" s="12"/>
      <x:c r="D1" s="12"/>
      <x:c r="E1" s="12"/>
      <x:c r="F1" s="12"/>
      <x:c r="G1" s="12"/>
      <x:c r="H1" s="12"/>
      <x:c r="I1" s="12"/>
      <x:c r="J1" s="12"/>
      <x:c r="K1" s="12"/>
      <x:c r="L1" s="12"/>
      <x:c r="M1" s="12"/>
      <x:c r="N1" s="12"/>
      <x:c r="O1" s="12"/>
      <x:c r="P1" s="12"/>
      <x:c r="Q1" s="12"/>
      <x:c r="R1" s="12"/>
      <x:c r="S1" s="12"/>
      <x:c r="T1" s="12"/>
      <x:c r="U1" s="12"/>
      <x:c r="V1" s="12"/>
      <x:c r="W1" s="12"/>
      <x:c r="X1" s="12"/>
      <x:c r="Y1" s="12"/>
      <x:c r="Z1" s="12"/>
    </x:row>
    <x:row r="2">
      <x:c r="A2" s="12" t="str">
        <x:v>Meeting Title</x:v>
      </x:c>
      <x:c r="B2" s="12" t="str">
        <x:v>ISA Technical Working Session - Product Approval</x:v>
      </x:c>
    </x:row>
    <x:row r="3">
      <x:c r="A3" s="12" t="str">
        <x:v>Date</x:v>
      </x:c>
      <x:c r="B3" s="14" t="n">
        <x:v>46184</x:v>
      </x:c>
    </x:row>
    <x:row r="4">
      <x:c r="A4" s="12" t="str">
        <x:v>Purpose</x:v>
      </x:c>
      <x:c r="B4" s="12" t="str">
        <x:v>Clarify regulator questions and present Manulife's compliance approach.</x:v>
      </x:c>
    </x:row>
    <x:row r="5">
      <x:c r="A5" s="12" t="str">
        <x:v>Background</x:v>
      </x:c>
      <x:c r="B5" s="12" t="str">
        <x:v>Manulife has submitted a new product approval dossier and is awaiting technical feedback.</x:v>
      </x:c>
    </x:row>
    <x:row r="6">
      <x:c r="A6" s="12" t="str">
        <x:v>Key Talking Points</x:v>
      </x:c>
      <x:c r="B6" s="12" t="str">
        <x:v>1) Customer protection; 2) Product transparency; 3) Agent training; 4) Timely response to questions.</x:v>
      </x:c>
    </x:row>
    <x:row r="7">
      <x:c r="A7" s="12" t="str">
        <x:v>Potential Questions</x:v>
      </x:c>
      <x:c r="B7" s="12" t="str">
        <x:v>How does Manulife prevent mis-selling? What disclosures are provided to customers?</x:v>
      </x:c>
    </x:row>
    <x:row r="8">
      <x:c r="A8" s="12" t="str">
        <x:v>Recommended Position</x:v>
      </x:c>
      <x:c r="B8" s="12" t="str">
        <x:v>Support policy objectives, provide transparent evidence, avoid confrontational language.</x:v>
      </x:c>
    </x:row>
    <x:row r="9">
      <x:c r="A9" s="12" t="str">
        <x:v>Next Actions</x:v>
      </x:c>
      <x:c r="B9" s="12" t="str">
        <x:v>Send follow-up note within 2 working days; assign owners for additional documents.</x:v>
      </x:c>
    </x:row>
  </x:sheetData>
  <x:pageMargins left="0.7" right="0.7" top="0.75" bottom="0.75" header="0.3" footer="0.3"/>
  <x:tableParts count="1">
    <x:tablePart xmlns:r="http://schemas.openxmlformats.org/officeDocument/2006/relationships" r:id="Rda3cf391240a4b01"/>
  </x:tableParts>
</x:worksheet>
</file>

<file path=xl/worksheets/sheet9.xml><?xml version="1.0" encoding="utf-8"?>
<x:worksheet xmlns:x="http://schemas.openxmlformats.org/spreadsheetml/2006/main">
  <x:sheetFormatPr defaultRowHeight="15"/>
  <x:cols>
    <x:col min="1" max="1" width="25.299999237060547" hidden="0" customWidth="1"/>
    <x:col min="2" max="2" width="44.150001525878906" hidden="0" customWidth="1"/>
    <x:col min="3" max="3" width="36.470001220703125" hidden="0" customWidth="1"/>
    <x:col min="4" max="4" width="10.770000457763672" hidden="0" customWidth="1"/>
  </x:cols>
  <x:sheetData>
    <x:row r="1">
      <x:c r="A1" s="42" t="str">
        <x:v>Monthly Regulatory &amp; Public Affairs Report Pack - Template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3">
      <x:c r="A3" s="3" t="str">
        <x:v>Section</x:v>
      </x:c>
      <x:c r="B3" s="3" t="str">
        <x:v>Auto Summary / Suggested Content</x:v>
      </x:c>
      <x:c r="C3" s="3" t="str">
        <x:v>Source Tab</x:v>
      </x:c>
      <x:c r="D3" s="3" t="str">
        <x:v>Owner</x:v>
      </x:c>
    </x:row>
    <x:row r="4">
      <x:c r="A4" t="str">
        <x:v>1. Key regulatory developments</x:v>
      </x:c>
      <x:c r="B4" t="str">
        <x:v>Summarize top 3 policy items by risk score.</x:v>
      </x:c>
      <x:c r="C4" t="str">
        <x:v>Policy_Monitoring</x:v>
      </x:c>
      <x:c r="D4" t="str">
        <x:v>PA</x:v>
      </x:c>
    </x:row>
    <x:row r="5">
      <x:c r="A5" t="str">
        <x:v>2. Regulatory submissions</x:v>
      </x:c>
      <x:c r="B5" t="str">
        <x:v>Highlight overdue, due soon and submitted items.</x:v>
      </x:c>
      <x:c r="C5" t="str">
        <x:v>Submission_Tracker</x:v>
      </x:c>
      <x:c r="D5" t="str">
        <x:v>PA</x:v>
      </x:c>
    </x:row>
    <x:row r="6">
      <x:c r="A6" t="str">
        <x:v>3. Pending approvals</x:v>
      </x:c>
      <x:c r="B6" t="str">
        <x:v>List product/capital/license approvals by stage.</x:v>
      </x:c>
      <x:c r="C6" t="str">
        <x:v>Approval_Pipeline</x:v>
      </x:c>
      <x:c r="D6" t="str">
        <x:v>PA + Business</x:v>
      </x:c>
    </x:row>
    <x:row r="7">
      <x:c r="A7" t="str">
        <x:v>4. Regulator interactions</x:v>
      </x:c>
      <x:c r="B7" t="str">
        <x:v>Summarize meetings/calls and follow-up actions.</x:v>
      </x:c>
      <x:c r="C7" t="str">
        <x:v>Regulator_Interactions</x:v>
      </x:c>
      <x:c r="D7" t="str">
        <x:v>PA</x:v>
      </x:c>
    </x:row>
    <x:row r="8">
      <x:c r="A8" t="str">
        <x:v>5. Emerging risks</x:v>
      </x:c>
      <x:c r="B8" t="str">
        <x:v>Use early warning from policy risk and relationship risk.</x:v>
      </x:c>
      <x:c r="C8" t="str">
        <x:v>Policy_Monitoring + Relationship_Intelligence</x:v>
      </x:c>
      <x:c r="D8" t="str">
        <x:v>PA</x:v>
      </x:c>
    </x:row>
    <x:row r="9">
      <x:c r="A9" t="str">
        <x:v>6. Next 30-day priorities</x:v>
      </x:c>
      <x:c r="B9" t="str">
        <x:v>Actions, owners and escalation needs.</x:v>
      </x:c>
      <x:c r="C9" t="str">
        <x:v>All trackers</x:v>
      </x:c>
      <x:c r="D9" t="str">
        <x:v>PA Head</x:v>
      </x:c>
    </x:row>
    <x:row r="11">
      <x:c r="A11" s="38" t="str">
        <x:v>Draft Narrative</x:v>
      </x:c>
    </x:row>
    <x:row r="12">
      <x:c r="A12" s="12" t="str">
        <x:v>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x:v>
      </x:c>
    </x:row>
  </x:sheetData>
  <x:mergeCells>
    <x:mergeCell ref="A1:D1"/>
    <x:mergeCell ref="A12:D18"/>
  </x:mergeCells>
  <x:pageMargins left="0.7" right="0.7" top="0.75" bottom="0.75" header="0.3" footer="0.3"/>
</x:worksheet>
</file>

<file path=xl/worksheets/sheet10.xml><?xml version="1.0" encoding="utf-8"?>
<x:worksheet xmlns:x="http://schemas.openxmlformats.org/spreadsheetml/2006/main">
  <x:sheetFormatPr defaultRowHeight="15"/>
  <x:cols>
    <x:col min="1" max="1" width="13.319999694824219" hidden="0" customWidth="1"/>
    <x:col min="2" max="2" width="16.420000076293945" hidden="0" customWidth="1"/>
    <x:col min="3" max="3" width="10.09000015258789" hidden="0" customWidth="1"/>
    <x:col min="4" max="4" width="10.229999542236328" hidden="0" customWidth="1"/>
    <x:col min="5" max="5" width="14.270000457763672" hidden="0" customWidth="1"/>
    <x:col min="6" max="6" width="10.229999542236328" hidden="0" customWidth="1"/>
    <x:col min="7" max="7" width="9.149999618530273" hidden="0" customWidth="1"/>
    <x:col min="8" max="8" width="9.960000038146973" hidden="0" customWidth="1"/>
    <x:col min="9" max="9" width="7.400000095367432" hidden="0" customWidth="1"/>
  </x:cols>
  <x:sheetData>
    <x:row r="1">
      <x:c r="A1" s="6" t="str">
        <x:v>Document ID</x:v>
      </x:c>
      <x:c r="B1" s="6" t="str">
        <x:v>Document Name</x:v>
      </x:c>
      <x:c r="C1" s="6" t="str">
        <x:v>Direction</x:v>
      </x:c>
      <x:c r="D1" s="6" t="str">
        <x:v>Owner</x:v>
      </x:c>
      <x:c r="E1" s="6" t="str">
        <x:v>Received Date</x:v>
      </x:c>
      <x:c r="F1" s="6" t="str">
        <x:v>Due Date</x:v>
      </x:c>
      <x:c r="G1" s="6" t="str">
        <x:v>Status</x:v>
      </x:c>
      <x:c r="H1" s="6" t="str">
        <x:v>SLA Days</x:v>
      </x:c>
      <x:c r="I1" s="6" t="str">
        <x:v>Notes</x:v>
      </x:c>
      <x:c r="J1" s="12"/>
      <x:c r="K1" s="12"/>
      <x:c r="L1" s="12"/>
      <x:c r="M1" s="12"/>
      <x:c r="N1" s="12"/>
      <x:c r="O1" s="12"/>
      <x:c r="P1" s="12"/>
      <x:c r="Q1" s="12"/>
      <x:c r="R1" s="12"/>
      <x:c r="S1" s="12"/>
      <x:c r="T1" s="12"/>
      <x:c r="U1" s="12"/>
      <x:c r="V1" s="12"/>
      <x:c r="W1" s="12"/>
      <x:c r="X1" s="12"/>
      <x:c r="Y1" s="12"/>
      <x:c r="Z1" s="12"/>
    </x:row>
    <x:row r="2">
      <x:c r="A2" s="12" t="str">
        <x:v>TR-001</x:v>
      </x:c>
      <x:c r="B2" s="12" t="str">
        <x:v>Circular summary 1</x:v>
      </x:c>
      <x:c r="C2" s="12" t="str">
        <x:v>VN -&gt; EN</x:v>
      </x:c>
      <x:c r="D2" s="12" t="str">
        <x:v>Legal</x:v>
      </x:c>
      <x:c r="E2" s="14" t="n">
        <x:v>46182</x:v>
      </x:c>
      <x:c r="F2" s="14" t="n">
        <x:v>46183</x:v>
      </x:c>
      <x:c r="G2" s="12" t="str">
        <x:v>Not Started</x:v>
      </x:c>
      <x:c r="H2" s="12" t="n">
        <x:f>F2-E2</x:f>
        <x:v>1</x:v>
      </x:c>
      <x:c r="I2" s="12" t="str">
        <x:v>Sample</x:v>
      </x:c>
    </x:row>
    <x:row r="3">
      <x:c r="A3" s="12" t="str">
        <x:v>TR-002</x:v>
      </x:c>
      <x:c r="B3" s="12" t="str">
        <x:v>Official letter 2</x:v>
      </x:c>
      <x:c r="C3" s="12" t="str">
        <x:v>VN -&gt; EN</x:v>
      </x:c>
      <x:c r="D3" s="12" t="str">
        <x:v>Compliance</x:v>
      </x:c>
      <x:c r="E3" s="14" t="n">
        <x:v>46173</x:v>
      </x:c>
      <x:c r="F3" s="14" t="n">
        <x:v>46180</x:v>
      </x:c>
      <x:c r="G3" s="12" t="str">
        <x:v>Done</x:v>
      </x:c>
      <x:c r="H3" s="12" t="n">
        <x:f>F3-E3</x:f>
        <x:v>7</x:v>
      </x:c>
      <x:c r="I3" s="12" t="str">
        <x:v>Sample</x:v>
      </x:c>
    </x:row>
    <x:row r="4">
      <x:c r="A4" s="12" t="str">
        <x:v>TR-003</x:v>
      </x:c>
      <x:c r="B4" s="12" t="str">
        <x:v>Meeting note 3</x:v>
      </x:c>
      <x:c r="C4" s="12" t="str">
        <x:v>EN -&gt; VN</x:v>
      </x:c>
      <x:c r="D4" s="12" t="str">
        <x:v>Compliance</x:v>
      </x:c>
      <x:c r="E4" s="14" t="n">
        <x:v>46181</x:v>
      </x:c>
      <x:c r="F4" s="14" t="n">
        <x:v>46185</x:v>
      </x:c>
      <x:c r="G4" s="12" t="str">
        <x:v>Not Started</x:v>
      </x:c>
      <x:c r="H4" s="12" t="n">
        <x:f>F4-E4</x:f>
        <x:v>4</x:v>
      </x:c>
      <x:c r="I4" s="12" t="str">
        <x:v>Sample</x:v>
      </x:c>
    </x:row>
    <x:row r="5">
      <x:c r="A5" s="12" t="str">
        <x:v>TR-004</x:v>
      </x:c>
      <x:c r="B5" s="12" t="str">
        <x:v>Meeting note 4</x:v>
      </x:c>
      <x:c r="C5" s="12" t="str">
        <x:v>EN -&gt; VN</x:v>
      </x:c>
      <x:c r="D5" s="12" t="str">
        <x:v>Public Affairs</x:v>
      </x:c>
      <x:c r="E5" s="14" t="n">
        <x:v>46175</x:v>
      </x:c>
      <x:c r="F5" s="14" t="n">
        <x:v>46180</x:v>
      </x:c>
      <x:c r="G5" s="12" t="str">
        <x:v>In Progress</x:v>
      </x:c>
      <x:c r="H5" s="12" t="n">
        <x:f>F5-E5</x:f>
        <x:v>5</x:v>
      </x:c>
      <x:c r="I5" s="12" t="str">
        <x:v>Sample</x:v>
      </x:c>
    </x:row>
    <x:row r="6">
      <x:c r="A6" s="12" t="str">
        <x:v>TR-005</x:v>
      </x:c>
      <x:c r="B6" s="12" t="str">
        <x:v>Regional report 5</x:v>
      </x:c>
      <x:c r="C6" s="12" t="str">
        <x:v>VN -&gt; EN</x:v>
      </x:c>
      <x:c r="D6" s="12" t="str">
        <x:v>Public Affairs</x:v>
      </x:c>
      <x:c r="E6" s="14" t="n">
        <x:v>46180</x:v>
      </x:c>
      <x:c r="F6" s="14" t="n">
        <x:v>46186</x:v>
      </x:c>
      <x:c r="G6" s="12" t="str">
        <x:v>Done</x:v>
      </x:c>
      <x:c r="H6" s="12" t="n">
        <x:f>F6-E6</x:f>
        <x:v>6</x:v>
      </x:c>
      <x:c r="I6" s="12" t="str">
        <x:v>Sample</x:v>
      </x:c>
    </x:row>
    <x:row r="7">
      <x:c r="A7" s="12" t="str">
        <x:v>TR-006</x:v>
      </x:c>
      <x:c r="B7" s="12" t="str">
        <x:v>Circular summary 6</x:v>
      </x:c>
      <x:c r="C7" s="12" t="str">
        <x:v>EN -&gt; VN</x:v>
      </x:c>
      <x:c r="D7" s="12" t="str">
        <x:v>Compliance</x:v>
      </x:c>
      <x:c r="E7" s="14" t="n">
        <x:v>46167</x:v>
      </x:c>
      <x:c r="F7" s="14" t="n">
        <x:v>46170</x:v>
      </x:c>
      <x:c r="G7" s="12" t="str">
        <x:v>In Progress</x:v>
      </x:c>
      <x:c r="H7" s="12" t="n">
        <x:f>F7-E7</x:f>
        <x:v>3</x:v>
      </x:c>
      <x:c r="I7" s="12" t="str">
        <x:v>Sample</x:v>
      </x:c>
    </x:row>
    <x:row r="8">
      <x:c r="A8" s="12" t="str">
        <x:v>TR-007</x:v>
      </x:c>
      <x:c r="B8" s="12" t="str">
        <x:v>Product dossier 7</x:v>
      </x:c>
      <x:c r="C8" s="12" t="str">
        <x:v>VN -&gt; EN</x:v>
      </x:c>
      <x:c r="D8" s="12" t="str">
        <x:v>Compliance</x:v>
      </x:c>
      <x:c r="E8" s="14" t="n">
        <x:v>46171</x:v>
      </x:c>
      <x:c r="F8" s="14" t="n">
        <x:v>46178</x:v>
      </x:c>
      <x:c r="G8" s="12" t="str">
        <x:v>Done</x:v>
      </x:c>
      <x:c r="H8" s="12" t="n">
        <x:f>F8-E8</x:f>
        <x:v>7</x:v>
      </x:c>
      <x:c r="I8" s="12" t="str">
        <x:v>Sample</x:v>
      </x:c>
    </x:row>
    <x:row r="9">
      <x:c r="A9" s="12" t="str">
        <x:v>TR-008</x:v>
      </x:c>
      <x:c r="B9" s="12" t="str">
        <x:v>Meeting note 8</x:v>
      </x:c>
      <x:c r="C9" s="12" t="str">
        <x:v>EN -&gt; VN</x:v>
      </x:c>
      <x:c r="D9" s="12" t="str">
        <x:v>Legal</x:v>
      </x:c>
      <x:c r="E9" s="14" t="n">
        <x:v>46184</x:v>
      </x:c>
      <x:c r="F9" s="14" t="n">
        <x:v>46186</x:v>
      </x:c>
      <x:c r="G9" s="12" t="str">
        <x:v>Done</x:v>
      </x:c>
      <x:c r="H9" s="12" t="n">
        <x:f>F9-E9</x:f>
        <x:v>2</x:v>
      </x:c>
      <x:c r="I9" s="12" t="str">
        <x:v>Sample</x:v>
      </x:c>
    </x:row>
    <x:row r="10">
      <x:c r="A10" s="12" t="str">
        <x:v>TR-009</x:v>
      </x:c>
      <x:c r="B10" s="12" t="str">
        <x:v>Official letter 9</x:v>
      </x:c>
      <x:c r="C10" s="12" t="str">
        <x:v>EN -&gt; VN</x:v>
      </x:c>
      <x:c r="D10" s="12" t="str">
        <x:v>Public Affairs</x:v>
      </x:c>
      <x:c r="E10" s="14" t="n">
        <x:v>46184</x:v>
      </x:c>
      <x:c r="F10" s="14" t="n">
        <x:v>46186</x:v>
      </x:c>
      <x:c r="G10" s="12" t="str">
        <x:v>In Progress</x:v>
      </x:c>
      <x:c r="H10" s="12" t="n">
        <x:f>F10-E10</x:f>
        <x:v>2</x:v>
      </x:c>
      <x:c r="I10" s="12" t="str">
        <x:v>Sample</x:v>
      </x:c>
    </x:row>
    <x:row r="11">
      <x:c r="A11" s="12" t="str">
        <x:v>TR-010</x:v>
      </x:c>
      <x:c r="B11" s="12" t="str">
        <x:v>Circular summary 10</x:v>
      </x:c>
      <x:c r="C11" s="12" t="str">
        <x:v>VN -&gt; EN</x:v>
      </x:c>
      <x:c r="D11" s="12" t="str">
        <x:v>Legal</x:v>
      </x:c>
      <x:c r="E11" s="14" t="n">
        <x:v>46164</x:v>
      </x:c>
      <x:c r="F11" s="14" t="n">
        <x:v>46165</x:v>
      </x:c>
      <x:c r="G11" s="12" t="str">
        <x:v>Overdue</x:v>
      </x:c>
      <x:c r="H11" s="12" t="n">
        <x:f>F11-E11</x:f>
        <x:v>1</x:v>
      </x:c>
      <x:c r="I11" s="12" t="str">
        <x:v>Sample</x:v>
      </x:c>
    </x:row>
    <x:row r="12">
      <x:c r="A12" s="12" t="str">
        <x:v>TR-011</x:v>
      </x:c>
      <x:c r="B12" s="12" t="str">
        <x:v>Official letter 11</x:v>
      </x:c>
      <x:c r="C12" s="12" t="str">
        <x:v>EN -&gt; VN</x:v>
      </x:c>
      <x:c r="D12" s="12" t="str">
        <x:v>Legal</x:v>
      </x:c>
      <x:c r="E12" s="14" t="n">
        <x:v>46170</x:v>
      </x:c>
      <x:c r="F12" s="14" t="n">
        <x:v>46173</x:v>
      </x:c>
      <x:c r="G12" s="12" t="str">
        <x:v>Done</x:v>
      </x:c>
      <x:c r="H12" s="12" t="n">
        <x:f>F12-E12</x:f>
        <x:v>3</x:v>
      </x:c>
      <x:c r="I12" s="12" t="str">
        <x:v>Sample</x:v>
      </x:c>
    </x:row>
    <x:row r="13">
      <x:c r="A13" s="12" t="str">
        <x:v>TR-012</x:v>
      </x:c>
      <x:c r="B13" s="12" t="str">
        <x:v>Circular summary 12</x:v>
      </x:c>
      <x:c r="C13" s="12" t="str">
        <x:v>VN -&gt; EN</x:v>
      </x:c>
      <x:c r="D13" s="12" t="str">
        <x:v>Public Affairs</x:v>
      </x:c>
      <x:c r="E13" s="14" t="n">
        <x:v>46166</x:v>
      </x:c>
      <x:c r="F13" s="14" t="n">
        <x:v>46171</x:v>
      </x:c>
      <x:c r="G13" s="12" t="str">
        <x:v>In Progress</x:v>
      </x:c>
      <x:c r="H13" s="12" t="n">
        <x:f>F13-E13</x:f>
        <x:v>5</x:v>
      </x:c>
      <x:c r="I13" s="12" t="str">
        <x:v>Sample</x:v>
      </x:c>
    </x:row>
    <x:row r="14">
      <x:c r="A14" s="12" t="str">
        <x:v>TR-013</x:v>
      </x:c>
      <x:c r="B14" s="12" t="str">
        <x:v>Circular summary 13</x:v>
      </x:c>
      <x:c r="C14" s="12" t="str">
        <x:v>EN -&gt; VN</x:v>
      </x:c>
      <x:c r="D14" s="12" t="str">
        <x:v>Legal</x:v>
      </x:c>
      <x:c r="E14" s="14" t="n">
        <x:v>46165</x:v>
      </x:c>
      <x:c r="F14" s="14" t="n">
        <x:v>46166</x:v>
      </x:c>
      <x:c r="G14" s="12" t="str">
        <x:v>Overdue</x:v>
      </x:c>
      <x:c r="H14" s="12" t="n">
        <x:f>F14-E14</x:f>
        <x:v>1</x:v>
      </x:c>
      <x:c r="I14" s="12" t="str">
        <x:v>Sample</x:v>
      </x:c>
    </x:row>
    <x:row r="15">
      <x:c r="A15" s="12" t="str">
        <x:v>TR-014</x:v>
      </x:c>
      <x:c r="B15" s="12" t="str">
        <x:v>Regional report 14</x:v>
      </x:c>
      <x:c r="C15" s="12" t="str">
        <x:v>EN -&gt; VN</x:v>
      </x:c>
      <x:c r="D15" s="12" t="str">
        <x:v>Legal</x:v>
      </x:c>
      <x:c r="E15" s="14" t="n">
        <x:v>46169</x:v>
      </x:c>
      <x:c r="F15" s="14" t="n">
        <x:v>46174</x:v>
      </x:c>
      <x:c r="G15" s="12" t="str">
        <x:v>In Progress</x:v>
      </x:c>
      <x:c r="H15" s="12" t="n">
        <x:f>F15-E15</x:f>
        <x:v>5</x:v>
      </x:c>
      <x:c r="I15" s="12" t="str">
        <x:v>Sample</x:v>
      </x:c>
    </x:row>
    <x:row r="16">
      <x:c r="A16" s="12" t="str">
        <x:v>TR-015</x:v>
      </x:c>
      <x:c r="B16" s="12" t="str">
        <x:v>Meeting note 15</x:v>
      </x:c>
      <x:c r="C16" s="12" t="str">
        <x:v>EN -&gt; VN</x:v>
      </x:c>
      <x:c r="D16" s="12" t="str">
        <x:v>Public Affairs</x:v>
      </x:c>
      <x:c r="E16" s="14" t="n">
        <x:v>46168</x:v>
      </x:c>
      <x:c r="F16" s="14" t="n">
        <x:v>46169</x:v>
      </x:c>
      <x:c r="G16" s="12" t="str">
        <x:v>Done</x:v>
      </x:c>
      <x:c r="H16" s="12" t="n">
        <x:f>F16-E16</x:f>
        <x:v>1</x:v>
      </x:c>
      <x:c r="I16" s="12" t="str">
        <x:v>Sample</x:v>
      </x:c>
    </x:row>
    <x:row r="17">
      <x:c r="A17" s="12" t="str">
        <x:v>TR-016</x:v>
      </x:c>
      <x:c r="B17" s="12" t="str">
        <x:v>Product dossier 16</x:v>
      </x:c>
      <x:c r="C17" s="12" t="str">
        <x:v>EN -&gt; VN</x:v>
      </x:c>
      <x:c r="D17" s="12" t="str">
        <x:v>Public Affairs</x:v>
      </x:c>
      <x:c r="E17" s="14" t="n">
        <x:v>46166</x:v>
      </x:c>
      <x:c r="F17" s="14" t="n">
        <x:v>46170</x:v>
      </x:c>
      <x:c r="G17" s="12" t="str">
        <x:v>In Progress</x:v>
      </x:c>
      <x:c r="H17" s="12" t="n">
        <x:f>F17-E17</x:f>
        <x:v>4</x:v>
      </x:c>
      <x:c r="I17" s="12" t="str">
        <x:v>Sample</x:v>
      </x:c>
    </x:row>
    <x:row r="18">
      <x:c r="A18" s="12" t="str">
        <x:v>TR-017</x:v>
      </x:c>
      <x:c r="B18" s="12" t="str">
        <x:v>Circular summary 17</x:v>
      </x:c>
      <x:c r="C18" s="12" t="str">
        <x:v>VN -&gt; EN</x:v>
      </x:c>
      <x:c r="D18" s="12" t="str">
        <x:v>Public Affairs</x:v>
      </x:c>
      <x:c r="E18" s="14" t="n">
        <x:v>46172</x:v>
      </x:c>
      <x:c r="F18" s="14" t="n">
        <x:v>46177</x:v>
      </x:c>
      <x:c r="G18" s="12" t="str">
        <x:v>Done</x:v>
      </x:c>
      <x:c r="H18" s="12" t="n">
        <x:f>F18-E18</x:f>
        <x:v>5</x:v>
      </x:c>
      <x:c r="I18" s="12" t="str">
        <x:v>Sample</x:v>
      </x:c>
    </x:row>
    <x:row r="19">
      <x:c r="A19" s="12" t="str">
        <x:v>TR-018</x:v>
      </x:c>
      <x:c r="B19" s="12" t="str">
        <x:v>Official letter 18</x:v>
      </x:c>
      <x:c r="C19" s="12" t="str">
        <x:v>EN -&gt; VN</x:v>
      </x:c>
      <x:c r="D19" s="12" t="str">
        <x:v>Legal</x:v>
      </x:c>
      <x:c r="E19" s="14" t="n">
        <x:v>46178</x:v>
      </x:c>
      <x:c r="F19" s="14" t="n">
        <x:v>46185</x:v>
      </x:c>
      <x:c r="G19" s="12" t="str">
        <x:v>Done</x:v>
      </x:c>
      <x:c r="H19" s="12" t="n">
        <x:f>F19-E19</x:f>
        <x:v>7</x:v>
      </x:c>
      <x:c r="I19" s="12" t="str">
        <x:v>Sample</x:v>
      </x:c>
    </x:row>
    <x:row r="20">
      <x:c r="A20" s="12" t="str">
        <x:v>TR-019</x:v>
      </x:c>
      <x:c r="B20" s="12" t="str">
        <x:v>Regional report 19</x:v>
      </x:c>
      <x:c r="C20" s="12" t="str">
        <x:v>EN -&gt; VN</x:v>
      </x:c>
      <x:c r="D20" s="12" t="str">
        <x:v>Public Affairs</x:v>
      </x:c>
      <x:c r="E20" s="14" t="n">
        <x:v>46181</x:v>
      </x:c>
      <x:c r="F20" s="14" t="n">
        <x:v>46182</x:v>
      </x:c>
      <x:c r="G20" s="12" t="str">
        <x:v>In Progress</x:v>
      </x:c>
      <x:c r="H20" s="12" t="n">
        <x:f>F20-E20</x:f>
        <x:v>1</x:v>
      </x:c>
      <x:c r="I20" s="12" t="str">
        <x:v>Sample</x:v>
      </x:c>
    </x:row>
    <x:row r="21">
      <x:c r="A21" s="12" t="str">
        <x:v>TR-020</x:v>
      </x:c>
      <x:c r="B21" s="12" t="str">
        <x:v>Official letter 20</x:v>
      </x:c>
      <x:c r="C21" s="12" t="str">
        <x:v>EN -&gt; VN</x:v>
      </x:c>
      <x:c r="D21" s="12" t="str">
        <x:v>Public Affairs</x:v>
      </x:c>
      <x:c r="E21" s="14" t="n">
        <x:v>46172</x:v>
      </x:c>
      <x:c r="F21" s="14" t="n">
        <x:v>46177</x:v>
      </x:c>
      <x:c r="G21" s="12" t="str">
        <x:v>Overdue</x:v>
      </x:c>
      <x:c r="H21" s="12" t="n">
        <x:f>F21-E21</x:f>
        <x:v>5</x:v>
      </x:c>
      <x:c r="I21" s="12" t="str">
        <x:v>Sample</x:v>
      </x:c>
    </x:row>
  </x:sheetData>
  <x:dataValidations count="1">
    <x:dataValidation type="list" sqref="G2:G21">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3f19bdb0f0494f97"/>
  </x:tableParts>
</x:worksheet>
</file>

<file path=xl/worksheets/sheet11.xml><?xml version="1.0" encoding="utf-8"?>
<x:worksheet xmlns:x="http://schemas.openxmlformats.org/spreadsheetml/2006/main">
  <x:sheetFormatPr defaultRowHeight="15"/>
  <x:sheetData>
    <x:row r="1">
      <x:c r="A1" s="4" t="str">
        <x:v>Status</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2">
      <x:c r="A2" t="str">
        <x:v>On Track</x:v>
      </x:c>
    </x:row>
    <x:row r="3">
      <x:c r="A3" t="str">
        <x:v>Due Soon</x:v>
      </x:c>
    </x:row>
    <x:row r="4">
      <x:c r="A4" t="str">
        <x:v>Overdue</x:v>
      </x:c>
    </x:row>
    <x:row r="5">
      <x:c r="A5" t="str">
        <x:v>Submitted</x:v>
      </x:c>
    </x:row>
    <x:row r="6">
      <x:c r="A6" t="str">
        <x:v>Approved</x:v>
      </x:c>
    </x:row>
    <x:row r="7">
      <x:c r="A7" t="str">
        <x:v>In Review</x:v>
      </x:c>
    </x:row>
    <x:row r="8">
      <x:c r="A8" t="str">
        <x:v>Drafting</x:v>
      </x:c>
    </x:row>
    <x:row r="9">
      <x:c r="A9" t="str">
        <x:v>Waiting Internal Input</x:v>
      </x:c>
    </x:row>
    <x:row r="10">
      <x:c r="A10" t="str">
        <x:v>Open</x:v>
      </x:c>
    </x:row>
    <x:row r="11">
      <x:c r="A11" t="str">
        <x:v>Closed</x:v>
      </x:c>
    </x:row>
    <x:row r="12">
      <x:c r="A12" t="str">
        <x:v>In Progress</x:v>
      </x:c>
    </x:row>
    <x:row r="13">
      <x:c r="A13"/>
    </x:row>
    <x:row r="14">
      <x:c r="A14" s="3" t="str">
        <x:v>Priority</x:v>
      </x:c>
    </x:row>
    <x:row r="15">
      <x:c r="A15" t="str">
        <x:v>Critical</x:v>
      </x:c>
    </x:row>
    <x:row r="16">
      <x:c r="A16" t="str">
        <x:v>High</x:v>
      </x:c>
    </x:row>
    <x:row r="17">
      <x:c r="A17" t="str">
        <x:v>Medium</x:v>
      </x:c>
    </x:row>
    <x:row r="18">
      <x:c r="A18" t="str">
        <x:v>Low</x:v>
      </x:c>
    </x:row>
    <x:row r="19">
      <x:c r="A19"/>
    </x:row>
    <x:row r="20">
      <x:c r="A20" s="3" t="str">
        <x:v>Regulators</x:v>
      </x:c>
    </x:row>
    <x:row r="21">
      <x:c r="A21" t="str">
        <x:v>MOF</x:v>
      </x:c>
    </x:row>
    <x:row r="22">
      <x:c r="A22" t="str">
        <x:v>ISA</x:v>
      </x:c>
    </x:row>
    <x:row r="23">
      <x:c r="A23" t="str">
        <x:v>IAV</x:v>
      </x:c>
    </x:row>
    <x:row r="24">
      <x:c r="A24" t="str">
        <x:v>SBV</x:v>
      </x:c>
    </x:row>
    <x:row r="25">
      <x:c r="A25" t="str">
        <x:v>MIC</x:v>
      </x:c>
    </x:row>
    <x:row r="26">
      <x:c r="A26" t="str">
        <x:v>VCA</x:v>
      </x:c>
    </x:row>
    <x:row r="27">
      <x:c r="A27" t="str">
        <x:v>Regional Office</x:v>
      </x:c>
    </x:row>
    <x:row r="28">
      <x:c r="A28"/>
    </x:row>
    <x:row r="29">
      <x:c r="A29" s="3" t="str">
        <x:v>Departments</x:v>
      </x:c>
    </x:row>
    <x:row r="30">
      <x:c r="A30" t="str">
        <x:v>Legal</x:v>
      </x:c>
    </x:row>
    <x:row r="31">
      <x:c r="A31" t="str">
        <x:v>Compliance</x:v>
      </x:c>
    </x:row>
    <x:row r="32">
      <x:c r="A32" t="str">
        <x:v>Finance</x:v>
      </x:c>
    </x:row>
    <x:row r="33">
      <x:c r="A33" t="str">
        <x:v>Product</x:v>
      </x:c>
    </x:row>
    <x:row r="34">
      <x:c r="A34" t="str">
        <x:v>Agency</x:v>
      </x:c>
    </x:row>
    <x:row r="35">
      <x:c r="A35" t="str">
        <x:v>Bancassurance</x:v>
      </x:c>
    </x:row>
    <x:row r="36">
      <x:c r="A36" t="str">
        <x:v>Operations</x:v>
      </x:c>
    </x:row>
    <x:row r="37">
      <x:c r="A37" t="str">
        <x:v>CEO Office</x:v>
      </x:c>
    </x:row>
    <x:row r="38">
      <x:c r="A38" t="str">
        <x:v>Public Affairs</x:v>
      </x:c>
    </x:row>
    <x:row r="39">
      <x:c r="A39" t="str">
        <x:v>Risk</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860000610351562" hidden="0" customWidth="1"/>
    <x:col min="5" max="5" width="14.130000114440918" hidden="0" customWidth="1"/>
    <x:col min="6" max="6" width="9.149999618530273" hidden="0" customWidth="1"/>
    <x:col min="7" max="7" width="7.269999980926514" hidden="0" customWidth="1"/>
    <x:col min="8" max="8" width="11.170000076293945" hidden="0" customWidth="1"/>
    <x:col min="9" max="9" width="6.730000019073486" hidden="0" customWidth="1"/>
    <x:col min="10" max="10" width="34" hidden="0" customWidth="1"/>
    <x:col min="11" max="11" width="8.210000038146973" hidden="0" customWidth="1"/>
    <x:col min="12" max="12" width="36" hidden="0" customWidth="1"/>
  </x:cols>
  <x:sheetData>
    <x:row r="1">
      <x:c r="A1" s="48" t="str">
        <x:v>Daily Work Control Tower - Manulife VN Regulatory &amp; Public Affairs</x:v>
      </x:c>
      <x:c r="B1" s="48"/>
      <x:c r="C1" s="48"/>
      <x:c r="D1" s="48"/>
      <x:c r="E1" s="48"/>
      <x:c r="F1" s="48"/>
      <x:c r="G1" s="48"/>
      <x:c r="H1" s="48"/>
      <x:c r="I1" s="48"/>
      <x:c r="J1" s="48"/>
      <x:c r="K1" s="48"/>
      <x:c r="L1" s="48"/>
    </x:row>
    <x:row r="3">
      <x:c r="A3" s="53" t="str">
        <x:v>KPI</x:v>
      </x:c>
      <x:c r="B3" s="53" t="str">
        <x:v>Formula / Source</x:v>
      </x:c>
      <x:c r="C3" s="53" t="str">
        <x:v>Value</x:v>
      </x:c>
      <x:c r="D3" s="53" t="str">
        <x:v>Interpretation</x:v>
      </x:c>
    </x:row>
    <x:row r="4">
      <x:c r="A4" t="str">
        <x:v>Reports due this week</x:v>
      </x:c>
      <x:c r="B4" t="str">
        <x:v>Regulatory calendar due within 7 days</x:v>
      </x:c>
      <x:c r="C4" s="57" t="n">
        <x:f>COUNTIFS(Regulatory_Calendar!F:F,"&gt;="&amp;TODAY(),Regulatory_Calendar!F:F,"&lt;="&amp;TODAY()+7)</x:f>
        <x:v>7</x:v>
      </x:c>
      <x:c r="D4" t="str">
        <x:v>Short-term workload</x:v>
      </x:c>
    </x:row>
    <x:row r="5">
      <x:c r="A5" t="str">
        <x:v>Overdue regulatory items</x:v>
      </x:c>
      <x:c r="B5" t="str">
        <x:v>Calendar + submissions overdue</x:v>
      </x:c>
      <x:c r="C5" s="57" t="n">
        <x:f>COUNTIF(Regulatory_Calendar!H:H,"Overdue")+COUNTIF(Submission_Tracker!I:I,"Overdue")</x:f>
        <x:v>8</x:v>
      </x:c>
      <x:c r="D5" t="str">
        <x:v>Immediate escalation</x:v>
      </x:c>
    </x:row>
    <x:row r="6">
      <x:c r="A6" t="str">
        <x:v>Pending MOF / ISA submissions</x:v>
      </x:c>
      <x:c r="B6" t="str">
        <x:v>Not yet submitted to MOF or ISA</x:v>
      </x:c>
      <x:c r="C6" s="57" t="n">
        <x:f>COUNTIFS(Submission_Tracker!C:C,"MOF",Submission_Tracker!I:I,"&lt;&gt;Submitted")+COUNTIFS(Submission_Tracker!C:C,"ISA",Submission_Tracker!I:I,"&lt;&gt;Submitted")</x:f>
        <x:v>20</x:v>
      </x:c>
      <x:c r="D6" t="str">
        <x:v>Key regulator workload</x:v>
      </x:c>
    </x:row>
    <x:row r="7">
      <x:c r="A7" t="str">
        <x:v>Open regulator follow-ups</x:v>
      </x:c>
      <x:c r="B7" t="str">
        <x:v>Regulator interaction status open</x:v>
      </x:c>
      <x:c r="C7" s="57" t="n">
        <x:f>COUNTIF(Regulator_Interactions!K:K,"Open")+COUNTIF(Regulator_Interactions!K:K,"In Progress")</x:f>
        <x:v>31</x:v>
      </x:c>
      <x:c r="D7" t="str">
        <x:v>Relationship management</x:v>
      </x:c>
    </x:row>
    <x:row r="8">
      <x:c r="A8" t="str">
        <x:v>Upcoming regulator meetings</x:v>
      </x:c>
      <x:c r="B8" t="str">
        <x:v>Interactions / follow-ups in next 14 days</x:v>
      </x:c>
      <x:c r="C8" s="57" t="n">
        <x:f>COUNTIFS(Regulator_Interactions!J:J,"&gt;="&amp;TODAY(),Regulator_Interactions!J:J,"&lt;="&amp;TODAY()+14)</x:f>
        <x:v>0</x:v>
      </x:c>
      <x:c r="D8" t="str">
        <x:v>Preparation needs</x:v>
      </x:c>
    </x:row>
    <x:row r="9">
      <x:c r="A9" t="str">
        <x:v>Documents pending QC</x:v>
      </x:c>
      <x:c r="B9" t="str">
        <x:v>Document checklist not approved</x:v>
      </x:c>
      <x:c r="C9" s="57" t="n">
        <x:f>COUNTIF(Document_QC_Checklist!L:L,"Not Ready")+COUNTIF(Document_QC_Checklist!L:L,"Needs Review")</x:f>
        <x:v>4</x:v>
      </x:c>
      <x:c r="D9" t="str">
        <x:v>Pre-submission control</x:v>
      </x:c>
    </x:row>
    <x:row r="11">
      <x:c r="A11" s="53" t="str">
        <x:v>Priority Action List</x:v>
      </x:c>
      <x:c r="B11" s="53" t="str">
        <x:v>Source</x:v>
      </x:c>
      <x:c r="C11" s="53" t="str">
        <x:v>Item</x:v>
      </x:c>
      <x:c r="D11" s="53" t="str">
        <x:v>Regulator</x:v>
      </x:c>
      <x:c r="E11" s="53" t="str">
        <x:v>Owner</x:v>
      </x:c>
      <x:c r="F11" s="53" t="str">
        <x:v>Due Date</x:v>
      </x:c>
      <x:c r="G11" s="53" t="str">
        <x:v>Days Left</x:v>
      </x:c>
      <x:c r="H11" s="53" t="str">
        <x:v>Status</x:v>
      </x:c>
      <x:c r="I11" s="53" t="str">
        <x:v>Risk</x:v>
      </x:c>
      <x:c r="J11" s="53" t="str">
        <x:v>Required Action</x:v>
      </x:c>
      <x:c r="K11" s="53" t="str">
        <x:v>Escalation</x:v>
      </x:c>
      <x:c r="L11" s="53" t="str">
        <x:v>Notes</x:v>
      </x:c>
    </x:row>
    <x:row r="12">
      <x:c r="A12" t="str">
        <x:v>Calendar</x:v>
      </x:c>
      <x:c r="B12" t="str">
        <x:v>Calendar</x:v>
      </x:c>
      <x:c r="C12" t="str">
        <x:v>Monthly solvency monitoring report</x:v>
      </x:c>
      <x:c r="D12" t="str">
        <x:v>ISA</x:v>
      </x:c>
      <x:c r="E12" t="str">
        <x:v>Product</x:v>
      </x:c>
      <x:c r="F12" s="55" t="n">
        <x:v>46185</x:v>
      </x:c>
      <x:c r="G12" t="n">
        <x:v>1</x:v>
      </x:c>
      <x:c r="H12" t="str">
        <x:v>Due Soon</x:v>
      </x:c>
      <x:c r="I12" t="str">
        <x:v>High</x:v>
      </x:c>
      <x:c r="J12" t="str">
        <x:v>Confirm source data and QA before submission</x:v>
      </x:c>
      <x:c r="K12" t="str">
        <x:v>No</x:v>
      </x:c>
      <x:c r="L12" t="str">
        <x:v>Prepare CEO Office note if delayed</x:v>
      </x:c>
    </x:row>
    <x:row r="13">
      <x:c r="A13" t="str">
        <x:v>Submission</x:v>
      </x:c>
      <x:c r="B13" t="str">
        <x:v>Submission</x:v>
      </x:c>
      <x:c r="C13" t="str">
        <x:v>New product approval dossier</x:v>
      </x:c>
      <x:c r="D13" t="str">
        <x:v>MOF</x:v>
      </x:c>
      <x:c r="E13" t="str">
        <x:v>Legal</x:v>
      </x:c>
      <x:c r="F13" s="55" t="n">
        <x:v>46187</x:v>
      </x:c>
      <x:c r="G13" t="n">
        <x:v>3</x:v>
      </x:c>
      <x:c r="H13" t="str">
        <x:v>In Review</x:v>
      </x:c>
      <x:c r="I13" t="str">
        <x:v>Medium</x:v>
      </x:c>
      <x:c r="J13" t="str">
        <x:v>Complete official letter checklist and attachments</x:v>
      </x:c>
      <x:c r="K13" t="str">
        <x:v>No</x:v>
      </x:c>
      <x:c r="L13" t="str">
        <x:v>Coordinate with Compliance</x:v>
      </x:c>
    </x:row>
    <x:row r="14">
      <x:c r="A14" t="str">
        <x:v>Meeting</x:v>
      </x:c>
      <x:c r="B14" t="str">
        <x:v>Meeting</x:v>
      </x:c>
      <x:c r="C14" t="str">
        <x:v>ISA technical working session</x:v>
      </x:c>
      <x:c r="D14" t="str">
        <x:v>ISA</x:v>
      </x:c>
      <x:c r="E14" t="str">
        <x:v>Public Affairs</x:v>
      </x:c>
      <x:c r="F14" s="55" t="n">
        <x:v>46189</x:v>
      </x:c>
      <x:c r="G14" t="n">
        <x:v>5</x:v>
      </x:c>
      <x:c r="H14" t="str">
        <x:v>Planned</x:v>
      </x:c>
      <x:c r="I14" t="str">
        <x:v>High</x:v>
      </x:c>
      <x:c r="J14" t="str">
        <x:v>Generate briefing note and talking points</x:v>
      </x:c>
      <x:c r="K14" t="str">
        <x:v>No</x:v>
      </x:c>
      <x:c r="L14" t="str">
        <x:v>Use meeting brief generator</x:v>
      </x:c>
    </x:row>
    <x:row r="15">
      <x:c r="A15" t="str">
        <x:v>Translation</x:v>
      </x:c>
      <x:c r="B15" t="str">
        <x:v>Translation</x:v>
      </x:c>
      <x:c r="C15" t="str">
        <x:v>Circular summary VN to EN</x:v>
      </x:c>
      <x:c r="D15" t="str">
        <x:v>Regional Office</x:v>
      </x:c>
      <x:c r="E15" t="str">
        <x:v>Public Affairs</x:v>
      </x:c>
      <x:c r="F15" s="55" t="n">
        <x:v>46186</x:v>
      </x:c>
      <x:c r="G15" t="n">
        <x:v>2</x:v>
      </x:c>
      <x:c r="H15" t="str">
        <x:v>In Progress</x:v>
      </x:c>
      <x:c r="I15" t="str">
        <x:v>Medium</x:v>
      </x:c>
      <x:c r="J15" t="str">
        <x:v>Finalize English version for regional pack</x:v>
      </x:c>
      <x:c r="K15" t="str">
        <x:v>No</x:v>
      </x:c>
      <x:c r="L15" t="str">
        <x:v>Prioritize before weekly report</x:v>
      </x:c>
    </x:row>
    <x:row r="16">
      <x:c r="A16" t="str">
        <x:v>QC</x:v>
      </x:c>
      <x:c r="B16" t="str">
        <x:v>QC</x:v>
      </x:c>
      <x:c r="C16" t="str">
        <x:v>Official letter to MOF</x:v>
      </x:c>
      <x:c r="D16" t="str">
        <x:v>MOF</x:v>
      </x:c>
      <x:c r="E16" t="str">
        <x:v>Regulatory Affairs</x:v>
      </x:c>
      <x:c r="F16" s="55" t="n">
        <x:v>46184</x:v>
      </x:c>
      <x:c r="G16" t="n">
        <x:v>0</x:v>
      </x:c>
      <x:c r="H16" t="str">
        <x:v>Needs Review</x:v>
      </x:c>
      <x:c r="I16" t="str">
        <x:v>High</x:v>
      </x:c>
      <x:c r="J16" t="str">
        <x:v>Verify signature authority and legal review</x:v>
      </x:c>
      <x:c r="K16" t="str">
        <x:v>Yes</x:v>
      </x:c>
      <x:c r="L16" t="str">
        <x:v>Escalate before 3pm</x:v>
      </x:c>
    </x:row>
    <x:row r="18">
      <x:c r="A18" s="53" t="str">
        <x:v>How to use this tab</x:v>
      </x:c>
      <x:c r="B18" s="53" t="str"/>
      <x:c r="C18" s="53" t="str"/>
      <x:c r="D18" s="53" t="str"/>
      <x:c r="E18" s="53" t="str"/>
      <x:c r="F18" s="53" t="str"/>
      <x:c r="G18" s="53" t="str"/>
      <x:c r="H18" s="53" t="str"/>
      <x:c r="I18" s="53" t="str"/>
      <x:c r="J18" s="53" t="str"/>
      <x:c r="K18" s="53" t="str"/>
      <x:c r="L18" s="53" t="str"/>
    </x:row>
    <x:row r="19">
      <x:c r="A19" s="12" t="str">
        <x:v>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x:v>
      </x:c>
      <x:c r="B19" s="12"/>
      <x:c r="C19" s="12"/>
      <x:c r="D19" s="12"/>
      <x:c r="E19" s="12"/>
      <x:c r="F19" s="12"/>
      <x:c r="G19" s="12"/>
      <x:c r="H19" s="12"/>
      <x:c r="I19" s="12"/>
      <x:c r="J19" s="12"/>
      <x:c r="K19" s="12"/>
      <x:c r="L19" s="12"/>
    </x:row>
    <x:row r="20">
      <x:c r="A20" s="12"/>
      <x:c r="B20" s="12"/>
      <x:c r="C20" s="12"/>
      <x:c r="D20" s="12"/>
      <x:c r="E20" s="12"/>
      <x:c r="F20" s="12"/>
      <x:c r="G20" s="12"/>
      <x:c r="H20" s="12"/>
      <x:c r="I20" s="12"/>
      <x:c r="J20" s="12"/>
      <x:c r="K20" s="12"/>
      <x:c r="L20" s="12"/>
    </x:row>
    <x:row r="21">
      <x:c r="A21" s="12"/>
      <x:c r="B21" s="12"/>
      <x:c r="C21" s="12"/>
      <x:c r="D21" s="12"/>
      <x:c r="E21" s="12"/>
      <x:c r="F21" s="12"/>
      <x:c r="G21" s="12"/>
      <x:c r="H21" s="12"/>
      <x:c r="I21" s="12"/>
      <x:c r="J21" s="12"/>
      <x:c r="K21" s="12"/>
      <x:c r="L21" s="12"/>
    </x:row>
    <x:row r="22">
      <x:c r="A22" s="12"/>
      <x:c r="B22" s="12"/>
      <x:c r="C22" s="12"/>
      <x:c r="D22" s="12"/>
      <x:c r="E22" s="12"/>
      <x:c r="F22" s="12"/>
      <x:c r="G22" s="12"/>
      <x:c r="H22" s="12"/>
      <x:c r="I22" s="12"/>
      <x:c r="J22" s="12"/>
      <x:c r="K22" s="12"/>
      <x:c r="L22" s="12"/>
    </x:row>
    <x:row r="23">
      <x:c r="A23" s="12"/>
      <x:c r="B23" s="12"/>
      <x:c r="C23" s="12"/>
      <x:c r="D23" s="12"/>
      <x:c r="E23" s="12"/>
      <x:c r="F23" s="12"/>
      <x:c r="G23" s="12"/>
      <x:c r="H23" s="12"/>
      <x:c r="I23" s="12"/>
      <x:c r="J23" s="12"/>
      <x:c r="K23" s="12"/>
      <x:c r="L23" s="12"/>
    </x:row>
  </x:sheetData>
  <x:mergeCells>
    <x:mergeCell ref="A1:L1"/>
    <x:mergeCell ref="A19:L23"/>
  </x:mergeCells>
  <x:conditionalFormatting sqref="G12:G50">
    <x:cfRule type="cellIs" dxfId="3" priority="1" operator="lessThanOrEqual">
      <x:formula>0</x:formula>
    </x:cfRule>
  </x:conditionalFormatting>
  <x:dataValidations count="1">
    <x:dataValidation type="list" sqref="H12:H50">
      <x:formula1>"On Track,Due Soon,Overdue,Submitted,Approved,In Review,Needs Review,Planned,In Progress"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66.88999938964844" hidden="0" customWidth="1"/>
    <x:col min="2" max="2" width="32" hidden="0" customWidth="1"/>
    <x:col min="3" max="3" width="11.979999542236328" hidden="0" customWidth="1"/>
    <x:col min="4" max="4" width="20" hidden="0" customWidth="1"/>
    <x:col min="5" max="5" width="10.229999542236328" hidden="0" customWidth="1"/>
    <x:col min="6" max="6" width="9.149999618530273" hidden="0" customWidth="1"/>
    <x:col min="7" max="7" width="13.859999656677246" hidden="0" customWidth="1"/>
    <x:col min="8" max="8" width="11.4399995803833" hidden="0" customWidth="1"/>
    <x:col min="9" max="9" width="16.020000457763672" hidden="0" customWidth="1"/>
    <x:col min="10" max="10" width="10.5" hidden="0" customWidth="1"/>
    <x:col min="11" max="11" width="15.880000114440918" hidden="0" customWidth="1"/>
    <x:col min="12" max="12" width="13.729999542236328" hidden="0" customWidth="1"/>
    <x:col min="14" max="14" width="22" hidden="0" customWidth="1"/>
    <x:col min="15" max="15" width="22" hidden="0" customWidth="1"/>
    <x:col min="16" max="16" width="22" hidden="0" customWidth="1"/>
    <x:col min="17" max="17" width="22" hidden="0" customWidth="1"/>
  </x:cols>
  <x:sheetData>
    <x:row r="1">
      <x:c r="A1" s="48" t="str">
        <x:v>Document Quality Checklist - Official Letters / Reports / Dossiers</x:v>
      </x:c>
      <x:c r="B1" s="48"/>
      <x:c r="C1" s="48"/>
      <x:c r="D1" s="48"/>
      <x:c r="E1" s="48"/>
      <x:c r="F1" s="48"/>
      <x:c r="G1" s="48"/>
      <x:c r="H1" s="48"/>
      <x:c r="I1" s="48"/>
      <x:c r="J1" s="48"/>
      <x:c r="K1" s="48"/>
      <x:c r="L1" s="48"/>
    </x:row>
    <x:row r="3">
      <x:c r="A3" s="53" t="str">
        <x:v>Document ID</x:v>
      </x:c>
      <x:c r="B3" s="53" t="str">
        <x:v>Document Name</x:v>
      </x:c>
      <x:c r="C3" s="53" t="str">
        <x:v>Regulator</x:v>
      </x:c>
      <x:c r="D3" s="53" t="str">
        <x:v>Document Type</x:v>
      </x:c>
      <x:c r="E3" s="53" t="str">
        <x:v>Owner</x:v>
      </x:c>
      <x:c r="F3" s="53" t="str">
        <x:v>Due Date</x:v>
      </x:c>
      <x:c r="G3" s="53" t="str">
        <x:v>Correct Template</x:v>
      </x:c>
      <x:c r="H3" s="53" t="str">
        <x:v>Reference No.</x:v>
      </x:c>
      <x:c r="I3" s="53" t="str">
        <x:v>Signature Authority</x:v>
      </x:c>
      <x:c r="J3" s="53" t="str">
        <x:v>Legal Review</x:v>
      </x:c>
      <x:c r="K3" s="53" t="str">
        <x:v>Compliance Review</x:v>
      </x:c>
      <x:c r="L3" s="53" t="str">
        <x:v>Readiness Status</x:v>
      </x:c>
      <x:c r="N3" s="53" t="str">
        <x:v>QC Summary</x:v>
      </x:c>
      <x:c r="O3" s="53" t="str">
        <x:v>Formula</x:v>
      </x:c>
      <x:c r="P3" s="53" t="str">
        <x:v>Value</x:v>
      </x:c>
      <x:c r="Q3" s="53" t="str">
        <x:v>Comment</x:v>
      </x:c>
    </x:row>
    <x:row r="4">
      <x:c r="A4" t="str">
        <x:v>DOC-001</x:v>
      </x:c>
      <x:c r="B4" t="str">
        <x:v>Official letter re product approval</x:v>
      </x:c>
      <x:c r="C4" t="str">
        <x:v>MOF</x:v>
      </x:c>
      <x:c r="D4" t="str">
        <x:v>Official Letter</x:v>
      </x:c>
      <x:c r="E4" t="str">
        <x:v>Public Affairs</x:v>
      </x:c>
      <x:c r="F4" s="55" t="n">
        <x:v>46187</x:v>
      </x:c>
      <x:c r="G4" t="str">
        <x:v>Yes</x:v>
      </x:c>
      <x:c r="H4" t="str">
        <x:v>Yes</x:v>
      </x:c>
      <x:c r="I4" t="str">
        <x:v>Yes</x:v>
      </x:c>
      <x:c r="J4" t="str">
        <x:v>Yes</x:v>
      </x:c>
      <x:c r="K4" t="str">
        <x:v>Yes</x:v>
      </x:c>
      <x:c r="L4" t="str">
        <x:v>Ready</x:v>
      </x:c>
      <x:c r="N4" t="str">
        <x:v>Ready documents</x:v>
      </x:c>
      <x:c r="O4" s="54" t="n">
        <x:f>COUNTIF(L:L,"Ready")</x:f>
        <x:v>2</x:v>
      </x:c>
      <x:c r="P4"/>
      <x:c r="Q4" t="str">
        <x:v>Can be submitted after final management approval</x:v>
      </x:c>
    </x:row>
    <x:row r="5">
      <x:c r="A5" t="str">
        <x:v>DOC-002</x:v>
      </x:c>
      <x:c r="B5" t="str">
        <x:v>Monthly solvency monitoring report</x:v>
      </x:c>
      <x:c r="C5" t="str">
        <x:v>ISA</x:v>
      </x:c>
      <x:c r="D5" t="str">
        <x:v>Regulatory Report</x:v>
      </x:c>
      <x:c r="E5" t="str">
        <x:v>Product</x:v>
      </x:c>
      <x:c r="F5" s="55" t="n">
        <x:v>46185</x:v>
      </x:c>
      <x:c r="G5" t="str">
        <x:v>Yes</x:v>
      </x:c>
      <x:c r="H5" t="str">
        <x:v>Yes</x:v>
      </x:c>
      <x:c r="I5" t="str">
        <x:v>Yes</x:v>
      </x:c>
      <x:c r="J5" t="str">
        <x:v>In Progress</x:v>
      </x:c>
      <x:c r="K5" t="str">
        <x:v>Yes</x:v>
      </x:c>
      <x:c r="L5" t="str">
        <x:v>Needs Review</x:v>
      </x:c>
      <x:c r="N5" t="str">
        <x:v>Needs review</x:v>
      </x:c>
      <x:c r="O5" s="54" t="n">
        <x:f>COUNTIF(L:L,"Needs Review")</x:f>
        <x:v>2</x:v>
      </x:c>
      <x:c r="P5"/>
      <x:c r="Q5" t="str">
        <x:v>Follow up with Legal/Compliance/Owner</x:v>
      </x:c>
    </x:row>
    <x:row r="6">
      <x:c r="A6" t="str">
        <x:v>DOC-003</x:v>
      </x:c>
      <x:c r="B6" t="str">
        <x:v>Agency training approval dossier</x:v>
      </x:c>
      <x:c r="C6" t="str">
        <x:v>ISA</x:v>
      </x:c>
      <x:c r="D6" t="str">
        <x:v>Approval Dossier</x:v>
      </x:c>
      <x:c r="E6" t="str">
        <x:v>Agency</x:v>
      </x:c>
      <x:c r="F6" s="55" t="n">
        <x:v>46191</x:v>
      </x:c>
      <x:c r="G6" t="str">
        <x:v>Yes</x:v>
      </x:c>
      <x:c r="H6" t="str">
        <x:v>No</x:v>
      </x:c>
      <x:c r="I6" t="str">
        <x:v>Yes</x:v>
      </x:c>
      <x:c r="J6" t="str">
        <x:v>No</x:v>
      </x:c>
      <x:c r="K6" t="str">
        <x:v>In Progress</x:v>
      </x:c>
      <x:c r="L6" t="str">
        <x:v>Not Ready</x:v>
      </x:c>
      <x:c r="N6" t="str">
        <x:v>Not ready</x:v>
      </x:c>
      <x:c r="O6" s="54" t="n">
        <x:f>COUNTIF(L:L,"Not Ready")</x:f>
        <x:v>2</x:v>
      </x:c>
      <x:c r="P6"/>
      <x:c r="Q6" t="str">
        <x:v>Escalate if due within 7 days</x:v>
      </x:c>
    </x:row>
    <x:row r="7">
      <x:c r="A7" t="str">
        <x:v>DOC-004</x:v>
      </x:c>
      <x:c r="B7" t="str">
        <x:v>Data privacy compliance update</x:v>
      </x:c>
      <x:c r="C7" t="str">
        <x:v>MIC</x:v>
      </x:c>
      <x:c r="D7" t="str">
        <x:v>Regulatory Report</x:v>
      </x:c>
      <x:c r="E7" t="str">
        <x:v>Compliance</x:v>
      </x:c>
      <x:c r="F7" s="55" t="n">
        <x:v>46198</x:v>
      </x:c>
      <x:c r="G7" t="str">
        <x:v>Yes</x:v>
      </x:c>
      <x:c r="H7" t="str">
        <x:v>Yes</x:v>
      </x:c>
      <x:c r="I7" t="str">
        <x:v>Yes</x:v>
      </x:c>
      <x:c r="J7" t="str">
        <x:v>Yes</x:v>
      </x:c>
      <x:c r="K7" t="str">
        <x:v>In Progress</x:v>
      </x:c>
      <x:c r="L7" t="str">
        <x:v>Needs Review</x:v>
      </x:c>
    </x:row>
    <x:row r="8">
      <x:c r="A8" t="str">
        <x:v>DOC-005</x:v>
      </x:c>
      <x:c r="B8" t="str">
        <x:v>Regional Office weekly regulatory pack</x:v>
      </x:c>
      <x:c r="C8" t="str">
        <x:v>Regional Office</x:v>
      </x:c>
      <x:c r="D8" t="str">
        <x:v>Management Report</x:v>
      </x:c>
      <x:c r="E8" t="str">
        <x:v>Public Affairs</x:v>
      </x:c>
      <x:c r="F8" s="55" t="n">
        <x:v>46186</x:v>
      </x:c>
      <x:c r="G8" t="str">
        <x:v>Yes</x:v>
      </x:c>
      <x:c r="H8" t="str">
        <x:v>N/A</x:v>
      </x:c>
      <x:c r="I8" t="str">
        <x:v>N/A</x:v>
      </x:c>
      <x:c r="J8" t="str">
        <x:v>N/A</x:v>
      </x:c>
      <x:c r="K8" t="str">
        <x:v>Yes</x:v>
      </x:c>
      <x:c r="L8" t="str">
        <x:v>Ready</x:v>
      </x:c>
    </x:row>
    <x:row r="9">
      <x:c r="A9" t="str">
        <x:v>DOC-006</x:v>
      </x:c>
      <x:c r="B9" t="str">
        <x:v>Capital increase supporting paper</x:v>
      </x:c>
      <x:c r="C9" t="str">
        <x:v>MOF</x:v>
      </x:c>
      <x:c r="D9" t="str">
        <x:v>Approval Dossier</x:v>
      </x:c>
      <x:c r="E9" t="str">
        <x:v>Finance</x:v>
      </x:c>
      <x:c r="F9" s="55" t="n">
        <x:v>46194</x:v>
      </x:c>
      <x:c r="G9" t="str">
        <x:v>Yes</x:v>
      </x:c>
      <x:c r="H9" t="str">
        <x:v>Yes</x:v>
      </x:c>
      <x:c r="I9" t="str">
        <x:v>Pending</x:v>
      </x:c>
      <x:c r="J9" t="str">
        <x:v>In Progress</x:v>
      </x:c>
      <x:c r="K9" t="str">
        <x:v>No</x:v>
      </x:c>
      <x:c r="L9" t="str">
        <x:v>Not Ready</x:v>
      </x:c>
    </x:row>
  </x:sheetData>
  <x:mergeCells>
    <x:mergeCell ref="A1:L1"/>
  </x:mergeCells>
  <x:conditionalFormatting sqref="L4:L50">
    <x:cfRule type="expression" dxfId="4" priority="1">
      <x:formula>L4="Not Ready"</x:formula>
    </x:cfRule>
    <x:cfRule type="expression" dxfId="5" priority="2">
      <x:formula>L4="Needs Review"</x:formula>
    </x:cfRule>
    <x:cfRule type="expression" dxfId="6" priority="3">
      <x:formula>L4="Ready"</x:formula>
    </x:cfRule>
  </x:conditionalFormatting>
  <x:dataValidations count="1">
    <x:dataValidation type="list" sqref="G4:L50">
      <x:formula1>"Yes,No,N/A,Pending,In Progress,Ready,Needs Review,Not Ready"</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6" hidden="0" customWidth="1"/>
    <x:col min="2" max="2" width="80" hidden="0" customWidth="1"/>
  </x:cols>
  <x:sheetData>
    <x:row r="1">
      <x:c r="A1" s="48" t="str">
        <x:v>Interview Demo Mode - How to Present This Tool to Manulife</x:v>
      </x:c>
      <x:c r="B1" s="48"/>
      <x:c r="C1" s="48"/>
      <x:c r="D1" s="48"/>
      <x:c r="E1" s="48"/>
      <x:c r="F1" s="48"/>
      <x:c r="G1" s="48"/>
      <x:c r="H1" s="48"/>
      <x:c r="I1" s="48"/>
      <x:c r="J1" s="48"/>
    </x:row>
    <x:row r="3">
      <x:c r="A3" s="53" t="str">
        <x:v>Section</x:v>
      </x:c>
      <x:c r="B3" s="53" t="str">
        <x:v>Suggested Talking Points</x:v>
      </x:c>
    </x:row>
    <x:row r="4">
      <x:c r="A4" t="str">
        <x:v>1. Problem this tool solves</x:v>
      </x:c>
      <x:c r="B4" t="str">
        <x:v>The role requires accurate regulatory reporting, deadline control, document quality, regulator coordination and Regional Office reporting. This tool turns those responsibilities into a daily operating system.</x:v>
      </x:c>
    </x:row>
    <x:row r="5">
      <x:c r="A5" t="str">
        <x:v>2. Workflow</x:v>
      </x:c>
      <x:c r="B5" t="str">
        <x:v>Daily Control Tower → Regulatory Calendar → Submission Tracker → Document QC Checklist → Regulator Interaction Log → Meeting Brief → Regional Report Pack.</x:v>
      </x:c>
    </x:row>
    <x:row r="6">
      <x:c r="A6" t="str">
        <x:v>3. Example case</x:v>
      </x:c>
      <x:c r="B6" t="str">
        <x:v>If MOF requests an updated product approval dossier, I can track the request, assign owners, verify legal/compliance review, generate a meeting brief and include the issue in the Regional Office weekly pack.</x:v>
      </x:c>
    </x:row>
    <x:row r="7">
      <x:c r="A7" t="str">
        <x:v>4. Why Excel first</x:v>
      </x:c>
      <x:c r="B7" t="str">
        <x:v>Excel is practical, easy to audit and easy to share with Legal, Compliance, Product and Finance teams.</x:v>
      </x:c>
    </x:row>
    <x:row r="8">
      <x:c r="A8" t="str">
        <x:v>5. Why Streamlit next</x:v>
      </x:c>
      <x:c r="B8" t="str">
        <x:v>Streamlit adds automation, dashboarding, filtering, meeting brief generation and a more professional management view.</x:v>
      </x:c>
    </x:row>
    <x:row r="9">
      <x:c r="A9" t="str">
        <x:v>6. Business value</x:v>
      </x:c>
      <x:c r="B9" t="str">
        <x:v>Fewer missed deadlines, faster preparation for regulator meetings, stronger document control and clearer visibility for management.</x:v>
      </x:c>
    </x:row>
    <x:row r="10">
      <x:c r="A10" t="str">
        <x:v>7. Interview closing message</x:v>
      </x:c>
      <x:c r="B10" t="str">
        <x:v>My aim is not to build a complex system, but to create operational discipline for Regulatory &amp; Public Affairs work from day one.</x:v>
      </x:c>
    </x:row>
    <x:row r="13">
      <x:c r="A13" s="53" t="str">
        <x:v>Demo Script - 90 Seconds</x:v>
      </x:c>
      <x:c r="B13" s="53" t="str"/>
      <x:c r="C13" s="53" t="str"/>
      <x:c r="D13" s="53" t="str"/>
      <x:c r="E13" s="53" t="str"/>
      <x:c r="F13" s="53" t="str"/>
      <x:c r="G13" s="53" t="str"/>
      <x:c r="H13" s="53" t="str"/>
      <x:c r="I13" s="53" t="str"/>
      <x:c r="J13" s="53" t="str"/>
    </x:row>
    <x:row r="14">
      <x:c r="A14" s="12" t="str">
        <x:v>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x:v>
      </x:c>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sheetData>
  <x:mergeCells>
    <x:mergeCell ref="A1:J1"/>
    <x:mergeCell ref="A14:J22"/>
  </x:mergeCells>
  <x:pageMargins left="0.7" right="0.7" top="0.75" bottom="0.75" header="0.3" footer="0.3"/>
</x:worksheet>
</file>

<file path=xl/worksheets/sheet15.xml><?xml version="1.0" encoding="utf-8"?>
<x:worksheet xmlns:x="http://schemas.openxmlformats.org/spreadsheetml/2006/main">
  <x:sheetFormatPr defaultRowHeight="15"/>
  <x:cols>
    <x:col min="1" max="1" width="39.970001220703125" hidden="0" customWidth="1"/>
    <x:col min="2" max="2" width="47.779998779296875" hidden="0" customWidth="1"/>
    <x:col min="3" max="3" width="40.91999816894531" hidden="0" customWidth="1"/>
    <x:col min="4" max="4" width="24.5" hidden="0" customWidth="1"/>
    <x:col min="5" max="5" width="11.039999961853027" hidden="0" customWidth="1"/>
    <x:col min="6" max="6" width="43.470001220703125" hidden="0" customWidth="1"/>
    <x:col min="7" max="7" width="40.380001068115234" hidden="0" customWidth="1"/>
    <x:col min="8" max="8" width="25.84000015258789" hidden="0" customWidth="1"/>
    <x:col min="9" max="9" width="24.760000228881836" hidden="0" customWidth="1"/>
    <x:col min="10" max="10" width="68.91000366210938" hidden="0" customWidth="1"/>
  </x:cols>
  <x:sheetData>
    <x:row r="1" ht="28" customHeight="1">
      <x:c r="A1" s="70" t="str">
        <x:v>Regulator CRM / Institutional Memory</x:v>
      </x:c>
      <x:c r="B1" s="12"/>
      <x:c r="C1" s="12"/>
      <x:c r="D1" s="12"/>
      <x:c r="E1" s="12"/>
      <x:c r="F1" s="12"/>
      <x:c r="G1" s="12"/>
      <x:c r="H1" s="12"/>
      <x:c r="I1" s="12"/>
      <x:c r="J1" s="12"/>
    </x:row>
    <x:row r="2">
      <x:c r="A2" s="12"/>
      <x:c r="B2" s="12"/>
      <x:c r="C2" s="12"/>
      <x:c r="D2" s="12"/>
      <x:c r="E2" s="12"/>
      <x:c r="F2" s="12"/>
      <x:c r="G2" s="12"/>
      <x:c r="H2" s="12"/>
      <x:c r="I2" s="12"/>
      <x:c r="J2" s="12"/>
    </x:row>
    <x:row r="3">
      <x:c r="A3" s="69" t="str">
        <x:v>Regulator</x:v>
      </x:c>
      <x:c r="B3" s="69" t="str">
        <x:v>Mandate / Role</x:v>
      </x:c>
      <x:c r="C3" s="69" t="str">
        <x:v>Key Units / Contact Point</x:v>
      </x:c>
      <x:c r="D3" s="69" t="str">
        <x:v>Relationship Strength (1-5)</x:v>
      </x:c>
      <x:c r="E3" s="69" t="str">
        <x:v>Sentiment</x:v>
      </x:c>
      <x:c r="F3" s="69" t="str">
        <x:v>Open Issues</x:v>
      </x:c>
      <x:c r="G3" s="69" t="str">
        <x:v>Pending Requests</x:v>
      </x:c>
      <x:c r="H3" s="69" t="str">
        <x:v>Next Engagement</x:v>
      </x:c>
      <x:c r="I3" s="69" t="str">
        <x:v>Engagement Owner</x:v>
      </x:c>
      <x:c r="J3" s="69" t="str">
        <x:v>Institutional Memory Note</x:v>
      </x:c>
    </x:row>
    <x:row r="4">
      <x:c r="A4" s="12" t="str">
        <x:v>MOF</x:v>
      </x:c>
      <x:c r="B4" s="12" t="str">
        <x:v>Insurance policy, capital and sector oversight</x:v>
      </x:c>
      <x:c r="C4" s="12" t="str">
        <x:v>Insurance policy department / administrative office</x:v>
      </x:c>
      <x:c r="D4" s="12" t="n">
        <x:v>4</x:v>
      </x:c>
      <x:c r="E4" s="12" t="str">
        <x:v>Positive</x:v>
      </x:c>
      <x:c r="F4" s="12" t="str">
        <x:v>Capital adequacy update; product approval process</x:v>
      </x:c>
      <x:c r="G4" s="12" t="str">
        <x:v>Quarterly capital note and market stability briefing</x:v>
      </x:c>
      <x:c r="H4" s="12" t="str">
        <x:v>Strategic dialogue next quarter</x:v>
      </x:c>
      <x:c r="I4" s="12" t="str">
        <x:v>CEO + Head of Public Affairs</x:v>
      </x:c>
      <x:c r="J4" s="12" t="str">
        <x:v>Maintain evidence-based, constructive tone; align with financial stability priorities</x:v>
      </x:c>
    </x:row>
    <x:row r="5">
      <x:c r="A5" s="12" t="str">
        <x:v>ISA</x:v>
      </x:c>
      <x:c r="B5" s="12" t="str">
        <x:v>Insurance supervision, product approval, market conduct</x:v>
      </x:c>
      <x:c r="C5" s="12" t="str">
        <x:v>Product approval unit / supervision team</x:v>
      </x:c>
      <x:c r="D5" s="12" t="n">
        <x:v>3</x:v>
      </x:c>
      <x:c r="E5" s="12" t="str">
        <x:v>Neutral</x:v>
      </x:c>
      <x:c r="F5" s="12" t="str">
        <x:v>Product Q&amp;A; market conduct documentation</x:v>
      </x:c>
      <x:c r="G5" s="12" t="str">
        <x:v>Technical clarification on new health rider</x:v>
      </x:c>
      <x:c r="H5" s="12" t="str">
        <x:v>Monthly technical session</x:v>
      </x:c>
      <x:c r="I5" s="12" t="str">
        <x:v>Legal + Compliance + PA</x:v>
      </x:c>
      <x:c r="J5" s="12" t="str">
        <x:v>Operational regulator; documentation quality and timely response matter most</x:v>
      </x:c>
    </x:row>
    <x:row r="6">
      <x:c r="A6" s="12" t="str">
        <x:v>IAV</x:v>
      </x:c>
      <x:c r="B6" s="12" t="str">
        <x:v>Industry coordination and collective advocacy</x:v>
      </x:c>
      <x:c r="C6" s="12" t="str">
        <x:v>Association secretariat / working groups</x:v>
      </x:c>
      <x:c r="D6" s="12" t="n">
        <x:v>5</x:v>
      </x:c>
      <x:c r="E6" s="12" t="str">
        <x:v>Positive</x:v>
      </x:c>
      <x:c r="F6" s="12" t="str">
        <x:v>Industry position on product approval circular</x:v>
      </x:c>
      <x:c r="G6" s="12" t="str">
        <x:v>Input to association policy paper</x:v>
      </x:c>
      <x:c r="H6" s="12" t="str">
        <x:v>Join working group this month</x:v>
      </x:c>
      <x:c r="I6" s="12" t="str">
        <x:v>Public Affairs</x:v>
      </x:c>
      <x:c r="J6" s="12" t="str">
        <x:v>Use industry channel for non-sensitive sector-wide policy points</x:v>
      </x:c>
    </x:row>
    <x:row r="7">
      <x:c r="A7" s="12" t="str">
        <x:v>SBV</x:v>
      </x:c>
      <x:c r="B7" s="12" t="str">
        <x:v>Cross-sector financial risk and bancassurance conduct</x:v>
      </x:c>
      <x:c r="C7" s="12" t="str">
        <x:v>Financial stability / banking supervision interface</x:v>
      </x:c>
      <x:c r="D7" s="12" t="n">
        <x:v>3</x:v>
      </x:c>
      <x:c r="E7" s="12" t="str">
        <x:v>Neutral</x:v>
      </x:c>
      <x:c r="F7" s="12" t="str">
        <x:v>Bancassurance conduct and bank distribution risk</x:v>
      </x:c>
      <x:c r="G7" s="12" t="str">
        <x:v>Industry dialogue via association</x:v>
      </x:c>
      <x:c r="H7" s="12" t="str">
        <x:v>Quarterly dialogue</x:v>
      </x:c>
      <x:c r="I7" s="12" t="str">
        <x:v>Government Relations Director</x:v>
      </x:c>
      <x:c r="J7" s="12" t="str">
        <x:v>Engage on systemic risk and customer protection; avoid narrow company-only framing</x:v>
      </x:c>
    </x:row>
    <x:row r="8">
      <x:c r="A8" s="12" t="str">
        <x:v>MIC</x:v>
      </x:c>
      <x:c r="B8" s="12" t="str">
        <x:v>Data, digital distribution, cybersecurity and data localization</x:v>
      </x:c>
      <x:c r="C8" s="12" t="str">
        <x:v>Data policy / cybersecurity consultation channel</x:v>
      </x:c>
      <x:c r="D8" s="12" t="n">
        <x:v>2</x:v>
      </x:c>
      <x:c r="E8" s="12" t="str">
        <x:v>Cautious</x:v>
      </x:c>
      <x:c r="F8" s="12" t="str">
        <x:v>Data localization and consent requirements</x:v>
      </x:c>
      <x:c r="G8" s="12" t="str">
        <x:v>Digital insurance compliance note</x:v>
      </x:c>
      <x:c r="H8" s="12" t="str">
        <x:v>Policy roundtable in two months</x:v>
      </x:c>
      <x:c r="I8" s="12" t="str">
        <x:v>Digital Policy Lead</x:v>
      </x:c>
      <x:c r="J8" s="12" t="str">
        <x:v>Relationship requires more technical credibility and early transparency</x:v>
      </x:c>
    </x:row>
    <x:row r="9">
      <x:c r="A9" s="12" t="str">
        <x:v>VCA</x:v>
      </x:c>
      <x:c r="B9" s="12" t="str">
        <x:v>Consumer protection and complaints oversight</x:v>
      </x:c>
      <x:c r="C9" s="12" t="str">
        <x:v>Consumer protection unit</x:v>
      </x:c>
      <x:c r="D9" s="12" t="n">
        <x:v>3</x:v>
      </x:c>
      <x:c r="E9" s="12" t="str">
        <x:v>Cautious</x:v>
      </x:c>
      <x:c r="F9" s="12" t="str">
        <x:v>Complaint handling transparency; mis-selling concerns</x:v>
      </x:c>
      <x:c r="G9" s="12" t="str">
        <x:v>Consumer education and complaint KPI note</x:v>
      </x:c>
      <x:c r="H9" s="12" t="str">
        <x:v>Consumer protection briefing</x:v>
      </x:c>
      <x:c r="I9" s="12" t="str">
        <x:v>Compliance + PA</x:v>
      </x:c>
      <x:c r="J9" s="12" t="str">
        <x:v>Frame as customer protection and transparency agenda</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12"/>
      <x:c r="B12" s="12"/>
      <x:c r="C12" s="12"/>
      <x:c r="D12" s="12"/>
      <x:c r="E12" s="12"/>
      <x:c r="F12" s="12"/>
      <x:c r="G12" s="12"/>
      <x:c r="H12" s="12"/>
      <x:c r="I12" s="12"/>
      <x:c r="J12" s="12"/>
    </x:row>
    <x:row r="13">
      <x:c r="A13" s="12"/>
      <x:c r="B13" s="12"/>
      <x:c r="C13" s="12"/>
      <x:c r="D13" s="12"/>
      <x:c r="E13" s="12"/>
      <x:c r="F13" s="12"/>
      <x:c r="G13" s="12"/>
      <x:c r="H13" s="12"/>
      <x:c r="I13" s="12"/>
      <x:c r="J13" s="12"/>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pageMargins left="0.7" right="0.7" top="0.75" bottom="0.75" header="0.3" footer="0.3"/>
  <x:tableParts count="1">
    <x:tablePart xmlns:r="http://schemas.openxmlformats.org/officeDocument/2006/relationships" r:id="R52d50545261c400a"/>
  </x:tableParts>
</x:worksheet>
</file>

<file path=xl/worksheets/sheet16.xml><?xml version="1.0" encoding="utf-8"?>
<x:worksheet xmlns:x="http://schemas.openxmlformats.org/spreadsheetml/2006/main">
  <x:sheetFormatPr defaultRowHeight="15"/>
  <x:cols>
    <x:col min="1" max="1" width="35.66999816894531" hidden="0" customWidth="1"/>
    <x:col min="2" max="2" width="8.609999656677246" hidden="0" customWidth="1"/>
    <x:col min="3" max="3" width="86.2699966430664" hidden="0" customWidth="1"/>
    <x:col min="4" max="4" width="87.3499984741211" hidden="0" customWidth="1"/>
    <x:col min="5" max="5" width="56.119998931884766" hidden="0" customWidth="1"/>
    <x:col min="6" max="6" width="35.66999816894531" hidden="0" customWidth="1"/>
    <x:col min="7" max="7" width="61.369998931884766" hidden="0" customWidth="1"/>
    <x:col min="8" max="8" width="14.130000114440918" hidden="0" customWidth="1"/>
    <x:col min="9" max="9" width="23.010000228881836" hidden="0" customWidth="1"/>
    <x:col min="10" max="10" width="17.5" hidden="0" customWidth="1"/>
  </x:cols>
  <x:sheetData>
    <x:row r="1" ht="28" customHeight="1">
      <x:c r="A1" s="70" t="str">
        <x:v>Regulatory Knowledge Base AI-lite</x:v>
      </x:c>
      <x:c r="B1" s="12"/>
      <x:c r="C1" s="12"/>
      <x:c r="D1" s="12"/>
      <x:c r="E1" s="12"/>
      <x:c r="F1" s="12"/>
      <x:c r="G1" s="12"/>
      <x:c r="H1" s="12"/>
      <x:c r="I1" s="12"/>
      <x:c r="J1" s="12"/>
    </x:row>
    <x:row r="2">
      <x:c r="A2" s="12"/>
      <x:c r="B2" s="12"/>
      <x:c r="C2" s="12"/>
      <x:c r="D2" s="12"/>
      <x:c r="E2" s="12"/>
      <x:c r="F2" s="12"/>
      <x:c r="G2" s="12"/>
      <x:c r="H2" s="12"/>
      <x:c r="I2" s="12"/>
      <x:c r="J2" s="12"/>
    </x:row>
    <x:row r="3">
      <x:c r="A3" s="69" t="str">
        <x:v>Topic / Regulation</x:v>
      </x:c>
      <x:c r="B3" s="69" t="str">
        <x:v>Agency</x:v>
      </x:c>
      <x:c r="C3" s="69" t="str">
        <x:v>Summary</x:v>
      </x:c>
      <x:c r="D3" s="69" t="str">
        <x:v>Key Obligations</x:v>
      </x:c>
      <x:c r="E3" s="69" t="str">
        <x:v>Impact on Manulife</x:v>
      </x:c>
      <x:c r="F3" s="69" t="str">
        <x:v>Affected Departments</x:v>
      </x:c>
      <x:c r="G3" s="69" t="str">
        <x:v>Required Actions</x:v>
      </x:c>
      <x:c r="H3" s="69" t="str">
        <x:v>Status</x:v>
      </x:c>
      <x:c r="I3" s="69" t="str">
        <x:v>Owner</x:v>
      </x:c>
      <x:c r="J3" s="69" t="str">
        <x:v>Review Frequency</x:v>
      </x:c>
    </x:row>
    <x:row r="4">
      <x:c r="A4" s="12" t="str">
        <x:v>Insurance Law / Amended Insurance Law</x:v>
      </x:c>
      <x:c r="B4" s="12" t="str">
        <x:v>MOF / ISA</x:v>
      </x:c>
      <x:c r="C4" s="12" t="str">
        <x:v>Core legal framework for insurance business, licensing, solvency, distribution and product obligations.</x:v>
      </x:c>
      <x:c r="D4" s="12" t="str">
        <x:v>Maintain licensed activities, solvency discipline, product compliance and market conduct standards.</x:v>
      </x:c>
      <x:c r="E4" s="12" t="str">
        <x:v>High impact on products, capital, reporting and distribution.</x:v>
      </x:c>
      <x:c r="F4" s="12" t="str">
        <x:v>Legal; Compliance; Finance; Product; Agency</x:v>
      </x:c>
      <x:c r="G4" s="12" t="str">
        <x:v>Maintain obligations register; update internal policies; train business owners.</x:v>
      </x:c>
      <x:c r="H4" s="12" t="str">
        <x:v>Active</x:v>
      </x:c>
      <x:c r="I4" s="12" t="str">
        <x:v>Legal + PA</x:v>
      </x:c>
      <x:c r="J4" s="12" t="str">
        <x:v>Quarterly</x:v>
      </x:c>
    </x:row>
    <x:row r="5">
      <x:c r="A5" s="12" t="str">
        <x:v>Circular on Product Approval Process</x:v>
      </x:c>
      <x:c r="B5" s="12" t="str">
        <x:v>ISA</x:v>
      </x:c>
      <x:c r="C5" s="12" t="str">
        <x:v>Expected guidance tightening product filing, Q&amp;A, disclosure and customer suitability documentation.</x:v>
      </x:c>
      <x:c r="D5" s="12" t="str">
        <x:v>Provide complete product dossier, customer disclosure evidence and timely responses to regulator questions.</x:v>
      </x:c>
      <x:c r="E5" s="12" t="str">
        <x:v>High impact on product launch timeline and internal approval process.</x:v>
      </x:c>
      <x:c r="F5" s="12" t="str">
        <x:v>Product; Legal; Compliance; PA</x:v>
      </x:c>
      <x:c r="G5" s="12" t="str">
        <x:v>Create product approval checklist and regulator Q&amp;A tracker.</x:v>
      </x:c>
      <x:c r="H5" s="12" t="str">
        <x:v>Monitoring</x:v>
      </x:c>
      <x:c r="I5" s="12" t="str">
        <x:v>Product + PA</x:v>
      </x:c>
      <x:c r="J5" s="12" t="str">
        <x:v>Monthly</x:v>
      </x:c>
    </x:row>
    <x:row r="6">
      <x:c r="A6" s="12" t="str">
        <x:v>Bancassurance Conduct Guidance</x:v>
      </x:c>
      <x:c r="B6" s="12" t="str">
        <x:v>SBV / MOF</x:v>
      </x:c>
      <x:c r="C6" s="12" t="str">
        <x:v>Guidance likely focused on sales practices, transparency and customer consent in bank distribution.</x:v>
      </x:c>
      <x:c r="D6" s="12" t="str">
        <x:v>Improve sales governance, disclosure and complaint handling evidence.</x:v>
      </x:c>
      <x:c r="E6" s="12" t="str">
        <x:v>High impact on bancassurance revenue, conduct risk and reputation.</x:v>
      </x:c>
      <x:c r="F6" s="12" t="str">
        <x:v>Bancassurance; Compliance; Legal; PA</x:v>
      </x:c>
      <x:c r="G6" s="12" t="str">
        <x:v>Prepare industry input; strengthen sales conduct monitoring.</x:v>
      </x:c>
      <x:c r="H6" s="12" t="str">
        <x:v>Drafting</x:v>
      </x:c>
      <x:c r="I6" s="12" t="str">
        <x:v>Bancassurance + Compliance</x:v>
      </x:c>
      <x:c r="J6" s="12" t="str">
        <x:v>Monthly</x:v>
      </x:c>
    </x:row>
    <x:row r="7">
      <x:c r="A7" s="12" t="str">
        <x:v>Personal Data Protection / Data Localization</x:v>
      </x:c>
      <x:c r="B7" s="12" t="str">
        <x:v>MIC</x:v>
      </x:c>
      <x:c r="C7" s="12" t="str">
        <x:v>Rules on consent, data processing, cross-border transfer and storage obligations.</x:v>
      </x:c>
      <x:c r="D7" s="12" t="str">
        <x:v>Maintain consent records, privacy notices and controls over data sharing.</x:v>
      </x:c>
      <x:c r="E7" s="12" t="str">
        <x:v>Medium-high impact on digital sales and customer data operations.</x:v>
      </x:c>
      <x:c r="F7" s="12" t="str">
        <x:v>IT; Digital; Legal; Compliance; PA</x:v>
      </x:c>
      <x:c r="G7" s="12" t="str">
        <x:v>Map data flows; prepare compliance note for regulator engagement.</x:v>
      </x:c>
      <x:c r="H7" s="12" t="str">
        <x:v>Implementation</x:v>
      </x:c>
      <x:c r="I7" s="12" t="str">
        <x:v>Digital + Legal</x:v>
      </x:c>
      <x:c r="J7" s="12" t="str">
        <x:v>Monthly</x:v>
      </x:c>
    </x:row>
    <x:row r="8">
      <x:c r="A8" s="12" t="str">
        <x:v>Consumer Protection Requirements</x:v>
      </x:c>
      <x:c r="B8" s="12" t="str">
        <x:v>VCA / ISA</x:v>
      </x:c>
      <x:c r="C8" s="12" t="str">
        <x:v>Rules and expectations around complaint transparency, mis-selling prevention and fair customer treatment.</x:v>
      </x:c>
      <x:c r="D8" s="12" t="str">
        <x:v>Maintain complaint records, remediation evidence and transparent customer communication.</x:v>
      </x:c>
      <x:c r="E8" s="12" t="str">
        <x:v>High reputation impact and can trigger regulatory scrutiny.</x:v>
      </x:c>
      <x:c r="F8" s="12" t="str">
        <x:v>Compliance; Operations; Agency; PA</x:v>
      </x:c>
      <x:c r="G8" s="12" t="str">
        <x:v>Build customer complaint dashboard and regulator-ready remediation pack.</x:v>
      </x:c>
      <x:c r="H8" s="12" t="str">
        <x:v>Effective soon</x:v>
      </x:c>
      <x:c r="I8" s="12" t="str">
        <x:v>Compliance + PA</x:v>
      </x:c>
      <x:c r="J8" s="12" t="str">
        <x:v>Monthly</x:v>
      </x:c>
    </x:row>
    <x:row r="9">
      <x:c r="A9" s="12" t="str">
        <x:v>ESG Disclosure for Insurers</x:v>
      </x:c>
      <x:c r="B9" s="12" t="str">
        <x:v>MOF</x:v>
      </x:c>
      <x:c r="C9" s="12" t="str">
        <x:v>Emerging expectation for sustainability disclosure, responsible investment and social contribution reporting.</x:v>
      </x:c>
      <x:c r="D9" s="12" t="str">
        <x:v>Collect ESG data and align disclosures with group and local expectations.</x:v>
      </x:c>
      <x:c r="E9" s="12" t="str">
        <x:v>Medium impact; opportunity to strengthen legitimacy.</x:v>
      </x:c>
      <x:c r="F9" s="12" t="str">
        <x:v>Finance; Investment; Sustainability; PA</x:v>
      </x:c>
      <x:c r="G9" s="12" t="str">
        <x:v>Prepare baseline ESG disclosure template.</x:v>
      </x:c>
      <x:c r="H9" s="12" t="str">
        <x:v>Early consultation</x:v>
      </x:c>
      <x:c r="I9" s="12" t="str">
        <x:v>Finance + PA</x:v>
      </x:c>
      <x:c r="J9" s="12" t="str">
        <x:v>Quarterly</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12"/>
      <x:c r="B12" s="12"/>
      <x:c r="C12" s="12"/>
      <x:c r="D12" s="12"/>
      <x:c r="E12" s="12"/>
      <x:c r="F12" s="12"/>
      <x:c r="G12" s="12"/>
      <x:c r="H12" s="12"/>
      <x:c r="I12" s="12"/>
      <x:c r="J12" s="12"/>
    </x:row>
    <x:row r="13">
      <x:c r="A13" s="12"/>
      <x:c r="B13" s="12"/>
      <x:c r="C13" s="12"/>
      <x:c r="D13" s="12"/>
      <x:c r="E13" s="12"/>
      <x:c r="F13" s="12"/>
      <x:c r="G13" s="12"/>
      <x:c r="H13" s="12"/>
      <x:c r="I13" s="12"/>
      <x:c r="J13" s="12"/>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pageMargins left="0.7" right="0.7" top="0.75" bottom="0.75" header="0.3" footer="0.3"/>
  <x:tableParts count="1">
    <x:tablePart xmlns:r="http://schemas.openxmlformats.org/officeDocument/2006/relationships" r:id="R6c16405575ba4b09"/>
  </x:tableParts>
</x:worksheet>
</file>

<file path=xl/worksheets/sheet17.xml><?xml version="1.0" encoding="utf-8"?>
<x:worksheet xmlns:x="http://schemas.openxmlformats.org/spreadsheetml/2006/main">
  <x:sheetFormatPr defaultRowHeight="15"/>
  <x:cols>
    <x:col min="1" max="1" width="29.610000610351562" hidden="0" customWidth="1"/>
    <x:col min="2" max="2" width="26.780000686645508" hidden="0" customWidth="1"/>
    <x:col min="3" max="3" width="18.299999237060547" hidden="0" customWidth="1"/>
    <x:col min="4" max="4" width="12.649999618530273" hidden="0" customWidth="1"/>
    <x:col min="5" max="5" width="9.960000038146973" hidden="0" customWidth="1"/>
    <x:col min="6" max="6" width="9.149999618530273" hidden="0" customWidth="1"/>
    <x:col min="7" max="7" width="27.190000534057617" hidden="0" customWidth="1"/>
    <x:col min="8" max="8" width="45.4900016784668" hidden="0" customWidth="1"/>
    <x:col min="9" max="9" width="19.920000076293945" hidden="0" customWidth="1"/>
    <x:col min="10" max="10" width="22.8799991607666" hidden="0" customWidth="1"/>
  </x:cols>
  <x:sheetData>
    <x:row r="1" ht="28" customHeight="1">
      <x:c r="A1" s="70" t="str">
        <x:v>Regulatory Workflow Engine</x:v>
      </x:c>
      <x:c r="B1" s="12"/>
      <x:c r="C1" s="12"/>
      <x:c r="D1" s="12"/>
      <x:c r="E1" s="12"/>
      <x:c r="F1" s="12"/>
      <x:c r="G1" s="12"/>
      <x:c r="H1" s="12"/>
      <x:c r="I1" s="12"/>
      <x:c r="J1" s="12"/>
    </x:row>
    <x:row r="2">
      <x:c r="A2" s="12"/>
      <x:c r="B2" s="12"/>
      <x:c r="C2" s="12"/>
      <x:c r="D2" s="12"/>
      <x:c r="E2" s="12"/>
      <x:c r="F2" s="12"/>
      <x:c r="G2" s="12"/>
      <x:c r="H2" s="12"/>
      <x:c r="I2" s="12"/>
      <x:c r="J2" s="12"/>
    </x:row>
    <x:row r="3">
      <x:c r="A3" s="69" t="str">
        <x:v>Workflow ID</x:v>
      </x:c>
      <x:c r="B3" s="69" t="str">
        <x:v>Workflow Name</x:v>
      </x:c>
      <x:c r="C3" s="69" t="str">
        <x:v>Stage</x:v>
      </x:c>
      <x:c r="D3" s="69" t="str">
        <x:v>Owner</x:v>
      </x:c>
      <x:c r="E3" s="69" t="str">
        <x:v>SLA Days</x:v>
      </x:c>
      <x:c r="F3" s="69" t="str">
        <x:v>Status</x:v>
      </x:c>
      <x:c r="G3" s="69" t="str">
        <x:v>Bottleneck</x:v>
      </x:c>
      <x:c r="H3" s="69" t="str">
        <x:v>Next Action</x:v>
      </x:c>
      <x:c r="I3" s="69" t="str">
        <x:v>Regulator / Audience</x:v>
      </x:c>
      <x:c r="J3" s="69" t="str">
        <x:v>Control Point</x:v>
      </x:c>
    </x:row>
    <x:row r="4">
      <x:c r="A4" s="12" t="str">
        <x:v>WF-001</x:v>
      </x:c>
      <x:c r="B4" s="12" t="str">
        <x:v>MOF official letter submission</x:v>
      </x:c>
      <x:c r="C4" s="12" t="str">
        <x:v>Request received</x:v>
      </x:c>
      <x:c r="D4" s="12" t="str">
        <x:v>Public Affairs</x:v>
      </x:c>
      <x:c r="E4" s="12" t="n">
        <x:v>1</x:v>
      </x:c>
      <x:c r="F4" s="12" t="str">
        <x:v>Completed</x:v>
      </x:c>
      <x:c r="G4" s="12" t="str">
        <x:v>None</x:v>
      </x:c>
      <x:c r="H4" s="12" t="str">
        <x:v>Log request and confirm scope</x:v>
      </x:c>
      <x:c r="I4" s="12" t="str">
        <x:v>MOF</x:v>
      </x:c>
      <x:c r="J4" s="12" t="str">
        <x:v>Request scope confirmation</x:v>
      </x:c>
    </x:row>
    <x:row r="5">
      <x:c r="A5" s="12" t="str">
        <x:v>WF-001</x:v>
      </x:c>
      <x:c r="B5" s="12" t="str">
        <x:v>MOF official letter submission</x:v>
      </x:c>
      <x:c r="C5" s="12" t="str">
        <x:v>Data collection</x:v>
      </x:c>
      <x:c r="D5" s="12" t="str">
        <x:v>Business Owner</x:v>
      </x:c>
      <x:c r="E5" s="12" t="n">
        <x:v>3</x:v>
      </x:c>
      <x:c r="F5" s="12" t="str">
        <x:v>In Progress</x:v>
      </x:c>
      <x:c r="G5" s="12" t="str">
        <x:v>Delayed supporting data</x:v>
      </x:c>
      <x:c r="H5" s="12" t="str">
        <x:v>Escalate to Product by noon</x:v>
      </x:c>
      <x:c r="I5" s="12" t="str">
        <x:v>MOF</x:v>
      </x:c>
      <x:c r="J5" s="12" t="str">
        <x:v>Data completeness check</x:v>
      </x:c>
    </x:row>
    <x:row r="6">
      <x:c r="A6" s="12" t="str">
        <x:v>WF-001</x:v>
      </x:c>
      <x:c r="B6" s="12" t="str">
        <x:v>MOF official letter submission</x:v>
      </x:c>
      <x:c r="C6" s="12" t="str">
        <x:v>Legal review</x:v>
      </x:c>
      <x:c r="D6" s="12" t="str">
        <x:v>Legal</x:v>
      </x:c>
      <x:c r="E6" s="12" t="n">
        <x:v>2</x:v>
      </x:c>
      <x:c r="F6" s="12" t="str">
        <x:v>Pending</x:v>
      </x:c>
      <x:c r="G6" s="12" t="str">
        <x:v>Awaiting draft</x:v>
      </x:c>
      <x:c r="H6" s="12" t="str">
        <x:v>Send version-controlled draft</x:v>
      </x:c>
      <x:c r="I6" s="12" t="str">
        <x:v>MOF</x:v>
      </x:c>
      <x:c r="J6" s="12" t="str">
        <x:v>Legal sign-off</x:v>
      </x:c>
    </x:row>
    <x:row r="7">
      <x:c r="A7" s="12" t="str">
        <x:v>WF-001</x:v>
      </x:c>
      <x:c r="B7" s="12" t="str">
        <x:v>MOF official letter submission</x:v>
      </x:c>
      <x:c r="C7" s="12" t="str">
        <x:v>Compliance review</x:v>
      </x:c>
      <x:c r="D7" s="12" t="str">
        <x:v>Compliance</x:v>
      </x:c>
      <x:c r="E7" s="12" t="n">
        <x:v>2</x:v>
      </x:c>
      <x:c r="F7" s="12" t="str">
        <x:v>Pending</x:v>
      </x:c>
      <x:c r="G7" s="12" t="str">
        <x:v>Awaiting Legal comments</x:v>
      </x:c>
      <x:c r="H7" s="12" t="str">
        <x:v>Review once legal draft locked</x:v>
      </x:c>
      <x:c r="I7" s="12" t="str">
        <x:v>MOF</x:v>
      </x:c>
      <x:c r="J7" s="12" t="str">
        <x:v>Compliance sign-off</x:v>
      </x:c>
    </x:row>
    <x:row r="8">
      <x:c r="A8" s="12" t="str">
        <x:v>WF-001</x:v>
      </x:c>
      <x:c r="B8" s="12" t="str">
        <x:v>MOF official letter submission</x:v>
      </x:c>
      <x:c r="C8" s="12" t="str">
        <x:v>Management approval</x:v>
      </x:c>
      <x:c r="D8" s="12" t="str">
        <x:v>CEO Office</x:v>
      </x:c>
      <x:c r="E8" s="12" t="n">
        <x:v>2</x:v>
      </x:c>
      <x:c r="F8" s="12" t="str">
        <x:v>Not Started</x:v>
      </x:c>
      <x:c r="G8" s="12" t="str">
        <x:v>Signature authority not confirmed</x:v>
      </x:c>
      <x:c r="H8" s="12" t="str">
        <x:v>Confirm signer and delegation matrix</x:v>
      </x:c>
      <x:c r="I8" s="12" t="str">
        <x:v>MOF</x:v>
      </x:c>
      <x:c r="J8" s="12" t="str">
        <x:v>Signature authority check</x:v>
      </x:c>
    </x:row>
    <x:row r="9">
      <x:c r="A9" s="12" t="str">
        <x:v>WF-001</x:v>
      </x:c>
      <x:c r="B9" s="12" t="str">
        <x:v>MOF official letter submission</x:v>
      </x:c>
      <x:c r="C9" s="12" t="str">
        <x:v>Submission</x:v>
      </x:c>
      <x:c r="D9" s="12" t="str">
        <x:v>Public Affairs</x:v>
      </x:c>
      <x:c r="E9" s="12" t="n">
        <x:v>1</x:v>
      </x:c>
      <x:c r="F9" s="12" t="str">
        <x:v>Not Started</x:v>
      </x:c>
      <x:c r="G9" s="12" t="str">
        <x:v>Hard copy not prepared</x:v>
      </x:c>
      <x:c r="H9" s="12" t="str">
        <x:v>Prepare cover letter, attachments and submission receipt</x:v>
      </x:c>
      <x:c r="I9" s="12" t="str">
        <x:v>MOF</x:v>
      </x:c>
      <x:c r="J9" s="12" t="str">
        <x:v>Submission evidence archive</x:v>
      </x:c>
    </x:row>
    <x:row r="10">
      <x:c r="A10" s="12" t="str">
        <x:v>WF-001</x:v>
      </x:c>
      <x:c r="B10" s="12" t="str">
        <x:v>MOF official letter submission</x:v>
      </x:c>
      <x:c r="C10" s="12" t="str">
        <x:v>Response tracking</x:v>
      </x:c>
      <x:c r="D10" s="12" t="str">
        <x:v>Public Affairs</x:v>
      </x:c>
      <x:c r="E10" s="12" t="n">
        <x:v>5</x:v>
      </x:c>
      <x:c r="F10" s="12" t="str">
        <x:v>Not Started</x:v>
      </x:c>
      <x:c r="G10" s="12" t="str">
        <x:v>No response yet</x:v>
      </x:c>
      <x:c r="H10" s="12" t="str">
        <x:v>Track receipt and expected feedback date</x:v>
      </x:c>
      <x:c r="I10" s="12" t="str">
        <x:v>MOF</x:v>
      </x:c>
      <x:c r="J10" s="12" t="str">
        <x:v>Regulator response log</x:v>
      </x:c>
    </x:row>
    <x:row r="11">
      <x:c r="A11" s="12" t="str">
        <x:v>WF-002</x:v>
      </x:c>
      <x:c r="B11" s="12" t="str">
        <x:v>ISA product approval dossier</x:v>
      </x:c>
      <x:c r="C11" s="12" t="str">
        <x:v>Draft dossier</x:v>
      </x:c>
      <x:c r="D11" s="12" t="str">
        <x:v>Product</x:v>
      </x:c>
      <x:c r="E11" s="12" t="n">
        <x:v>5</x:v>
      </x:c>
      <x:c r="F11" s="12" t="str">
        <x:v>Completed</x:v>
      </x:c>
      <x:c r="G11" s="12" t="str">
        <x:v>None</x:v>
      </x:c>
      <x:c r="H11" s="12" t="str">
        <x:v>Send to Legal/Compliance</x:v>
      </x:c>
      <x:c r="I11" s="12" t="str">
        <x:v>ISA</x:v>
      </x:c>
      <x:c r="J11" s="12" t="str">
        <x:v>Product dossier checklist</x:v>
      </x:c>
    </x:row>
    <x:row r="12">
      <x:c r="A12" s="12" t="str">
        <x:v>WF-002</x:v>
      </x:c>
      <x:c r="B12" s="12" t="str">
        <x:v>ISA product approval dossier</x:v>
      </x:c>
      <x:c r="C12" s="12" t="str">
        <x:v>Regulator Q&amp;A</x:v>
      </x:c>
      <x:c r="D12" s="12" t="str">
        <x:v>Product + PA</x:v>
      </x:c>
      <x:c r="E12" s="12" t="n">
        <x:v>7</x:v>
      </x:c>
      <x:c r="F12" s="12" t="str">
        <x:v>In Progress</x:v>
      </x:c>
      <x:c r="G12" s="12" t="str">
        <x:v>Technical answers incomplete</x:v>
      </x:c>
      <x:c r="H12" s="12" t="str">
        <x:v>Prepare Q&amp;A table with evidence</x:v>
      </x:c>
      <x:c r="I12" s="12" t="str">
        <x:v>ISA</x:v>
      </x:c>
      <x:c r="J12" s="12" t="str">
        <x:v>Q&amp;A response quality check</x:v>
      </x:c>
    </x:row>
    <x:row r="13">
      <x:c r="A13" s="12" t="str">
        <x:v>WF-003</x:v>
      </x:c>
      <x:c r="B13" s="12" t="str">
        <x:v>Regional Office regulatory update</x:v>
      </x:c>
      <x:c r="C13" s="12" t="str">
        <x:v>Collect weekly updates</x:v>
      </x:c>
      <x:c r="D13" s="12" t="str">
        <x:v>Public Affairs</x:v>
      </x:c>
      <x:c r="E13" s="12" t="n">
        <x:v>2</x:v>
      </x:c>
      <x:c r="F13" s="12" t="str">
        <x:v>In Progress</x:v>
      </x:c>
      <x:c r="G13" s="12" t="str">
        <x:v>Inputs from functions late</x:v>
      </x:c>
      <x:c r="H13" s="12" t="str">
        <x:v>Send Friday reminder</x:v>
      </x:c>
      <x:c r="I13" s="12" t="str">
        <x:v>Regional Office</x:v>
      </x:c>
      <x:c r="J13" s="12" t="str">
        <x:v>One source of truth tracker</x:v>
      </x:c>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dataValidations count="1">
    <x:dataValidation type="list" sqref="F4:F50">
      <x:formula1>"Not Started,Pending,In Progress,Completed,Blocked"</x:formula1>
    </x:dataValidation>
  </x:dataValidations>
  <x:pageMargins left="0.7" right="0.7" top="0.75" bottom="0.75" header="0.3" footer="0.3"/>
  <x:tableParts count="1">
    <x:tablePart xmlns:r="http://schemas.openxmlformats.org/officeDocument/2006/relationships" r:id="R3c4082ae6b5a43e9"/>
  </x:tableParts>
</x:worksheet>
</file>

<file path=xl/worksheets/sheet18.xml><?xml version="1.0" encoding="utf-8"?>
<x:worksheet xmlns:x="http://schemas.openxmlformats.org/spreadsheetml/2006/main">
  <x:sheetFormatPr defaultRowHeight="15"/>
  <x:cols>
    <x:col min="1" max="1" width="32.029998779296875" hidden="0" customWidth="1"/>
    <x:col min="2" max="2" width="11.979999542236328" hidden="0" customWidth="1"/>
    <x:col min="3" max="3" width="134.0500030517578" hidden="0" customWidth="1"/>
    <x:col min="4" max="4" width="39.29999923706055" hidden="0" customWidth="1"/>
    <x:col min="5" max="5" width="82.63999938964844" hidden="0" customWidth="1"/>
    <x:col min="6" max="6" width="58.81999969482422" hidden="0" customWidth="1"/>
    <x:col min="7" max="7" width="33.380001068115234" hidden="0" customWidth="1"/>
    <x:col min="8" max="8" width="86.80999755859375" hidden="0" customWidth="1"/>
    <x:col min="9" max="9" width="12.520000457763672" hidden="0" customWidth="1"/>
  </x:cols>
  <x:sheetData>
    <x:row r="1" ht="28" customHeight="1">
      <x:c r="A1" s="70" t="str">
        <x:v>Executive Brief Generator Data</x:v>
      </x:c>
      <x:c r="B1" s="12"/>
      <x:c r="C1" s="12"/>
      <x:c r="D1" s="12"/>
      <x:c r="E1" s="12"/>
      <x:c r="F1" s="12"/>
      <x:c r="G1" s="12"/>
      <x:c r="H1" s="12"/>
      <x:c r="I1" s="12"/>
    </x:row>
    <x:row r="2">
      <x:c r="A2" s="12"/>
      <x:c r="B2" s="12"/>
      <x:c r="C2" s="12"/>
      <x:c r="D2" s="12"/>
      <x:c r="E2" s="12"/>
      <x:c r="F2" s="12"/>
      <x:c r="G2" s="12"/>
      <x:c r="H2" s="12"/>
      <x:c r="I2" s="12"/>
    </x:row>
    <x:row r="3">
      <x:c r="A3" s="69" t="str">
        <x:v>Brief Date</x:v>
      </x:c>
      <x:c r="B3" s="69" t="str">
        <x:v>Audience</x:v>
      </x:c>
      <x:c r="C3" s="69" t="str">
        <x:v>Executive Summary</x:v>
      </x:c>
      <x:c r="D3" s="69" t="str">
        <x:v>Top Deadline</x:v>
      </x:c>
      <x:c r="E3" s="69" t="str">
        <x:v>Top Risk</x:v>
      </x:c>
      <x:c r="F3" s="69" t="str">
        <x:v>Key Regulator Interaction</x:v>
      </x:c>
      <x:c r="G3" s="69" t="str">
        <x:v>Documents Not Ready</x:v>
      </x:c>
      <x:c r="H3" s="69" t="str">
        <x:v>Next 7-Day Priorities</x:v>
      </x:c>
      <x:c r="I3" s="69" t="str">
        <x:v>Prepared By</x:v>
      </x:c>
    </x:row>
    <x:row r="4">
      <x:c r="A4" s="12" t="str">
        <x:v>2026-06-11</x:v>
      </x:c>
      <x:c r="B4" s="12" t="str">
        <x:v>CEO / EMT</x:v>
      </x:c>
      <x:c r="C4" s="12" t="str">
        <x:v>Regulatory operations are manageable but three items require leadership visibility: one overdue ISA follow-up, product approval Q&amp;A, and MOF official letter readiness.</x:v>
      </x:c>
      <x:c r="D4" s="12" t="str">
        <x:v>Monthly solvency report due tomorrow to ISA</x:v>
      </x:c>
      <x:c r="E4" s="12" t="str">
        <x:v>Circular on product approval process: high business impact and consultation window within 0-3 months</x:v>
      </x:c>
      <x:c r="F4" s="12" t="str">
        <x:v>ISA technical session planned; MOF official letter readiness check pending</x:v>
      </x:c>
      <x:c r="G4" s="12" t="str">
        <x:v>3 documents not ready or needing review</x:v>
      </x:c>
      <x:c r="H4" s="12" t="str">
        <x:v>Close overdue ISA follow-up; finalize MOF letter; prepare ISA product Q&amp;A; send weekly Regional Office pack</x:v>
      </x:c>
      <x:c r="I4" s="12" t="str">
        <x:v>Public Affairs</x:v>
      </x:c>
    </x:row>
    <x:row r="5">
      <x:c r="A5" s="12" t="str">
        <x:v>2026-06-12</x:v>
      </x:c>
      <x:c r="B5" s="12" t="str">
        <x:v>Regional Office</x:v>
      </x:c>
      <x:c r="C5" s="12" t="str">
        <x:v>No material new law detected. Key focus remains product approval process, data privacy implementation and consumer protection reporting.</x:v>
      </x:c>
      <x:c r="D5" s="12" t="str">
        <x:v>Regional Office weekly regulatory pack due today</x:v>
      </x:c>
      <x:c r="E5" s="12" t="str">
        <x:v>Bancassurance conduct guideline remains medium-high strategic risk</x:v>
      </x:c>
      <x:c r="F5" s="12" t="str">
        <x:v>IAV working group scheduled; MIC data privacy consultation monitored</x:v>
      </x:c>
      <x:c r="G5" s="12" t="str">
        <x:v>2 documents require review</x:v>
      </x:c>
      <x:c r="H5" s="12" t="str">
        <x:v>Issue weekly pack; update policy radar; close legal comments on product dossier</x:v>
      </x:c>
      <x:c r="I5" s="12" t="str">
        <x:v>Public Affairs</x:v>
      </x:c>
    </x:row>
    <x:row r="6">
      <x:c r="A6" s="12"/>
      <x:c r="B6" s="12"/>
      <x:c r="C6" s="12"/>
      <x:c r="D6" s="12"/>
      <x:c r="E6" s="12"/>
      <x:c r="F6" s="12"/>
      <x:c r="G6" s="12"/>
      <x:c r="H6" s="12"/>
      <x:c r="I6" s="12"/>
    </x:row>
    <x:row r="7">
      <x:c r="A7" s="12"/>
      <x:c r="B7" s="12"/>
      <x:c r="C7" s="12"/>
      <x:c r="D7" s="12"/>
      <x:c r="E7" s="12"/>
      <x:c r="F7" s="12"/>
      <x:c r="G7" s="12"/>
      <x:c r="H7" s="12"/>
      <x:c r="I7" s="12"/>
    </x:row>
    <x:row r="8">
      <x:c r="A8" s="12"/>
      <x:c r="B8" s="12"/>
      <x:c r="C8" s="12"/>
      <x:c r="D8" s="12"/>
      <x:c r="E8" s="12"/>
      <x:c r="F8" s="12"/>
      <x:c r="G8" s="12"/>
      <x:c r="H8" s="12"/>
      <x:c r="I8" s="12"/>
    </x:row>
    <x:row r="9">
      <x:c r="A9" s="12"/>
      <x:c r="B9" s="12"/>
      <x:c r="C9" s="12"/>
      <x:c r="D9" s="12"/>
      <x:c r="E9" s="12"/>
      <x:c r="F9" s="12"/>
      <x:c r="G9" s="12"/>
      <x:c r="H9" s="12"/>
      <x:c r="I9" s="12"/>
    </x:row>
    <x:row r="10">
      <x:c r="A10" s="12"/>
      <x:c r="B10" s="12"/>
      <x:c r="C10" s="12"/>
      <x:c r="D10" s="12"/>
      <x:c r="E10" s="12"/>
      <x:c r="F10" s="12"/>
      <x:c r="G10" s="12"/>
      <x:c r="H10" s="12"/>
      <x:c r="I10" s="12"/>
    </x:row>
    <x:row r="11">
      <x:c r="A11" s="12"/>
      <x:c r="B11" s="12"/>
      <x:c r="C11" s="12"/>
      <x:c r="D11" s="12"/>
      <x:c r="E11" s="12"/>
      <x:c r="F11" s="12"/>
      <x:c r="G11" s="12"/>
      <x:c r="H11" s="12"/>
      <x:c r="I11" s="12"/>
    </x:row>
    <x:row r="12">
      <x:c r="A12" s="12"/>
      <x:c r="B12" s="12"/>
      <x:c r="C12" s="12"/>
      <x:c r="D12" s="12"/>
      <x:c r="E12" s="12"/>
      <x:c r="F12" s="12"/>
      <x:c r="G12" s="12"/>
      <x:c r="H12" s="12"/>
      <x:c r="I12" s="12"/>
    </x:row>
    <x:row r="13">
      <x:c r="A13" s="12"/>
      <x:c r="B13" s="12"/>
      <x:c r="C13" s="12"/>
      <x:c r="D13" s="12"/>
      <x:c r="E13" s="12"/>
      <x:c r="F13" s="12"/>
      <x:c r="G13" s="12"/>
      <x:c r="H13" s="12"/>
      <x:c r="I13" s="12"/>
    </x:row>
    <x:row r="14">
      <x:c r="A14" s="12"/>
      <x:c r="B14" s="12"/>
      <x:c r="C14" s="12"/>
      <x:c r="D14" s="12"/>
      <x:c r="E14" s="12"/>
      <x:c r="F14" s="12"/>
      <x:c r="G14" s="12"/>
      <x:c r="H14" s="12"/>
      <x:c r="I14" s="12"/>
    </x:row>
    <x:row r="15">
      <x:c r="A15" s="12"/>
      <x:c r="B15" s="12"/>
      <x:c r="C15" s="12"/>
      <x:c r="D15" s="12"/>
      <x:c r="E15" s="12"/>
      <x:c r="F15" s="12"/>
      <x:c r="G15" s="12"/>
      <x:c r="H15" s="12"/>
      <x:c r="I15" s="12"/>
    </x:row>
    <x:row r="16">
      <x:c r="A16" s="12"/>
      <x:c r="B16" s="12"/>
      <x:c r="C16" s="12"/>
      <x:c r="D16" s="12"/>
      <x:c r="E16" s="12"/>
      <x:c r="F16" s="12"/>
      <x:c r="G16" s="12"/>
      <x:c r="H16" s="12"/>
      <x:c r="I16" s="12"/>
    </x:row>
    <x:row r="17">
      <x:c r="A17" s="12"/>
      <x:c r="B17" s="12"/>
      <x:c r="C17" s="12"/>
      <x:c r="D17" s="12"/>
      <x:c r="E17" s="12"/>
      <x:c r="F17" s="12"/>
      <x:c r="G17" s="12"/>
      <x:c r="H17" s="12"/>
      <x:c r="I17" s="12"/>
    </x:row>
    <x:row r="18">
      <x:c r="A18" s="12"/>
      <x:c r="B18" s="12"/>
      <x:c r="C18" s="12"/>
      <x:c r="D18" s="12"/>
      <x:c r="E18" s="12"/>
      <x:c r="F18" s="12"/>
      <x:c r="G18" s="12"/>
      <x:c r="H18" s="12"/>
      <x:c r="I18" s="12"/>
    </x:row>
    <x:row r="19">
      <x:c r="A19" s="12"/>
      <x:c r="B19" s="12"/>
      <x:c r="C19" s="12"/>
      <x:c r="D19" s="12"/>
      <x:c r="E19" s="12"/>
      <x:c r="F19" s="12"/>
      <x:c r="G19" s="12"/>
      <x:c r="H19" s="12"/>
      <x:c r="I19" s="12"/>
    </x:row>
    <x:row r="20">
      <x:c r="A20" s="12"/>
      <x:c r="B20" s="12"/>
      <x:c r="C20" s="12"/>
      <x:c r="D20" s="12"/>
      <x:c r="E20" s="12"/>
      <x:c r="F20" s="12"/>
      <x:c r="G20" s="1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sheetData>
  <x:mergeCells>
    <x:mergeCell ref="A1:I1"/>
  </x:mergeCells>
  <x:pageMargins left="0.7" right="0.7" top="0.75" bottom="0.75" header="0.3" footer="0.3"/>
  <x:tableParts count="1">
    <x:tablePart xmlns:r="http://schemas.openxmlformats.org/officeDocument/2006/relationships" r:id="Rd1fa265e65cc47c0"/>
  </x:tableParts>
</x:worksheet>
</file>

<file path=xl/worksheets/sheet19.xml><?xml version="1.0" encoding="utf-8"?>
<x:worksheet xmlns:x="http://schemas.openxmlformats.org/spreadsheetml/2006/main">
  <x:sheetFormatPr defaultRowHeight="15"/>
  <x:cols>
    <x:col min="1" max="1" width="25.170000076293945" hidden="0" customWidth="1"/>
    <x:col min="2" max="2" width="23.280000686645508" hidden="0" customWidth="1"/>
    <x:col min="3" max="3" width="12.649999618530273" hidden="0" customWidth="1"/>
    <x:col min="4" max="4" width="19.920000076293945" hidden="0" customWidth="1"/>
    <x:col min="5" max="5" width="13.1899995803833" hidden="0" customWidth="1"/>
    <x:col min="6" max="6" width="18.030000686645508" hidden="0" customWidth="1"/>
    <x:col min="7" max="7" width="30.959999084472656" hidden="0" customWidth="1"/>
    <x:col min="8" max="8" width="42.79999923706055" hidden="0" customWidth="1"/>
    <x:col min="9" max="9" width="57.599998474121094" hidden="0" customWidth="1"/>
  </x:cols>
  <x:sheetData>
    <x:row r="1" ht="28" customHeight="1">
      <x:c r="A1" s="70" t="str">
        <x:v>Approval Time Analytics</x:v>
      </x:c>
      <x:c r="B1" s="12"/>
      <x:c r="C1" s="12"/>
      <x:c r="D1" s="12"/>
      <x:c r="E1" s="12"/>
      <x:c r="F1" s="12"/>
      <x:c r="G1" s="12"/>
      <x:c r="H1" s="12"/>
      <x:c r="I1" s="12"/>
    </x:row>
    <x:row r="2">
      <x:c r="A2" s="12"/>
      <x:c r="B2" s="12"/>
      <x:c r="C2" s="12"/>
      <x:c r="D2" s="12"/>
      <x:c r="E2" s="12"/>
      <x:c r="F2" s="12"/>
      <x:c r="G2" s="12"/>
      <x:c r="H2" s="12"/>
      <x:c r="I2" s="12"/>
    </x:row>
    <x:row r="3">
      <x:c r="A3" s="69" t="str">
        <x:v>Regulator</x:v>
      </x:c>
      <x:c r="B3" s="69" t="str">
        <x:v>Approval Type</x:v>
      </x:c>
      <x:c r="C3" s="69" t="str">
        <x:v>No. of Cases</x:v>
      </x:c>
      <x:c r="D3" s="69" t="str">
        <x:v>Avg Days to Approval</x:v>
      </x:c>
      <x:c r="E3" s="69" t="str">
        <x:v>Median Days</x:v>
      </x:c>
      <x:c r="F3" s="69" t="str">
        <x:v>Longest Open Case</x:v>
      </x:c>
      <x:c r="G3" s="69" t="str">
        <x:v>Expected Approval Time Next Case</x:v>
      </x:c>
      <x:c r="H3" s="69" t="str">
        <x:v>Bottleneck</x:v>
      </x:c>
      <x:c r="I3" s="69" t="str">
        <x:v>Recommended Improvement</x:v>
      </x:c>
    </x:row>
    <x:row r="4">
      <x:c r="A4" s="12" t="str">
        <x:v>ISA</x:v>
      </x:c>
      <x:c r="B4" s="12" t="str">
        <x:v>Product approval</x:v>
      </x:c>
      <x:c r="C4" s="12" t="n">
        <x:v>12</x:v>
      </x:c>
      <x:c r="D4" s="72" t="n">
        <x:v>42</x:v>
      </x:c>
      <x:c r="E4" s="72" t="n">
        <x:v>38</x:v>
      </x:c>
      <x:c r="F4" s="72" t="str">
        <x:v>APR-011</x:v>
      </x:c>
      <x:c r="G4" s="72" t="n">
        <x:v>45</x:v>
      </x:c>
      <x:c r="H4" s="12" t="str">
        <x:v>Regulator Q&amp;A and missing technical evidence</x:v>
      </x:c>
      <x:c r="I4" s="12" t="str">
        <x:v>Create standardized Q&amp;A evidence pack and pre-check with Compliance</x:v>
      </x:c>
    </x:row>
    <x:row r="5">
      <x:c r="A5" s="12" t="str">
        <x:v>MOF</x:v>
      </x:c>
      <x:c r="B5" s="12" t="str">
        <x:v>Capital / license</x:v>
      </x:c>
      <x:c r="C5" s="12" t="n">
        <x:v>8</x:v>
      </x:c>
      <x:c r="D5" s="72" t="n">
        <x:v>55</x:v>
      </x:c>
      <x:c r="E5" s="72" t="n">
        <x:v>52</x:v>
      </x:c>
      <x:c r="F5" s="72" t="str">
        <x:v>APR-005</x:v>
      </x:c>
      <x:c r="G5" s="72" t="n">
        <x:v>58</x:v>
      </x:c>
      <x:c r="H5" s="12" t="str">
        <x:v>Management approval and hard-copy documentation</x:v>
      </x:c>
      <x:c r="I5" s="12" t="str">
        <x:v>Prepare signature matrix and document QC before internal approval</x:v>
      </x:c>
    </x:row>
    <x:row r="6">
      <x:c r="A6" s="12" t="str">
        <x:v>IAV</x:v>
      </x:c>
      <x:c r="B6" s="12" t="str">
        <x:v>Industry working group input</x:v>
      </x:c>
      <x:c r="C6" s="12" t="n">
        <x:v>6</x:v>
      </x:c>
      <x:c r="D6" s="72" t="n">
        <x:v>21</x:v>
      </x:c>
      <x:c r="E6" s="72" t="n">
        <x:v>18</x:v>
      </x:c>
      <x:c r="F6" s="72" t="str">
        <x:v>APR-014</x:v>
      </x:c>
      <x:c r="G6" s="72" t="n">
        <x:v>24</x:v>
      </x:c>
      <x:c r="H6" s="12" t="str">
        <x:v>Coordination with member companies</x:v>
      </x:c>
      <x:c r="I6" s="12" t="str">
        <x:v>Submit early draft positions and align through working group</x:v>
      </x:c>
    </x:row>
    <x:row r="7">
      <x:c r="A7" s="12" t="str">
        <x:v>MIC</x:v>
      </x:c>
      <x:c r="B7" s="12" t="str">
        <x:v>Digital / data consultation</x:v>
      </x:c>
      <x:c r="C7" s="12" t="n">
        <x:v>5</x:v>
      </x:c>
      <x:c r="D7" s="72" t="n">
        <x:v>36</x:v>
      </x:c>
      <x:c r="E7" s="72" t="n">
        <x:v>34</x:v>
      </x:c>
      <x:c r="F7" s="72" t="str">
        <x:v>APR-019</x:v>
      </x:c>
      <x:c r="G7" s="72" t="n">
        <x:v>40</x:v>
      </x:c>
      <x:c r="H7" s="12" t="str">
        <x:v>Technical interpretation and data mapping</x:v>
      </x:c>
      <x:c r="I7" s="12" t="str">
        <x:v>Maintain data-flow annex and privacy impact summary</x:v>
      </x:c>
    </x:row>
    <x:row r="8">
      <x:c r="A8" s="12" t="str">
        <x:v>SBV / MOF</x:v>
      </x:c>
      <x:c r="B8" s="12" t="str">
        <x:v>Bancassurance matters</x:v>
      </x:c>
      <x:c r="C8" s="12" t="n">
        <x:v>7</x:v>
      </x:c>
      <x:c r="D8" s="72" t="n">
        <x:v>48</x:v>
      </x:c>
      <x:c r="E8" s="72" t="n">
        <x:v>46</x:v>
      </x:c>
      <x:c r="F8" s="72" t="str">
        <x:v>APR-018</x:v>
      </x:c>
      <x:c r="G8" s="72" t="n">
        <x:v>50</x:v>
      </x:c>
      <x:c r="H8" s="12" t="str">
        <x:v>Cross-agency alignment and conduct evidence</x:v>
      </x:c>
      <x:c r="I8" s="12" t="str">
        <x:v>Prepare customer-protection narrative and complaint KPIs</x:v>
      </x:c>
    </x:row>
    <x:row r="9">
      <x:c r="A9" s="12"/>
      <x:c r="B9" s="12"/>
      <x:c r="C9" s="12"/>
      <x:c r="D9" s="72"/>
      <x:c r="E9" s="72"/>
      <x:c r="F9" s="72"/>
      <x:c r="G9" s="72"/>
      <x:c r="H9" s="12"/>
      <x:c r="I9" s="12"/>
    </x:row>
    <x:row r="10">
      <x:c r="A10" s="12"/>
      <x:c r="B10" s="12"/>
      <x:c r="C10" s="12"/>
      <x:c r="D10" s="72"/>
      <x:c r="E10" s="72"/>
      <x:c r="F10" s="72"/>
      <x:c r="G10" s="72"/>
      <x:c r="H10" s="12"/>
      <x:c r="I10" s="12"/>
    </x:row>
    <x:row r="11">
      <x:c r="A11" s="12"/>
      <x:c r="B11" s="12"/>
      <x:c r="C11" s="12"/>
      <x:c r="D11" s="72"/>
      <x:c r="E11" s="72"/>
      <x:c r="F11" s="72"/>
      <x:c r="G11" s="72"/>
      <x:c r="H11" s="12"/>
      <x:c r="I11" s="12"/>
    </x:row>
    <x:row r="12">
      <x:c r="A12" s="12"/>
      <x:c r="B12" s="12"/>
      <x:c r="C12" s="12"/>
      <x:c r="D12" s="72"/>
      <x:c r="E12" s="72"/>
      <x:c r="F12" s="72"/>
      <x:c r="G12" s="72"/>
      <x:c r="H12" s="12"/>
      <x:c r="I12" s="12"/>
    </x:row>
    <x:row r="13">
      <x:c r="A13" s="12"/>
      <x:c r="B13" s="12"/>
      <x:c r="C13" s="12"/>
      <x:c r="D13" s="72"/>
      <x:c r="E13" s="72"/>
      <x:c r="F13" s="72"/>
      <x:c r="G13" s="72"/>
      <x:c r="H13" s="12"/>
      <x:c r="I13" s="12"/>
    </x:row>
    <x:row r="14">
      <x:c r="A14" s="12"/>
      <x:c r="B14" s="12"/>
      <x:c r="C14" s="12"/>
      <x:c r="D14" s="72"/>
      <x:c r="E14" s="72"/>
      <x:c r="F14" s="72"/>
      <x:c r="G14" s="72"/>
      <x:c r="H14" s="12"/>
      <x:c r="I14" s="12"/>
    </x:row>
    <x:row r="15">
      <x:c r="A15" s="12"/>
      <x:c r="B15" s="12"/>
      <x:c r="C15" s="12"/>
      <x:c r="D15" s="72"/>
      <x:c r="E15" s="72"/>
      <x:c r="F15" s="72"/>
      <x:c r="G15" s="72"/>
      <x:c r="H15" s="12"/>
      <x:c r="I15" s="12"/>
    </x:row>
    <x:row r="16">
      <x:c r="A16" s="12"/>
      <x:c r="B16" s="12"/>
      <x:c r="C16" s="12"/>
      <x:c r="D16" s="72"/>
      <x:c r="E16" s="72"/>
      <x:c r="F16" s="72"/>
      <x:c r="G16" s="72"/>
      <x:c r="H16" s="12"/>
      <x:c r="I16" s="12"/>
    </x:row>
    <x:row r="17">
      <x:c r="A17" s="12"/>
      <x:c r="B17" s="12"/>
      <x:c r="C17" s="12"/>
      <x:c r="D17" s="72"/>
      <x:c r="E17" s="72"/>
      <x:c r="F17" s="72"/>
      <x:c r="G17" s="72"/>
      <x:c r="H17" s="12"/>
      <x:c r="I17" s="12"/>
    </x:row>
    <x:row r="18">
      <x:c r="A18" s="12"/>
      <x:c r="B18" s="12"/>
      <x:c r="C18" s="12"/>
      <x:c r="D18" s="72"/>
      <x:c r="E18" s="72"/>
      <x:c r="F18" s="72"/>
      <x:c r="G18" s="72"/>
      <x:c r="H18" s="12"/>
      <x:c r="I18" s="12"/>
    </x:row>
    <x:row r="19">
      <x:c r="A19" s="12"/>
      <x:c r="B19" s="12"/>
      <x:c r="C19" s="12"/>
      <x:c r="D19" s="72"/>
      <x:c r="E19" s="72"/>
      <x:c r="F19" s="72"/>
      <x:c r="G19" s="72"/>
      <x:c r="H19" s="12"/>
      <x:c r="I19" s="12"/>
    </x:row>
    <x:row r="20">
      <x:c r="A20" s="12"/>
      <x:c r="B20" s="12"/>
      <x:c r="C20" s="12"/>
      <x:c r="D20" s="72"/>
      <x:c r="E20" s="72"/>
      <x:c r="F20" s="72"/>
      <x:c r="G20" s="7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sheetData>
  <x:mergeCells>
    <x:mergeCell ref="A1:I1"/>
  </x:mergeCells>
  <x:pageMargins left="0.7" right="0.7" top="0.75" bottom="0.75" header="0.3" footer="0.3"/>
  <x:tableParts count="1">
    <x:tablePart xmlns:r="http://schemas.openxmlformats.org/officeDocument/2006/relationships" r:id="R984f2fab28e540cb"/>
  </x:tableParts>
</x:worksheet>
</file>

<file path=xl/worksheets/sheet20.xml><?xml version="1.0" encoding="utf-8"?>
<x:worksheet xmlns:x="http://schemas.openxmlformats.org/spreadsheetml/2006/main">
  <x:sheetFormatPr defaultRowHeight="15"/>
  <x:cols>
    <x:col min="1" max="1" width="24.229999542236328" hidden="0" customWidth="1"/>
    <x:col min="2" max="2" width="30.280000686645508" hidden="0" customWidth="1"/>
    <x:col min="3" max="3" width="7.670000076293945" hidden="0" customWidth="1"/>
    <x:col min="4" max="4" width="8.880000114440918" hidden="0" customWidth="1"/>
    <x:col min="5" max="5" width="5.920000076293945" hidden="0" customWidth="1"/>
    <x:col min="6" max="6" width="11.710000038146973" hidden="0" customWidth="1"/>
    <x:col min="7" max="7" width="53.84000015258789" hidden="0" customWidth="1"/>
    <x:col min="8" max="8" width="16.290000915527344" hidden="0" customWidth="1"/>
  </x:cols>
  <x:sheetData>
    <x:row r="1" ht="28" customHeight="1">
      <x:c r="A1" s="70" t="str">
        <x:v>Public Affairs Scorecard</x:v>
      </x:c>
      <x:c r="B1" s="12"/>
      <x:c r="C1" s="12"/>
      <x:c r="D1" s="12"/>
      <x:c r="E1" s="12"/>
      <x:c r="F1" s="12"/>
      <x:c r="G1" s="12"/>
      <x:c r="H1" s="12"/>
    </x:row>
    <x:row r="2">
      <x:c r="A2" s="12"/>
      <x:c r="B2" s="12"/>
      <x:c r="C2" s="12"/>
      <x:c r="D2" s="12"/>
      <x:c r="E2" s="12"/>
      <x:c r="F2" s="12"/>
      <x:c r="G2" s="12"/>
      <x:c r="H2" s="12"/>
    </x:row>
    <x:row r="3">
      <x:c r="A3" s="69" t="str">
        <x:v>KPI Area</x:v>
      </x:c>
      <x:c r="B3" s="69" t="str">
        <x:v>Metric</x:v>
      </x:c>
      <x:c r="C3" s="69" t="str">
        <x:v>Target</x:v>
      </x:c>
      <x:c r="D3" s="69" t="str">
        <x:v>Current</x:v>
      </x:c>
      <x:c r="E3" s="69" t="str">
        <x:v>Gap</x:v>
      </x:c>
      <x:c r="F3" s="69" t="str">
        <x:v>RAG Status</x:v>
      </x:c>
      <x:c r="G3" s="69" t="str">
        <x:v>Interpretation</x:v>
      </x:c>
      <x:c r="H3" s="69" t="str">
        <x:v>Owner</x:v>
      </x:c>
    </x:row>
    <x:row r="4">
      <x:c r="A4" s="12" t="str">
        <x:v>Regulatory Reporting</x:v>
      </x:c>
      <x:c r="B4" s="12" t="str">
        <x:v>On-time submission rate</x:v>
      </x:c>
      <x:c r="C4" s="71" t="n">
        <x:v>0.98</x:v>
      </x:c>
      <x:c r="D4" s="71" t="n">
        <x:v>0.92</x:v>
      </x:c>
      <x:c r="E4" s="71" t="n">
        <x:v>0.06</x:v>
      </x:c>
      <x:c r="F4" s="12" t="str">
        <x:v>Amber</x:v>
      </x:c>
      <x:c r="G4" s="12" t="str">
        <x:v>Operational discipline is improving but not yet target level</x:v>
      </x:c>
      <x:c r="H4" s="12" t="str">
        <x:v>Public Affairs</x:v>
      </x:c>
    </x:row>
    <x:row r="5">
      <x:c r="A5" s="12" t="str">
        <x:v>Document Control</x:v>
      </x:c>
      <x:c r="B5" s="12" t="str">
        <x:v>Documents ready before deadline</x:v>
      </x:c>
      <x:c r="C5" s="71" t="n">
        <x:v>0.95</x:v>
      </x:c>
      <x:c r="D5" s="71" t="n">
        <x:v>0.78</x:v>
      </x:c>
      <x:c r="E5" s="71" t="n">
        <x:v>0.17</x:v>
      </x:c>
      <x:c r="F5" s="12" t="str">
        <x:v>Red</x:v>
      </x:c>
      <x:c r="G5" s="12" t="str">
        <x:v>Document quality checklist should be enforced earlier</x:v>
      </x:c>
      <x:c r="H5" s="12" t="str">
        <x:v>Public Affairs + Legal</x:v>
      </x:c>
    </x:row>
    <x:row r="6">
      <x:c r="A6" s="12" t="str">
        <x:v>Regulator Relationship</x:v>
      </x:c>
      <x:c r="B6" s="12" t="str">
        <x:v>Average relationship strength</x:v>
      </x:c>
      <x:c r="C6" s="71" t="n">
        <x:v>4</x:v>
      </x:c>
      <x:c r="D6" s="71" t="n">
        <x:v>3.33</x:v>
      </x:c>
      <x:c r="E6" s="71" t="n">
        <x:v>0.67</x:v>
      </x:c>
      <x:c r="F6" s="12" t="str">
        <x:v>Amber</x:v>
      </x:c>
      <x:c r="G6" s="12" t="str">
        <x:v>MOF/IAV strong; MIC and ISA require further technical engagement</x:v>
      </x:c>
      <x:c r="H6" s="12" t="str">
        <x:v>Head of PA</x:v>
      </x:c>
    </x:row>
    <x:row r="7">
      <x:c r="A7" s="12" t="str">
        <x:v>Policy Intelligence</x:v>
      </x:c>
      <x:c r="B7" s="12" t="str">
        <x:v>High-risk policy items with action plan</x:v>
      </x:c>
      <x:c r="C7" s="71" t="n">
        <x:v>1</x:v>
      </x:c>
      <x:c r="D7" s="71" t="n">
        <x:v>0.9</x:v>
      </x:c>
      <x:c r="E7" s="71" t="n">
        <x:v>0.1</x:v>
      </x:c>
      <x:c r="F7" s="12" t="str">
        <x:v>Amber</x:v>
      </x:c>
      <x:c r="G7" s="12" t="str">
        <x:v>Most risks have actions, but owners should be confirmed</x:v>
      </x:c>
      <x:c r="H7" s="12" t="str">
        <x:v>Public Affairs</x:v>
      </x:c>
    </x:row>
    <x:row r="8">
      <x:c r="A8" s="12" t="str">
        <x:v>Approval Management</x:v>
      </x:c>
      <x:c r="B8" s="12" t="str">
        <x:v>Approvals closed within target SLA</x:v>
      </x:c>
      <x:c r="C8" s="71" t="n">
        <x:v>0.9</x:v>
      </x:c>
      <x:c r="D8" s="71" t="n">
        <x:v>0.72</x:v>
      </x:c>
      <x:c r="E8" s="71" t="n">
        <x:v>0.18</x:v>
      </x:c>
      <x:c r="F8" s="12" t="str">
        <x:v>Red</x:v>
      </x:c>
      <x:c r="G8" s="12" t="str">
        <x:v>Internal review and Q&amp;A response are main bottlenecks</x:v>
      </x:c>
      <x:c r="H8" s="12" t="str">
        <x:v>Product + Legal</x:v>
      </x:c>
    </x:row>
    <x:row r="9">
      <x:c r="A9" s="12" t="str">
        <x:v>Regional Reporting</x:v>
      </x:c>
      <x:c r="B9" s="12" t="str">
        <x:v>Regional reports issued on schedule</x:v>
      </x:c>
      <x:c r="C9" s="71" t="n">
        <x:v>1</x:v>
      </x:c>
      <x:c r="D9" s="71" t="n">
        <x:v>1</x:v>
      </x:c>
      <x:c r="E9" s="71" t="n">
        <x:v>0</x:v>
      </x:c>
      <x:c r="F9" s="12" t="str">
        <x:v>Green</x:v>
      </x:c>
      <x:c r="G9" s="12" t="str">
        <x:v>Reporting discipline meets expectation</x:v>
      </x:c>
      <x:c r="H9" s="12" t="str">
        <x:v>Public Affairs</x:v>
      </x:c>
    </x:row>
    <x:row r="10">
      <x:c r="A10" s="12" t="str">
        <x:v>Translation Support</x:v>
      </x:c>
      <x:c r="B10" s="12" t="str">
        <x:v>Translation tasks on-time</x:v>
      </x:c>
      <x:c r="C10" s="71" t="n">
        <x:v>0.95</x:v>
      </x:c>
      <x:c r="D10" s="71" t="n">
        <x:v>0.85</x:v>
      </x:c>
      <x:c r="E10" s="71" t="n">
        <x:v>0.1</x:v>
      </x:c>
      <x:c r="F10" s="12" t="str">
        <x:v>Amber</x:v>
      </x:c>
      <x:c r="G10" s="12" t="str">
        <x:v>Track SLA for Regional Office documents</x:v>
      </x:c>
      <x:c r="H10" s="12" t="str">
        <x:v>Public Affairs</x:v>
      </x:c>
    </x:row>
    <x:row r="11">
      <x:c r="A11" s="12"/>
      <x:c r="B11" s="12"/>
      <x:c r="C11" s="71"/>
      <x:c r="D11" s="71"/>
      <x:c r="E11" s="71"/>
      <x:c r="F11" s="12"/>
      <x:c r="G11" s="12"/>
      <x:c r="H11" s="12"/>
    </x:row>
    <x:row r="12">
      <x:c r="A12" s="12"/>
      <x:c r="B12" s="12"/>
      <x:c r="C12" s="71"/>
      <x:c r="D12" s="71"/>
      <x:c r="E12" s="71"/>
      <x:c r="F12" s="12"/>
      <x:c r="G12" s="12"/>
      <x:c r="H12" s="12"/>
    </x:row>
    <x:row r="13">
      <x:c r="A13" s="12"/>
      <x:c r="B13" s="12"/>
      <x:c r="C13" s="71"/>
      <x:c r="D13" s="71"/>
      <x:c r="E13" s="71"/>
      <x:c r="F13" s="12"/>
      <x:c r="G13" s="12"/>
      <x:c r="H13" s="12"/>
    </x:row>
    <x:row r="14">
      <x:c r="A14" s="12"/>
      <x:c r="B14" s="12"/>
      <x:c r="C14" s="71"/>
      <x:c r="D14" s="71"/>
      <x:c r="E14" s="71"/>
      <x:c r="F14" s="12"/>
      <x:c r="G14" s="12"/>
      <x:c r="H14" s="12"/>
    </x:row>
    <x:row r="15">
      <x:c r="A15" s="12"/>
      <x:c r="B15" s="12"/>
      <x:c r="C15" s="71"/>
      <x:c r="D15" s="71"/>
      <x:c r="E15" s="71"/>
      <x:c r="F15" s="12"/>
      <x:c r="G15" s="12"/>
      <x:c r="H15" s="12"/>
    </x:row>
    <x:row r="16">
      <x:c r="A16" s="12"/>
      <x:c r="B16" s="12"/>
      <x:c r="C16" s="71"/>
      <x:c r="D16" s="71"/>
      <x:c r="E16" s="71"/>
      <x:c r="F16" s="12"/>
      <x:c r="G16" s="12"/>
      <x:c r="H16" s="12"/>
    </x:row>
    <x:row r="17">
      <x:c r="A17" s="12"/>
      <x:c r="B17" s="12"/>
      <x:c r="C17" s="71"/>
      <x:c r="D17" s="71"/>
      <x:c r="E17" s="71"/>
      <x:c r="F17" s="12"/>
      <x:c r="G17" s="12"/>
      <x:c r="H17" s="12"/>
    </x:row>
    <x:row r="18">
      <x:c r="A18" s="12"/>
      <x:c r="B18" s="12"/>
      <x:c r="C18" s="71"/>
      <x:c r="D18" s="71"/>
      <x:c r="E18" s="71"/>
      <x:c r="F18" s="12"/>
      <x:c r="G18" s="12"/>
      <x:c r="H18" s="12"/>
    </x:row>
    <x:row r="19">
      <x:c r="A19" s="12"/>
      <x:c r="B19" s="12"/>
      <x:c r="C19" s="71"/>
      <x:c r="D19" s="71"/>
      <x:c r="E19" s="71"/>
      <x:c r="F19" s="12"/>
      <x:c r="G19" s="12"/>
      <x:c r="H19" s="12"/>
    </x:row>
    <x:row r="20">
      <x:c r="A20" s="12"/>
      <x:c r="B20" s="12"/>
      <x:c r="C20" s="71"/>
      <x:c r="D20" s="71"/>
      <x:c r="E20" s="71"/>
      <x:c r="F20" s="12"/>
      <x:c r="G20" s="12"/>
      <x:c r="H20" s="12"/>
    </x:row>
    <x:row r="21">
      <x:c r="A21" s="12"/>
      <x:c r="B21" s="12"/>
      <x:c r="C21" s="12"/>
      <x:c r="D21" s="12"/>
      <x:c r="E21" s="12"/>
      <x:c r="F21" s="12"/>
      <x:c r="G21" s="12"/>
      <x:c r="H21" s="12"/>
    </x:row>
    <x:row r="22">
      <x:c r="A22" s="12"/>
      <x:c r="B22" s="12"/>
      <x:c r="C22" s="12"/>
      <x:c r="D22" s="12"/>
      <x:c r="E22" s="12"/>
      <x:c r="F22" s="12"/>
      <x:c r="G22" s="12"/>
      <x:c r="H22" s="12"/>
    </x:row>
    <x:row r="23">
      <x:c r="A23" s="12"/>
      <x:c r="B23" s="12"/>
      <x:c r="C23" s="12"/>
      <x:c r="D23" s="12"/>
      <x:c r="E23" s="12"/>
      <x:c r="F23" s="12"/>
      <x:c r="G23" s="12"/>
      <x:c r="H23" s="12"/>
    </x:row>
    <x:row r="24">
      <x:c r="A24" s="12"/>
      <x:c r="B24" s="12"/>
      <x:c r="C24" s="12"/>
      <x:c r="D24" s="12"/>
      <x:c r="E24" s="12"/>
      <x:c r="F24" s="12"/>
      <x:c r="G24" s="12"/>
      <x:c r="H24" s="12"/>
    </x:row>
    <x:row r="25">
      <x:c r="A25" s="12"/>
      <x:c r="B25" s="12"/>
      <x:c r="C25" s="12"/>
      <x:c r="D25" s="12"/>
      <x:c r="E25" s="12"/>
      <x:c r="F25" s="12"/>
      <x:c r="G25" s="12"/>
      <x:c r="H25" s="12"/>
    </x:row>
    <x:row r="26">
      <x:c r="A26" s="12"/>
      <x:c r="B26" s="12"/>
      <x:c r="C26" s="12"/>
      <x:c r="D26" s="12"/>
      <x:c r="E26" s="12"/>
      <x:c r="F26" s="12"/>
      <x:c r="G26" s="12"/>
      <x:c r="H26" s="12"/>
    </x:row>
    <x:row r="27">
      <x:c r="A27" s="12"/>
      <x:c r="B27" s="12"/>
      <x:c r="C27" s="12"/>
      <x:c r="D27" s="12"/>
      <x:c r="E27" s="12"/>
      <x:c r="F27" s="12"/>
      <x:c r="G27" s="12"/>
      <x:c r="H27" s="12"/>
    </x:row>
    <x:row r="28">
      <x:c r="A28" s="12"/>
      <x:c r="B28" s="12"/>
      <x:c r="C28" s="12"/>
      <x:c r="D28" s="12"/>
      <x:c r="E28" s="12"/>
      <x:c r="F28" s="12"/>
      <x:c r="G28" s="12"/>
      <x:c r="H28" s="12"/>
    </x:row>
    <x:row r="29">
      <x:c r="A29" s="12"/>
      <x:c r="B29" s="12"/>
      <x:c r="C29" s="12"/>
      <x:c r="D29" s="12"/>
      <x:c r="E29" s="12"/>
      <x:c r="F29" s="12"/>
      <x:c r="G29" s="12"/>
      <x:c r="H29" s="12"/>
    </x:row>
    <x:row r="30">
      <x:c r="A30" s="12"/>
      <x:c r="B30" s="12"/>
      <x:c r="C30" s="12"/>
      <x:c r="D30" s="12"/>
      <x:c r="E30" s="12"/>
      <x:c r="F30" s="12"/>
      <x:c r="G30" s="12"/>
      <x:c r="H30" s="12"/>
    </x:row>
    <x:row r="31">
      <x:c r="A31" s="12"/>
      <x:c r="B31" s="12"/>
      <x:c r="C31" s="12"/>
      <x:c r="D31" s="12"/>
      <x:c r="E31" s="12"/>
      <x:c r="F31" s="12"/>
      <x:c r="G31" s="12"/>
      <x:c r="H31" s="12"/>
    </x:row>
    <x:row r="32">
      <x:c r="A32" s="12"/>
      <x:c r="B32" s="12"/>
      <x:c r="C32" s="12"/>
      <x:c r="D32" s="12"/>
      <x:c r="E32" s="12"/>
      <x:c r="F32" s="12"/>
      <x:c r="G32" s="12"/>
      <x:c r="H32" s="12"/>
    </x:row>
    <x:row r="33">
      <x:c r="A33" s="12"/>
      <x:c r="B33" s="12"/>
      <x:c r="C33" s="12"/>
      <x:c r="D33" s="12"/>
      <x:c r="E33" s="12"/>
      <x:c r="F33" s="12"/>
      <x:c r="G33" s="12"/>
      <x:c r="H33" s="12"/>
    </x:row>
    <x:row r="34">
      <x:c r="A34" s="12"/>
      <x:c r="B34" s="12"/>
      <x:c r="C34" s="12"/>
      <x:c r="D34" s="12"/>
      <x:c r="E34" s="12"/>
      <x:c r="F34" s="12"/>
      <x:c r="G34" s="12"/>
      <x:c r="H34" s="12"/>
    </x:row>
    <x:row r="35">
      <x:c r="A35" s="12"/>
      <x:c r="B35" s="12"/>
      <x:c r="C35" s="12"/>
      <x:c r="D35" s="12"/>
      <x:c r="E35" s="12"/>
      <x:c r="F35" s="12"/>
      <x:c r="G35" s="12"/>
      <x:c r="H35" s="12"/>
    </x:row>
    <x:row r="36">
      <x:c r="A36" s="12"/>
      <x:c r="B36" s="12"/>
      <x:c r="C36" s="12"/>
      <x:c r="D36" s="12"/>
      <x:c r="E36" s="12"/>
      <x:c r="F36" s="12"/>
      <x:c r="G36" s="12"/>
      <x:c r="H36" s="12"/>
    </x:row>
    <x:row r="37">
      <x:c r="A37" s="12"/>
      <x:c r="B37" s="12"/>
      <x:c r="C37" s="12"/>
      <x:c r="D37" s="12"/>
      <x:c r="E37" s="12"/>
      <x:c r="F37" s="12"/>
      <x:c r="G37" s="12"/>
      <x:c r="H37" s="12"/>
    </x:row>
    <x:row r="38">
      <x:c r="A38" s="12"/>
      <x:c r="B38" s="12"/>
      <x:c r="C38" s="12"/>
      <x:c r="D38" s="12"/>
      <x:c r="E38" s="12"/>
      <x:c r="F38" s="12"/>
      <x:c r="G38" s="12"/>
      <x:c r="H38" s="12"/>
    </x:row>
    <x:row r="39">
      <x:c r="A39" s="12"/>
      <x:c r="B39" s="12"/>
      <x:c r="C39" s="12"/>
      <x:c r="D39" s="12"/>
      <x:c r="E39" s="12"/>
      <x:c r="F39" s="12"/>
      <x:c r="G39" s="12"/>
      <x:c r="H39" s="12"/>
    </x:row>
    <x:row r="40">
      <x:c r="A40" s="12"/>
      <x:c r="B40" s="12"/>
      <x:c r="C40" s="12"/>
      <x:c r="D40" s="12"/>
      <x:c r="E40" s="12"/>
      <x:c r="F40" s="12"/>
      <x:c r="G40" s="12"/>
      <x:c r="H40" s="12"/>
    </x:row>
    <x:row r="41">
      <x:c r="A41" s="12"/>
      <x:c r="B41" s="12"/>
      <x:c r="C41" s="12"/>
      <x:c r="D41" s="12"/>
      <x:c r="E41" s="12"/>
      <x:c r="F41" s="12"/>
      <x:c r="G41" s="12"/>
      <x:c r="H41" s="12"/>
    </x:row>
    <x:row r="42">
      <x:c r="A42" s="12"/>
      <x:c r="B42" s="12"/>
      <x:c r="C42" s="12"/>
      <x:c r="D42" s="12"/>
      <x:c r="E42" s="12"/>
      <x:c r="F42" s="12"/>
      <x:c r="G42" s="12"/>
      <x:c r="H42" s="12"/>
    </x:row>
    <x:row r="43">
      <x:c r="A43" s="12"/>
      <x:c r="B43" s="12"/>
      <x:c r="C43" s="12"/>
      <x:c r="D43" s="12"/>
      <x:c r="E43" s="12"/>
      <x:c r="F43" s="12"/>
      <x:c r="G43" s="12"/>
      <x:c r="H43" s="12"/>
    </x:row>
    <x:row r="44">
      <x:c r="A44" s="12"/>
      <x:c r="B44" s="12"/>
      <x:c r="C44" s="12"/>
      <x:c r="D44" s="12"/>
      <x:c r="E44" s="12"/>
      <x:c r="F44" s="12"/>
      <x:c r="G44" s="12"/>
      <x:c r="H44" s="12"/>
    </x:row>
    <x:row r="45">
      <x:c r="A45" s="12"/>
      <x:c r="B45" s="12"/>
      <x:c r="C45" s="12"/>
      <x:c r="D45" s="12"/>
      <x:c r="E45" s="12"/>
      <x:c r="F45" s="12"/>
      <x:c r="G45" s="12"/>
      <x:c r="H45" s="12"/>
    </x:row>
    <x:row r="46">
      <x:c r="A46" s="12"/>
      <x:c r="B46" s="12"/>
      <x:c r="C46" s="12"/>
      <x:c r="D46" s="12"/>
      <x:c r="E46" s="12"/>
      <x:c r="F46" s="12"/>
      <x:c r="G46" s="12"/>
      <x:c r="H46" s="12"/>
    </x:row>
    <x:row r="47">
      <x:c r="A47" s="12"/>
      <x:c r="B47" s="12"/>
      <x:c r="C47" s="12"/>
      <x:c r="D47" s="12"/>
      <x:c r="E47" s="12"/>
      <x:c r="F47" s="12"/>
      <x:c r="G47" s="12"/>
      <x:c r="H47" s="12"/>
    </x:row>
    <x:row r="48">
      <x:c r="A48" s="12"/>
      <x:c r="B48" s="12"/>
      <x:c r="C48" s="12"/>
      <x:c r="D48" s="12"/>
      <x:c r="E48" s="12"/>
      <x:c r="F48" s="12"/>
      <x:c r="G48" s="12"/>
      <x:c r="H48" s="12"/>
    </x:row>
    <x:row r="49">
      <x:c r="A49" s="12"/>
      <x:c r="B49" s="12"/>
      <x:c r="C49" s="12"/>
      <x:c r="D49" s="12"/>
      <x:c r="E49" s="12"/>
      <x:c r="F49" s="12"/>
      <x:c r="G49" s="12"/>
      <x:c r="H49" s="12"/>
    </x:row>
    <x:row r="50">
      <x:c r="A50" s="12"/>
      <x:c r="B50" s="12"/>
      <x:c r="C50" s="12"/>
      <x:c r="D50" s="12"/>
      <x:c r="E50" s="12"/>
      <x:c r="F50" s="12"/>
      <x:c r="G50" s="12"/>
      <x:c r="H50" s="12"/>
    </x:row>
    <x:row r="51">
      <x:c r="A51" s="12"/>
      <x:c r="B51" s="12"/>
      <x:c r="C51" s="12"/>
      <x:c r="D51" s="12"/>
      <x:c r="E51" s="12"/>
      <x:c r="F51" s="12"/>
      <x:c r="G51" s="12"/>
      <x:c r="H51" s="12"/>
    </x:row>
    <x:row r="52">
      <x:c r="A52" s="12"/>
      <x:c r="B52" s="12"/>
      <x:c r="C52" s="12"/>
      <x:c r="D52" s="12"/>
      <x:c r="E52" s="12"/>
      <x:c r="F52" s="12"/>
      <x:c r="G52" s="12"/>
      <x:c r="H52" s="12"/>
    </x:row>
    <x:row r="53">
      <x:c r="A53" s="12"/>
      <x:c r="B53" s="12"/>
      <x:c r="C53" s="12"/>
      <x:c r="D53" s="12"/>
      <x:c r="E53" s="12"/>
      <x:c r="F53" s="12"/>
      <x:c r="G53" s="12"/>
      <x:c r="H53" s="12"/>
    </x:row>
    <x:row r="54">
      <x:c r="A54" s="12"/>
      <x:c r="B54" s="12"/>
      <x:c r="C54" s="12"/>
      <x:c r="D54" s="12"/>
      <x:c r="E54" s="12"/>
      <x:c r="F54" s="12"/>
      <x:c r="G54" s="12"/>
      <x:c r="H54" s="12"/>
    </x:row>
    <x:row r="55">
      <x:c r="A55" s="12"/>
      <x:c r="B55" s="12"/>
      <x:c r="C55" s="12"/>
      <x:c r="D55" s="12"/>
      <x:c r="E55" s="12"/>
      <x:c r="F55" s="12"/>
      <x:c r="G55" s="12"/>
      <x:c r="H55" s="12"/>
    </x:row>
    <x:row r="56">
      <x:c r="A56" s="12"/>
      <x:c r="B56" s="12"/>
      <x:c r="C56" s="12"/>
      <x:c r="D56" s="12"/>
      <x:c r="E56" s="12"/>
      <x:c r="F56" s="12"/>
      <x:c r="G56" s="12"/>
      <x:c r="H56" s="12"/>
    </x:row>
    <x:row r="57">
      <x:c r="A57" s="12"/>
      <x:c r="B57" s="12"/>
      <x:c r="C57" s="12"/>
      <x:c r="D57" s="12"/>
      <x:c r="E57" s="12"/>
      <x:c r="F57" s="12"/>
      <x:c r="G57" s="12"/>
      <x:c r="H57" s="12"/>
    </x:row>
    <x:row r="58">
      <x:c r="A58" s="12"/>
      <x:c r="B58" s="12"/>
      <x:c r="C58" s="12"/>
      <x:c r="D58" s="12"/>
      <x:c r="E58" s="12"/>
      <x:c r="F58" s="12"/>
      <x:c r="G58" s="12"/>
      <x:c r="H58" s="12"/>
    </x:row>
    <x:row r="59">
      <x:c r="A59" s="12"/>
      <x:c r="B59" s="12"/>
      <x:c r="C59" s="12"/>
      <x:c r="D59" s="12"/>
      <x:c r="E59" s="12"/>
      <x:c r="F59" s="12"/>
      <x:c r="G59" s="12"/>
      <x:c r="H59" s="12"/>
    </x:row>
    <x:row r="60">
      <x:c r="A60" s="12"/>
      <x:c r="B60" s="12"/>
      <x:c r="C60" s="12"/>
      <x:c r="D60" s="12"/>
      <x:c r="E60" s="12"/>
      <x:c r="F60" s="12"/>
      <x:c r="G60" s="12"/>
      <x:c r="H60" s="12"/>
    </x:row>
    <x:row r="61">
      <x:c r="A61" s="12"/>
      <x:c r="B61" s="12"/>
      <x:c r="C61" s="12"/>
      <x:c r="D61" s="12"/>
      <x:c r="E61" s="12"/>
      <x:c r="F61" s="12"/>
      <x:c r="G61" s="12"/>
      <x:c r="H61" s="12"/>
    </x:row>
    <x:row r="62">
      <x:c r="A62" s="12"/>
      <x:c r="B62" s="12"/>
      <x:c r="C62" s="12"/>
      <x:c r="D62" s="12"/>
      <x:c r="E62" s="12"/>
      <x:c r="F62" s="12"/>
      <x:c r="G62" s="12"/>
      <x:c r="H62" s="12"/>
    </x:row>
    <x:row r="63">
      <x:c r="A63" s="12"/>
      <x:c r="B63" s="12"/>
      <x:c r="C63" s="12"/>
      <x:c r="D63" s="12"/>
      <x:c r="E63" s="12"/>
      <x:c r="F63" s="12"/>
      <x:c r="G63" s="12"/>
      <x:c r="H63" s="12"/>
    </x:row>
    <x:row r="64">
      <x:c r="A64" s="12"/>
      <x:c r="B64" s="12"/>
      <x:c r="C64" s="12"/>
      <x:c r="D64" s="12"/>
      <x:c r="E64" s="12"/>
      <x:c r="F64" s="12"/>
      <x:c r="G64" s="12"/>
      <x:c r="H64" s="12"/>
    </x:row>
    <x:row r="65">
      <x:c r="A65" s="12"/>
      <x:c r="B65" s="12"/>
      <x:c r="C65" s="12"/>
      <x:c r="D65" s="12"/>
      <x:c r="E65" s="12"/>
      <x:c r="F65" s="12"/>
      <x:c r="G65" s="12"/>
      <x:c r="H65" s="12"/>
    </x:row>
    <x:row r="66">
      <x:c r="A66" s="12"/>
      <x:c r="B66" s="12"/>
      <x:c r="C66" s="12"/>
      <x:c r="D66" s="12"/>
      <x:c r="E66" s="12"/>
      <x:c r="F66" s="12"/>
      <x:c r="G66" s="12"/>
      <x:c r="H66" s="12"/>
    </x:row>
    <x:row r="67">
      <x:c r="A67" s="12"/>
      <x:c r="B67" s="12"/>
      <x:c r="C67" s="12"/>
      <x:c r="D67" s="12"/>
      <x:c r="E67" s="12"/>
      <x:c r="F67" s="12"/>
      <x:c r="G67" s="12"/>
      <x:c r="H67" s="12"/>
    </x:row>
    <x:row r="68">
      <x:c r="A68" s="12"/>
      <x:c r="B68" s="12"/>
      <x:c r="C68" s="12"/>
      <x:c r="D68" s="12"/>
      <x:c r="E68" s="12"/>
      <x:c r="F68" s="12"/>
      <x:c r="G68" s="12"/>
      <x:c r="H68" s="12"/>
    </x:row>
    <x:row r="69">
      <x:c r="A69" s="12"/>
      <x:c r="B69" s="12"/>
      <x:c r="C69" s="12"/>
      <x:c r="D69" s="12"/>
      <x:c r="E69" s="12"/>
      <x:c r="F69" s="12"/>
      <x:c r="G69" s="12"/>
      <x:c r="H69" s="12"/>
    </x:row>
    <x:row r="70">
      <x:c r="A70" s="12"/>
      <x:c r="B70" s="12"/>
      <x:c r="C70" s="12"/>
      <x:c r="D70" s="12"/>
      <x:c r="E70" s="12"/>
      <x:c r="F70" s="12"/>
      <x:c r="G70" s="12"/>
      <x:c r="H70" s="12"/>
    </x:row>
    <x:row r="71">
      <x:c r="A71" s="12"/>
      <x:c r="B71" s="12"/>
      <x:c r="C71" s="12"/>
      <x:c r="D71" s="12"/>
      <x:c r="E71" s="12"/>
      <x:c r="F71" s="12"/>
      <x:c r="G71" s="12"/>
      <x:c r="H71" s="12"/>
    </x:row>
    <x:row r="72">
      <x:c r="A72" s="12"/>
      <x:c r="B72" s="12"/>
      <x:c r="C72" s="12"/>
      <x:c r="D72" s="12"/>
      <x:c r="E72" s="12"/>
      <x:c r="F72" s="12"/>
      <x:c r="G72" s="12"/>
      <x:c r="H72" s="12"/>
    </x:row>
    <x:row r="73">
      <x:c r="A73" s="12"/>
      <x:c r="B73" s="12"/>
      <x:c r="C73" s="12"/>
      <x:c r="D73" s="12"/>
      <x:c r="E73" s="12"/>
      <x:c r="F73" s="12"/>
      <x:c r="G73" s="12"/>
      <x:c r="H73" s="12"/>
    </x:row>
    <x:row r="74">
      <x:c r="A74" s="12"/>
      <x:c r="B74" s="12"/>
      <x:c r="C74" s="12"/>
      <x:c r="D74" s="12"/>
      <x:c r="E74" s="12"/>
      <x:c r="F74" s="12"/>
      <x:c r="G74" s="12"/>
      <x:c r="H74" s="12"/>
    </x:row>
    <x:row r="75">
      <x:c r="A75" s="12"/>
      <x:c r="B75" s="12"/>
      <x:c r="C75" s="12"/>
      <x:c r="D75" s="12"/>
      <x:c r="E75" s="12"/>
      <x:c r="F75" s="12"/>
      <x:c r="G75" s="12"/>
      <x:c r="H75" s="12"/>
    </x:row>
    <x:row r="76">
      <x:c r="A76" s="12"/>
      <x:c r="B76" s="12"/>
      <x:c r="C76" s="12"/>
      <x:c r="D76" s="12"/>
      <x:c r="E76" s="12"/>
      <x:c r="F76" s="12"/>
      <x:c r="G76" s="12"/>
      <x:c r="H76" s="12"/>
    </x:row>
    <x:row r="77">
      <x:c r="A77" s="12"/>
      <x:c r="B77" s="12"/>
      <x:c r="C77" s="12"/>
      <x:c r="D77" s="12"/>
      <x:c r="E77" s="12"/>
      <x:c r="F77" s="12"/>
      <x:c r="G77" s="12"/>
      <x:c r="H77" s="12"/>
    </x:row>
    <x:row r="78">
      <x:c r="A78" s="12"/>
      <x:c r="B78" s="12"/>
      <x:c r="C78" s="12"/>
      <x:c r="D78" s="12"/>
      <x:c r="E78" s="12"/>
      <x:c r="F78" s="12"/>
      <x:c r="G78" s="12"/>
      <x:c r="H78" s="12"/>
    </x:row>
    <x:row r="79">
      <x:c r="A79" s="12"/>
      <x:c r="B79" s="12"/>
      <x:c r="C79" s="12"/>
      <x:c r="D79" s="12"/>
      <x:c r="E79" s="12"/>
      <x:c r="F79" s="12"/>
      <x:c r="G79" s="12"/>
      <x:c r="H79" s="12"/>
    </x:row>
    <x:row r="80">
      <x:c r="A80" s="12"/>
      <x:c r="B80" s="12"/>
      <x:c r="C80" s="12"/>
      <x:c r="D80" s="12"/>
      <x:c r="E80" s="12"/>
      <x:c r="F80" s="12"/>
      <x:c r="G80" s="12"/>
      <x:c r="H80" s="12"/>
    </x:row>
    <x:row r="81">
      <x:c r="A81" s="12"/>
      <x:c r="B81" s="12"/>
      <x:c r="C81" s="12"/>
      <x:c r="D81" s="12"/>
      <x:c r="E81" s="12"/>
      <x:c r="F81" s="12"/>
      <x:c r="G81" s="12"/>
      <x:c r="H81" s="12"/>
    </x:row>
    <x:row r="82">
      <x:c r="A82" s="12"/>
      <x:c r="B82" s="12"/>
      <x:c r="C82" s="12"/>
      <x:c r="D82" s="12"/>
      <x:c r="E82" s="12"/>
      <x:c r="F82" s="12"/>
      <x:c r="G82" s="12"/>
      <x:c r="H82" s="12"/>
    </x:row>
    <x:row r="83">
      <x:c r="A83" s="12"/>
      <x:c r="B83" s="12"/>
      <x:c r="C83" s="12"/>
      <x:c r="D83" s="12"/>
      <x:c r="E83" s="12"/>
      <x:c r="F83" s="12"/>
      <x:c r="G83" s="12"/>
      <x:c r="H83" s="12"/>
    </x:row>
    <x:row r="84">
      <x:c r="A84" s="12"/>
      <x:c r="B84" s="12"/>
      <x:c r="C84" s="12"/>
      <x:c r="D84" s="12"/>
      <x:c r="E84" s="12"/>
      <x:c r="F84" s="12"/>
      <x:c r="G84" s="12"/>
      <x:c r="H84" s="12"/>
    </x:row>
    <x:row r="85">
      <x:c r="A85" s="12"/>
      <x:c r="B85" s="12"/>
      <x:c r="C85" s="12"/>
      <x:c r="D85" s="12"/>
      <x:c r="E85" s="12"/>
      <x:c r="F85" s="12"/>
      <x:c r="G85" s="12"/>
      <x:c r="H85" s="12"/>
    </x:row>
    <x:row r="86">
      <x:c r="A86" s="12"/>
      <x:c r="B86" s="12"/>
      <x:c r="C86" s="12"/>
      <x:c r="D86" s="12"/>
      <x:c r="E86" s="12"/>
      <x:c r="F86" s="12"/>
      <x:c r="G86" s="12"/>
      <x:c r="H86" s="12"/>
    </x:row>
    <x:row r="87">
      <x:c r="A87" s="12"/>
      <x:c r="B87" s="12"/>
      <x:c r="C87" s="12"/>
      <x:c r="D87" s="12"/>
      <x:c r="E87" s="12"/>
      <x:c r="F87" s="12"/>
      <x:c r="G87" s="12"/>
      <x:c r="H87" s="12"/>
    </x:row>
    <x:row r="88">
      <x:c r="A88" s="12"/>
      <x:c r="B88" s="12"/>
      <x:c r="C88" s="12"/>
      <x:c r="D88" s="12"/>
      <x:c r="E88" s="12"/>
      <x:c r="F88" s="12"/>
      <x:c r="G88" s="12"/>
      <x:c r="H88" s="12"/>
    </x:row>
    <x:row r="89">
      <x:c r="A89" s="12"/>
      <x:c r="B89" s="12"/>
      <x:c r="C89" s="12"/>
      <x:c r="D89" s="12"/>
      <x:c r="E89" s="12"/>
      <x:c r="F89" s="12"/>
      <x:c r="G89" s="12"/>
      <x:c r="H89" s="12"/>
    </x:row>
    <x:row r="90">
      <x:c r="A90" s="12"/>
      <x:c r="B90" s="12"/>
      <x:c r="C90" s="12"/>
      <x:c r="D90" s="12"/>
      <x:c r="E90" s="12"/>
      <x:c r="F90" s="12"/>
      <x:c r="G90" s="12"/>
      <x:c r="H90" s="12"/>
    </x:row>
    <x:row r="91">
      <x:c r="A91" s="12"/>
      <x:c r="B91" s="12"/>
      <x:c r="C91" s="12"/>
      <x:c r="D91" s="12"/>
      <x:c r="E91" s="12"/>
      <x:c r="F91" s="12"/>
      <x:c r="G91" s="12"/>
      <x:c r="H91" s="12"/>
    </x:row>
    <x:row r="92">
      <x:c r="A92" s="12"/>
      <x:c r="B92" s="12"/>
      <x:c r="C92" s="12"/>
      <x:c r="D92" s="12"/>
      <x:c r="E92" s="12"/>
      <x:c r="F92" s="12"/>
      <x:c r="G92" s="12"/>
      <x:c r="H92" s="12"/>
    </x:row>
    <x:row r="93">
      <x:c r="A93" s="12"/>
      <x:c r="B93" s="12"/>
      <x:c r="C93" s="12"/>
      <x:c r="D93" s="12"/>
      <x:c r="E93" s="12"/>
      <x:c r="F93" s="12"/>
      <x:c r="G93" s="12"/>
      <x:c r="H93" s="12"/>
    </x:row>
    <x:row r="94">
      <x:c r="A94" s="12"/>
      <x:c r="B94" s="12"/>
      <x:c r="C94" s="12"/>
      <x:c r="D94" s="12"/>
      <x:c r="E94" s="12"/>
      <x:c r="F94" s="12"/>
      <x:c r="G94" s="12"/>
      <x:c r="H94" s="12"/>
    </x:row>
    <x:row r="95">
      <x:c r="A95" s="12"/>
      <x:c r="B95" s="12"/>
      <x:c r="C95" s="12"/>
      <x:c r="D95" s="12"/>
      <x:c r="E95" s="12"/>
      <x:c r="F95" s="12"/>
      <x:c r="G95" s="12"/>
      <x:c r="H95" s="12"/>
    </x:row>
    <x:row r="96">
      <x:c r="A96" s="12"/>
      <x:c r="B96" s="12"/>
      <x:c r="C96" s="12"/>
      <x:c r="D96" s="12"/>
      <x:c r="E96" s="12"/>
      <x:c r="F96" s="12"/>
      <x:c r="G96" s="12"/>
      <x:c r="H96" s="12"/>
    </x:row>
    <x:row r="97">
      <x:c r="A97" s="12"/>
      <x:c r="B97" s="12"/>
      <x:c r="C97" s="12"/>
      <x:c r="D97" s="12"/>
      <x:c r="E97" s="12"/>
      <x:c r="F97" s="12"/>
      <x:c r="G97" s="12"/>
      <x:c r="H97" s="12"/>
    </x:row>
    <x:row r="98">
      <x:c r="A98" s="12"/>
      <x:c r="B98" s="12"/>
      <x:c r="C98" s="12"/>
      <x:c r="D98" s="12"/>
      <x:c r="E98" s="12"/>
      <x:c r="F98" s="12"/>
      <x:c r="G98" s="12"/>
      <x:c r="H98" s="12"/>
    </x:row>
    <x:row r="99">
      <x:c r="A99" s="12"/>
      <x:c r="B99" s="12"/>
      <x:c r="C99" s="12"/>
      <x:c r="D99" s="12"/>
      <x:c r="E99" s="12"/>
      <x:c r="F99" s="12"/>
      <x:c r="G99" s="12"/>
      <x:c r="H99" s="12"/>
    </x:row>
    <x:row r="100">
      <x:c r="A100" s="12"/>
      <x:c r="B100" s="12"/>
      <x:c r="C100" s="12"/>
      <x:c r="D100" s="12"/>
      <x:c r="E100" s="12"/>
      <x:c r="F100" s="12"/>
      <x:c r="G100" s="12"/>
      <x:c r="H100" s="12"/>
    </x:row>
    <x:row r="101">
      <x:c r="A101" s="12"/>
      <x:c r="B101" s="12"/>
      <x:c r="C101" s="12"/>
      <x:c r="D101" s="12"/>
      <x:c r="E101" s="12"/>
      <x:c r="F101" s="12"/>
      <x:c r="G101" s="12"/>
      <x:c r="H101" s="12"/>
    </x:row>
    <x:row r="102">
      <x:c r="A102" s="12"/>
      <x:c r="B102" s="12"/>
      <x:c r="C102" s="12"/>
      <x:c r="D102" s="12"/>
      <x:c r="E102" s="12"/>
      <x:c r="F102" s="12"/>
      <x:c r="G102" s="12"/>
      <x:c r="H102" s="12"/>
    </x:row>
    <x:row r="103">
      <x:c r="A103" s="12"/>
      <x:c r="B103" s="12"/>
      <x:c r="C103" s="12"/>
      <x:c r="D103" s="12"/>
      <x:c r="E103" s="12"/>
      <x:c r="F103" s="12"/>
      <x:c r="G103" s="12"/>
      <x:c r="H103" s="12"/>
    </x:row>
    <x:row r="104">
      <x:c r="A104" s="12"/>
      <x:c r="B104" s="12"/>
      <x:c r="C104" s="12"/>
      <x:c r="D104" s="12"/>
      <x:c r="E104" s="12"/>
      <x:c r="F104" s="12"/>
      <x:c r="G104" s="12"/>
      <x:c r="H104" s="12"/>
    </x:row>
    <x:row r="105">
      <x:c r="A105" s="12"/>
      <x:c r="B105" s="12"/>
      <x:c r="C105" s="12"/>
      <x:c r="D105" s="12"/>
      <x:c r="E105" s="12"/>
      <x:c r="F105" s="12"/>
      <x:c r="G105" s="12"/>
      <x:c r="H105" s="12"/>
    </x:row>
    <x:row r="106">
      <x:c r="A106" s="12"/>
      <x:c r="B106" s="12"/>
      <x:c r="C106" s="12"/>
      <x:c r="D106" s="12"/>
      <x:c r="E106" s="12"/>
      <x:c r="F106" s="12"/>
      <x:c r="G106" s="12"/>
      <x:c r="H106" s="12"/>
    </x:row>
    <x:row r="107">
      <x:c r="A107" s="12"/>
      <x:c r="B107" s="12"/>
      <x:c r="C107" s="12"/>
      <x:c r="D107" s="12"/>
      <x:c r="E107" s="12"/>
      <x:c r="F107" s="12"/>
      <x:c r="G107" s="12"/>
      <x:c r="H107" s="12"/>
    </x:row>
    <x:row r="108">
      <x:c r="A108" s="12"/>
      <x:c r="B108" s="12"/>
      <x:c r="C108" s="12"/>
      <x:c r="D108" s="12"/>
      <x:c r="E108" s="12"/>
      <x:c r="F108" s="12"/>
      <x:c r="G108" s="12"/>
      <x:c r="H108" s="12"/>
    </x:row>
    <x:row r="109">
      <x:c r="A109" s="12"/>
      <x:c r="B109" s="12"/>
      <x:c r="C109" s="12"/>
      <x:c r="D109" s="12"/>
      <x:c r="E109" s="12"/>
      <x:c r="F109" s="12"/>
      <x:c r="G109" s="12"/>
      <x:c r="H109" s="12"/>
    </x:row>
    <x:row r="110">
      <x:c r="A110" s="12"/>
      <x:c r="B110" s="12"/>
      <x:c r="C110" s="12"/>
      <x:c r="D110" s="12"/>
      <x:c r="E110" s="12"/>
      <x:c r="F110" s="12"/>
      <x:c r="G110" s="12"/>
      <x:c r="H110" s="12"/>
    </x:row>
    <x:row r="111">
      <x:c r="A111" s="12"/>
      <x:c r="B111" s="12"/>
      <x:c r="C111" s="12"/>
      <x:c r="D111" s="12"/>
      <x:c r="E111" s="12"/>
      <x:c r="F111" s="12"/>
      <x:c r="G111" s="12"/>
      <x:c r="H111" s="12"/>
    </x:row>
    <x:row r="112">
      <x:c r="A112" s="12"/>
      <x:c r="B112" s="12"/>
      <x:c r="C112" s="12"/>
      <x:c r="D112" s="12"/>
      <x:c r="E112" s="12"/>
      <x:c r="F112" s="12"/>
      <x:c r="G112" s="12"/>
      <x:c r="H112" s="12"/>
    </x:row>
    <x:row r="113">
      <x:c r="A113" s="12"/>
      <x:c r="B113" s="12"/>
      <x:c r="C113" s="12"/>
      <x:c r="D113" s="12"/>
      <x:c r="E113" s="12"/>
      <x:c r="F113" s="12"/>
      <x:c r="G113" s="12"/>
      <x:c r="H113" s="12"/>
    </x:row>
    <x:row r="114">
      <x:c r="A114" s="12"/>
      <x:c r="B114" s="12"/>
      <x:c r="C114" s="12"/>
      <x:c r="D114" s="12"/>
      <x:c r="E114" s="12"/>
      <x:c r="F114" s="12"/>
      <x:c r="G114" s="12"/>
      <x:c r="H114" s="12"/>
    </x:row>
    <x:row r="115">
      <x:c r="A115" s="12"/>
      <x:c r="B115" s="12"/>
      <x:c r="C115" s="12"/>
      <x:c r="D115" s="12"/>
      <x:c r="E115" s="12"/>
      <x:c r="F115" s="12"/>
      <x:c r="G115" s="12"/>
      <x:c r="H115" s="12"/>
    </x:row>
    <x:row r="116">
      <x:c r="A116" s="12"/>
      <x:c r="B116" s="12"/>
      <x:c r="C116" s="12"/>
      <x:c r="D116" s="12"/>
      <x:c r="E116" s="12"/>
      <x:c r="F116" s="12"/>
      <x:c r="G116" s="12"/>
      <x:c r="H116" s="12"/>
    </x:row>
    <x:row r="117">
      <x:c r="A117" s="12"/>
      <x:c r="B117" s="12"/>
      <x:c r="C117" s="12"/>
      <x:c r="D117" s="12"/>
      <x:c r="E117" s="12"/>
      <x:c r="F117" s="12"/>
      <x:c r="G117" s="12"/>
      <x:c r="H117" s="12"/>
    </x:row>
    <x:row r="118">
      <x:c r="A118" s="12"/>
      <x:c r="B118" s="12"/>
      <x:c r="C118" s="12"/>
      <x:c r="D118" s="12"/>
      <x:c r="E118" s="12"/>
      <x:c r="F118" s="12"/>
      <x:c r="G118" s="12"/>
      <x:c r="H118" s="12"/>
    </x:row>
    <x:row r="119">
      <x:c r="A119" s="12"/>
      <x:c r="B119" s="12"/>
      <x:c r="C119" s="12"/>
      <x:c r="D119" s="12"/>
      <x:c r="E119" s="12"/>
      <x:c r="F119" s="12"/>
      <x:c r="G119" s="12"/>
      <x:c r="H119" s="12"/>
    </x:row>
    <x:row r="120">
      <x:c r="A120" s="12"/>
      <x:c r="B120" s="12"/>
      <x:c r="C120" s="12"/>
      <x:c r="D120" s="12"/>
      <x:c r="E120" s="12"/>
      <x:c r="F120" s="12"/>
      <x:c r="G120" s="12"/>
      <x:c r="H120" s="12"/>
    </x:row>
    <x:row r="121">
      <x:c r="A121" s="12"/>
      <x:c r="B121" s="12"/>
      <x:c r="C121" s="12"/>
      <x:c r="D121" s="12"/>
      <x:c r="E121" s="12"/>
      <x:c r="F121" s="12"/>
      <x:c r="G121" s="12"/>
      <x:c r="H121" s="12"/>
    </x:row>
    <x:row r="122">
      <x:c r="A122" s="12"/>
      <x:c r="B122" s="12"/>
      <x:c r="C122" s="12"/>
      <x:c r="D122" s="12"/>
      <x:c r="E122" s="12"/>
      <x:c r="F122" s="12"/>
      <x:c r="G122" s="12"/>
      <x:c r="H122" s="12"/>
    </x:row>
    <x:row r="123">
      <x:c r="A123" s="12"/>
      <x:c r="B123" s="12"/>
      <x:c r="C123" s="12"/>
      <x:c r="D123" s="12"/>
      <x:c r="E123" s="12"/>
      <x:c r="F123" s="12"/>
      <x:c r="G123" s="12"/>
      <x:c r="H123" s="12"/>
    </x:row>
    <x:row r="124">
      <x:c r="A124" s="12"/>
      <x:c r="B124" s="12"/>
      <x:c r="C124" s="12"/>
      <x:c r="D124" s="12"/>
      <x:c r="E124" s="12"/>
      <x:c r="F124" s="12"/>
      <x:c r="G124" s="12"/>
      <x:c r="H124" s="12"/>
    </x:row>
    <x:row r="125">
      <x:c r="A125" s="12"/>
      <x:c r="B125" s="12"/>
      <x:c r="C125" s="12"/>
      <x:c r="D125" s="12"/>
      <x:c r="E125" s="12"/>
      <x:c r="F125" s="12"/>
      <x:c r="G125" s="12"/>
      <x:c r="H125" s="12"/>
    </x:row>
    <x:row r="126">
      <x:c r="A126" s="12"/>
      <x:c r="B126" s="12"/>
      <x:c r="C126" s="12"/>
      <x:c r="D126" s="12"/>
      <x:c r="E126" s="12"/>
      <x:c r="F126" s="12"/>
      <x:c r="G126" s="12"/>
      <x:c r="H126" s="12"/>
    </x:row>
    <x:row r="127">
      <x:c r="A127" s="12"/>
      <x:c r="B127" s="12"/>
      <x:c r="C127" s="12"/>
      <x:c r="D127" s="12"/>
      <x:c r="E127" s="12"/>
      <x:c r="F127" s="12"/>
      <x:c r="G127" s="12"/>
      <x:c r="H127" s="12"/>
    </x:row>
    <x:row r="128">
      <x:c r="A128" s="12"/>
      <x:c r="B128" s="12"/>
      <x:c r="C128" s="12"/>
      <x:c r="D128" s="12"/>
      <x:c r="E128" s="12"/>
      <x:c r="F128" s="12"/>
      <x:c r="G128" s="12"/>
      <x:c r="H128" s="12"/>
    </x:row>
    <x:row r="129">
      <x:c r="A129" s="12"/>
      <x:c r="B129" s="12"/>
      <x:c r="C129" s="12"/>
      <x:c r="D129" s="12"/>
      <x:c r="E129" s="12"/>
      <x:c r="F129" s="12"/>
      <x:c r="G129" s="12"/>
      <x:c r="H129" s="12"/>
    </x:row>
    <x:row r="130">
      <x:c r="A130" s="12"/>
      <x:c r="B130" s="12"/>
      <x:c r="C130" s="12"/>
      <x:c r="D130" s="12"/>
      <x:c r="E130" s="12"/>
      <x:c r="F130" s="12"/>
      <x:c r="G130" s="12"/>
      <x:c r="H130" s="12"/>
    </x:row>
    <x:row r="131">
      <x:c r="A131" s="12"/>
      <x:c r="B131" s="12"/>
      <x:c r="C131" s="12"/>
      <x:c r="D131" s="12"/>
      <x:c r="E131" s="12"/>
      <x:c r="F131" s="12"/>
      <x:c r="G131" s="12"/>
      <x:c r="H131" s="12"/>
    </x:row>
    <x:row r="132">
      <x:c r="A132" s="12"/>
      <x:c r="B132" s="12"/>
      <x:c r="C132" s="12"/>
      <x:c r="D132" s="12"/>
      <x:c r="E132" s="12"/>
      <x:c r="F132" s="12"/>
      <x:c r="G132" s="12"/>
      <x:c r="H132" s="12"/>
    </x:row>
    <x:row r="133">
      <x:c r="A133" s="12"/>
      <x:c r="B133" s="12"/>
      <x:c r="C133" s="12"/>
      <x:c r="D133" s="12"/>
      <x:c r="E133" s="12"/>
      <x:c r="F133" s="12"/>
      <x:c r="G133" s="12"/>
      <x:c r="H133" s="12"/>
    </x:row>
    <x:row r="134">
      <x:c r="A134" s="12"/>
      <x:c r="B134" s="12"/>
      <x:c r="C134" s="12"/>
      <x:c r="D134" s="12"/>
      <x:c r="E134" s="12"/>
      <x:c r="F134" s="12"/>
      <x:c r="G134" s="12"/>
      <x:c r="H134" s="12"/>
    </x:row>
    <x:row r="135">
      <x:c r="A135" s="12"/>
      <x:c r="B135" s="12"/>
      <x:c r="C135" s="12"/>
      <x:c r="D135" s="12"/>
      <x:c r="E135" s="12"/>
      <x:c r="F135" s="12"/>
      <x:c r="G135" s="12"/>
      <x:c r="H135" s="12"/>
    </x:row>
    <x:row r="136">
      <x:c r="A136" s="12"/>
      <x:c r="B136" s="12"/>
      <x:c r="C136" s="12"/>
      <x:c r="D136" s="12"/>
      <x:c r="E136" s="12"/>
      <x:c r="F136" s="12"/>
      <x:c r="G136" s="12"/>
      <x:c r="H136" s="12"/>
    </x:row>
    <x:row r="137">
      <x:c r="A137" s="12"/>
      <x:c r="B137" s="12"/>
      <x:c r="C137" s="12"/>
      <x:c r="D137" s="12"/>
      <x:c r="E137" s="12"/>
      <x:c r="F137" s="12"/>
      <x:c r="G137" s="12"/>
      <x:c r="H137" s="12"/>
    </x:row>
    <x:row r="138">
      <x:c r="A138" s="12"/>
      <x:c r="B138" s="12"/>
      <x:c r="C138" s="12"/>
      <x:c r="D138" s="12"/>
      <x:c r="E138" s="12"/>
      <x:c r="F138" s="12"/>
      <x:c r="G138" s="12"/>
      <x:c r="H138" s="12"/>
    </x:row>
    <x:row r="139">
      <x:c r="A139" s="12"/>
      <x:c r="B139" s="12"/>
      <x:c r="C139" s="12"/>
      <x:c r="D139" s="12"/>
      <x:c r="E139" s="12"/>
      <x:c r="F139" s="12"/>
      <x:c r="G139" s="12"/>
      <x:c r="H139" s="12"/>
    </x:row>
    <x:row r="140">
      <x:c r="A140" s="12"/>
      <x:c r="B140" s="12"/>
      <x:c r="C140" s="12"/>
      <x:c r="D140" s="12"/>
      <x:c r="E140" s="12"/>
      <x:c r="F140" s="12"/>
      <x:c r="G140" s="12"/>
      <x:c r="H140" s="12"/>
    </x:row>
    <x:row r="141">
      <x:c r="A141" s="12"/>
      <x:c r="B141" s="12"/>
      <x:c r="C141" s="12"/>
      <x:c r="D141" s="12"/>
      <x:c r="E141" s="12"/>
      <x:c r="F141" s="12"/>
      <x:c r="G141" s="12"/>
      <x:c r="H141" s="12"/>
    </x:row>
    <x:row r="142">
      <x:c r="A142" s="12"/>
      <x:c r="B142" s="12"/>
      <x:c r="C142" s="12"/>
      <x:c r="D142" s="12"/>
      <x:c r="E142" s="12"/>
      <x:c r="F142" s="12"/>
      <x:c r="G142" s="12"/>
      <x:c r="H142" s="12"/>
    </x:row>
    <x:row r="143">
      <x:c r="A143" s="12"/>
      <x:c r="B143" s="12"/>
      <x:c r="C143" s="12"/>
      <x:c r="D143" s="12"/>
      <x:c r="E143" s="12"/>
      <x:c r="F143" s="12"/>
      <x:c r="G143" s="12"/>
      <x:c r="H143" s="12"/>
    </x:row>
    <x:row r="144">
      <x:c r="A144" s="12"/>
      <x:c r="B144" s="12"/>
      <x:c r="C144" s="12"/>
      <x:c r="D144" s="12"/>
      <x:c r="E144" s="12"/>
      <x:c r="F144" s="12"/>
      <x:c r="G144" s="12"/>
      <x:c r="H144" s="12"/>
    </x:row>
    <x:row r="145">
      <x:c r="A145" s="12"/>
      <x:c r="B145" s="12"/>
      <x:c r="C145" s="12"/>
      <x:c r="D145" s="12"/>
      <x:c r="E145" s="12"/>
      <x:c r="F145" s="12"/>
      <x:c r="G145" s="12"/>
      <x:c r="H145" s="12"/>
    </x:row>
    <x:row r="146">
      <x:c r="A146" s="12"/>
      <x:c r="B146" s="12"/>
      <x:c r="C146" s="12"/>
      <x:c r="D146" s="12"/>
      <x:c r="E146" s="12"/>
      <x:c r="F146" s="12"/>
      <x:c r="G146" s="12"/>
      <x:c r="H146" s="12"/>
    </x:row>
    <x:row r="147">
      <x:c r="A147" s="12"/>
      <x:c r="B147" s="12"/>
      <x:c r="C147" s="12"/>
      <x:c r="D147" s="12"/>
      <x:c r="E147" s="12"/>
      <x:c r="F147" s="12"/>
      <x:c r="G147" s="12"/>
      <x:c r="H147" s="12"/>
    </x:row>
    <x:row r="148">
      <x:c r="A148" s="12"/>
      <x:c r="B148" s="12"/>
      <x:c r="C148" s="12"/>
      <x:c r="D148" s="12"/>
      <x:c r="E148" s="12"/>
      <x:c r="F148" s="12"/>
      <x:c r="G148" s="12"/>
      <x:c r="H148" s="12"/>
    </x:row>
    <x:row r="149">
      <x:c r="A149" s="12"/>
      <x:c r="B149" s="12"/>
      <x:c r="C149" s="12"/>
      <x:c r="D149" s="12"/>
      <x:c r="E149" s="12"/>
      <x:c r="F149" s="12"/>
      <x:c r="G149" s="12"/>
      <x:c r="H149" s="12"/>
    </x:row>
    <x:row r="150">
      <x:c r="A150" s="12"/>
      <x:c r="B150" s="12"/>
      <x:c r="C150" s="12"/>
      <x:c r="D150" s="12"/>
      <x:c r="E150" s="12"/>
      <x:c r="F150" s="12"/>
      <x:c r="G150" s="12"/>
      <x:c r="H150" s="12"/>
    </x:row>
    <x:row r="151">
      <x:c r="A151" s="12"/>
      <x:c r="B151" s="12"/>
      <x:c r="C151" s="12"/>
      <x:c r="D151" s="12"/>
      <x:c r="E151" s="12"/>
      <x:c r="F151" s="12"/>
      <x:c r="G151" s="12"/>
      <x:c r="H151" s="12"/>
    </x:row>
    <x:row r="152">
      <x:c r="A152" s="12"/>
      <x:c r="B152" s="12"/>
      <x:c r="C152" s="12"/>
      <x:c r="D152" s="12"/>
      <x:c r="E152" s="12"/>
      <x:c r="F152" s="12"/>
      <x:c r="G152" s="12"/>
      <x:c r="H152" s="12"/>
    </x:row>
    <x:row r="153">
      <x:c r="A153" s="12"/>
      <x:c r="B153" s="12"/>
      <x:c r="C153" s="12"/>
      <x:c r="D153" s="12"/>
      <x:c r="E153" s="12"/>
      <x:c r="F153" s="12"/>
      <x:c r="G153" s="12"/>
      <x:c r="H153" s="12"/>
    </x:row>
    <x:row r="154">
      <x:c r="A154" s="12"/>
      <x:c r="B154" s="12"/>
      <x:c r="C154" s="12"/>
      <x:c r="D154" s="12"/>
      <x:c r="E154" s="12"/>
      <x:c r="F154" s="12"/>
      <x:c r="G154" s="12"/>
      <x:c r="H154" s="12"/>
    </x:row>
    <x:row r="155">
      <x:c r="A155" s="12"/>
      <x:c r="B155" s="12"/>
      <x:c r="C155" s="12"/>
      <x:c r="D155" s="12"/>
      <x:c r="E155" s="12"/>
      <x:c r="F155" s="12"/>
      <x:c r="G155" s="12"/>
      <x:c r="H155" s="12"/>
    </x:row>
    <x:row r="156">
      <x:c r="A156" s="12"/>
      <x:c r="B156" s="12"/>
      <x:c r="C156" s="12"/>
      <x:c r="D156" s="12"/>
      <x:c r="E156" s="12"/>
      <x:c r="F156" s="12"/>
      <x:c r="G156" s="12"/>
      <x:c r="H156" s="12"/>
    </x:row>
    <x:row r="157">
      <x:c r="A157" s="12"/>
      <x:c r="B157" s="12"/>
      <x:c r="C157" s="12"/>
      <x:c r="D157" s="12"/>
      <x:c r="E157" s="12"/>
      <x:c r="F157" s="12"/>
      <x:c r="G157" s="12"/>
      <x:c r="H157" s="12"/>
    </x:row>
    <x:row r="158">
      <x:c r="A158" s="12"/>
      <x:c r="B158" s="12"/>
      <x:c r="C158" s="12"/>
      <x:c r="D158" s="12"/>
      <x:c r="E158" s="12"/>
      <x:c r="F158" s="12"/>
      <x:c r="G158" s="12"/>
      <x:c r="H158" s="12"/>
    </x:row>
    <x:row r="159">
      <x:c r="A159" s="12"/>
      <x:c r="B159" s="12"/>
      <x:c r="C159" s="12"/>
      <x:c r="D159" s="12"/>
      <x:c r="E159" s="12"/>
      <x:c r="F159" s="12"/>
      <x:c r="G159" s="12"/>
      <x:c r="H159" s="12"/>
    </x:row>
    <x:row r="160">
      <x:c r="A160" s="12"/>
      <x:c r="B160" s="12"/>
      <x:c r="C160" s="12"/>
      <x:c r="D160" s="12"/>
      <x:c r="E160" s="12"/>
      <x:c r="F160" s="12"/>
      <x:c r="G160" s="12"/>
      <x:c r="H160" s="12"/>
    </x:row>
    <x:row r="161">
      <x:c r="A161" s="12"/>
      <x:c r="B161" s="12"/>
      <x:c r="C161" s="12"/>
      <x:c r="D161" s="12"/>
      <x:c r="E161" s="12"/>
      <x:c r="F161" s="12"/>
      <x:c r="G161" s="12"/>
      <x:c r="H161" s="12"/>
    </x:row>
    <x:row r="162">
      <x:c r="A162" s="12"/>
      <x:c r="B162" s="12"/>
      <x:c r="C162" s="12"/>
      <x:c r="D162" s="12"/>
      <x:c r="E162" s="12"/>
      <x:c r="F162" s="12"/>
      <x:c r="G162" s="12"/>
      <x:c r="H162" s="12"/>
    </x:row>
    <x:row r="163">
      <x:c r="A163" s="12"/>
      <x:c r="B163" s="12"/>
      <x:c r="C163" s="12"/>
      <x:c r="D163" s="12"/>
      <x:c r="E163" s="12"/>
      <x:c r="F163" s="12"/>
      <x:c r="G163" s="12"/>
      <x:c r="H163" s="12"/>
    </x:row>
    <x:row r="164">
      <x:c r="A164" s="12"/>
      <x:c r="B164" s="12"/>
      <x:c r="C164" s="12"/>
      <x:c r="D164" s="12"/>
      <x:c r="E164" s="12"/>
      <x:c r="F164" s="12"/>
      <x:c r="G164" s="12"/>
      <x:c r="H164" s="12"/>
    </x:row>
    <x:row r="165">
      <x:c r="A165" s="12"/>
      <x:c r="B165" s="12"/>
      <x:c r="C165" s="12"/>
      <x:c r="D165" s="12"/>
      <x:c r="E165" s="12"/>
      <x:c r="F165" s="12"/>
      <x:c r="G165" s="12"/>
      <x:c r="H165" s="12"/>
    </x:row>
    <x:row r="166">
      <x:c r="A166" s="12"/>
      <x:c r="B166" s="12"/>
      <x:c r="C166" s="12"/>
      <x:c r="D166" s="12"/>
      <x:c r="E166" s="12"/>
      <x:c r="F166" s="12"/>
      <x:c r="G166" s="12"/>
      <x:c r="H166" s="12"/>
    </x:row>
    <x:row r="167">
      <x:c r="A167" s="12"/>
      <x:c r="B167" s="12"/>
      <x:c r="C167" s="12"/>
      <x:c r="D167" s="12"/>
      <x:c r="E167" s="12"/>
      <x:c r="F167" s="12"/>
      <x:c r="G167" s="12"/>
      <x:c r="H167" s="12"/>
    </x:row>
    <x:row r="168">
      <x:c r="A168" s="12"/>
      <x:c r="B168" s="12"/>
      <x:c r="C168" s="12"/>
      <x:c r="D168" s="12"/>
      <x:c r="E168" s="12"/>
      <x:c r="F168" s="12"/>
      <x:c r="G168" s="12"/>
      <x:c r="H168" s="12"/>
    </x:row>
    <x:row r="169">
      <x:c r="A169" s="12"/>
      <x:c r="B169" s="12"/>
      <x:c r="C169" s="12"/>
      <x:c r="D169" s="12"/>
      <x:c r="E169" s="12"/>
      <x:c r="F169" s="12"/>
      <x:c r="G169" s="12"/>
      <x:c r="H169" s="12"/>
    </x:row>
    <x:row r="170">
      <x:c r="A170" s="12"/>
      <x:c r="B170" s="12"/>
      <x:c r="C170" s="12"/>
      <x:c r="D170" s="12"/>
      <x:c r="E170" s="12"/>
      <x:c r="F170" s="12"/>
      <x:c r="G170" s="12"/>
      <x:c r="H170" s="12"/>
    </x:row>
    <x:row r="171">
      <x:c r="A171" s="12"/>
      <x:c r="B171" s="12"/>
      <x:c r="C171" s="12"/>
      <x:c r="D171" s="12"/>
      <x:c r="E171" s="12"/>
      <x:c r="F171" s="12"/>
      <x:c r="G171" s="12"/>
      <x:c r="H171" s="12"/>
    </x:row>
    <x:row r="172">
      <x:c r="A172" s="12"/>
      <x:c r="B172" s="12"/>
      <x:c r="C172" s="12"/>
      <x:c r="D172" s="12"/>
      <x:c r="E172" s="12"/>
      <x:c r="F172" s="12"/>
      <x:c r="G172" s="12"/>
      <x:c r="H172" s="12"/>
    </x:row>
    <x:row r="173">
      <x:c r="A173" s="12"/>
      <x:c r="B173" s="12"/>
      <x:c r="C173" s="12"/>
      <x:c r="D173" s="12"/>
      <x:c r="E173" s="12"/>
      <x:c r="F173" s="12"/>
      <x:c r="G173" s="12"/>
      <x:c r="H173" s="12"/>
    </x:row>
    <x:row r="174">
      <x:c r="A174" s="12"/>
      <x:c r="B174" s="12"/>
      <x:c r="C174" s="12"/>
      <x:c r="D174" s="12"/>
      <x:c r="E174" s="12"/>
      <x:c r="F174" s="12"/>
      <x:c r="G174" s="12"/>
      <x:c r="H174" s="12"/>
    </x:row>
    <x:row r="175">
      <x:c r="A175" s="12"/>
      <x:c r="B175" s="12"/>
      <x:c r="C175" s="12"/>
      <x:c r="D175" s="12"/>
      <x:c r="E175" s="12"/>
      <x:c r="F175" s="12"/>
      <x:c r="G175" s="12"/>
      <x:c r="H175" s="12"/>
    </x:row>
    <x:row r="176">
      <x:c r="A176" s="12"/>
      <x:c r="B176" s="12"/>
      <x:c r="C176" s="12"/>
      <x:c r="D176" s="12"/>
      <x:c r="E176" s="12"/>
      <x:c r="F176" s="12"/>
      <x:c r="G176" s="12"/>
      <x:c r="H176" s="12"/>
    </x:row>
    <x:row r="177">
      <x:c r="A177" s="12"/>
      <x:c r="B177" s="12"/>
      <x:c r="C177" s="12"/>
      <x:c r="D177" s="12"/>
      <x:c r="E177" s="12"/>
      <x:c r="F177" s="12"/>
      <x:c r="G177" s="12"/>
      <x:c r="H177" s="12"/>
    </x:row>
    <x:row r="178">
      <x:c r="A178" s="12"/>
      <x:c r="B178" s="12"/>
      <x:c r="C178" s="12"/>
      <x:c r="D178" s="12"/>
      <x:c r="E178" s="12"/>
      <x:c r="F178" s="12"/>
      <x:c r="G178" s="12"/>
      <x:c r="H178" s="12"/>
    </x:row>
    <x:row r="179">
      <x:c r="A179" s="12"/>
      <x:c r="B179" s="12"/>
      <x:c r="C179" s="12"/>
      <x:c r="D179" s="12"/>
      <x:c r="E179" s="12"/>
      <x:c r="F179" s="12"/>
      <x:c r="G179" s="12"/>
      <x:c r="H179" s="12"/>
    </x:row>
    <x:row r="180">
      <x:c r="A180" s="12"/>
      <x:c r="B180" s="12"/>
      <x:c r="C180" s="12"/>
      <x:c r="D180" s="12"/>
      <x:c r="E180" s="12"/>
      <x:c r="F180" s="12"/>
      <x:c r="G180" s="12"/>
      <x:c r="H180" s="12"/>
    </x:row>
    <x:row r="181">
      <x:c r="A181" s="12"/>
      <x:c r="B181" s="12"/>
      <x:c r="C181" s="12"/>
      <x:c r="D181" s="12"/>
      <x:c r="E181" s="12"/>
      <x:c r="F181" s="12"/>
      <x:c r="G181" s="12"/>
      <x:c r="H181" s="12"/>
    </x:row>
    <x:row r="182">
      <x:c r="A182" s="12"/>
      <x:c r="B182" s="12"/>
      <x:c r="C182" s="12"/>
      <x:c r="D182" s="12"/>
      <x:c r="E182" s="12"/>
      <x:c r="F182" s="12"/>
      <x:c r="G182" s="12"/>
      <x:c r="H182" s="12"/>
    </x:row>
    <x:row r="183">
      <x:c r="A183" s="12"/>
      <x:c r="B183" s="12"/>
      <x:c r="C183" s="12"/>
      <x:c r="D183" s="12"/>
      <x:c r="E183" s="12"/>
      <x:c r="F183" s="12"/>
      <x:c r="G183" s="12"/>
      <x:c r="H183" s="12"/>
    </x:row>
    <x:row r="184">
      <x:c r="A184" s="12"/>
      <x:c r="B184" s="12"/>
      <x:c r="C184" s="12"/>
      <x:c r="D184" s="12"/>
      <x:c r="E184" s="12"/>
      <x:c r="F184" s="12"/>
      <x:c r="G184" s="12"/>
      <x:c r="H184" s="12"/>
    </x:row>
    <x:row r="185">
      <x:c r="A185" s="12"/>
      <x:c r="B185" s="12"/>
      <x:c r="C185" s="12"/>
      <x:c r="D185" s="12"/>
      <x:c r="E185" s="12"/>
      <x:c r="F185" s="12"/>
      <x:c r="G185" s="12"/>
      <x:c r="H185" s="12"/>
    </x:row>
    <x:row r="186">
      <x:c r="A186" s="12"/>
      <x:c r="B186" s="12"/>
      <x:c r="C186" s="12"/>
      <x:c r="D186" s="12"/>
      <x:c r="E186" s="12"/>
      <x:c r="F186" s="12"/>
      <x:c r="G186" s="12"/>
      <x:c r="H186" s="12"/>
    </x:row>
    <x:row r="187">
      <x:c r="A187" s="12"/>
      <x:c r="B187" s="12"/>
      <x:c r="C187" s="12"/>
      <x:c r="D187" s="12"/>
      <x:c r="E187" s="12"/>
      <x:c r="F187" s="12"/>
      <x:c r="G187" s="12"/>
      <x:c r="H187" s="12"/>
    </x:row>
    <x:row r="188">
      <x:c r="A188" s="12"/>
      <x:c r="B188" s="12"/>
      <x:c r="C188" s="12"/>
      <x:c r="D188" s="12"/>
      <x:c r="E188" s="12"/>
      <x:c r="F188" s="12"/>
      <x:c r="G188" s="12"/>
      <x:c r="H188" s="12"/>
    </x:row>
    <x:row r="189">
      <x:c r="A189" s="12"/>
      <x:c r="B189" s="12"/>
      <x:c r="C189" s="12"/>
      <x:c r="D189" s="12"/>
      <x:c r="E189" s="12"/>
      <x:c r="F189" s="12"/>
      <x:c r="G189" s="12"/>
      <x:c r="H189" s="12"/>
    </x:row>
    <x:row r="190">
      <x:c r="A190" s="12"/>
      <x:c r="B190" s="12"/>
      <x:c r="C190" s="12"/>
      <x:c r="D190" s="12"/>
      <x:c r="E190" s="12"/>
      <x:c r="F190" s="12"/>
      <x:c r="G190" s="12"/>
      <x:c r="H190" s="12"/>
    </x:row>
    <x:row r="191">
      <x:c r="A191" s="12"/>
      <x:c r="B191" s="12"/>
      <x:c r="C191" s="12"/>
      <x:c r="D191" s="12"/>
      <x:c r="E191" s="12"/>
      <x:c r="F191" s="12"/>
      <x:c r="G191" s="12"/>
      <x:c r="H191" s="12"/>
    </x:row>
    <x:row r="192">
      <x:c r="A192" s="12"/>
      <x:c r="B192" s="12"/>
      <x:c r="C192" s="12"/>
      <x:c r="D192" s="12"/>
      <x:c r="E192" s="12"/>
      <x:c r="F192" s="12"/>
      <x:c r="G192" s="12"/>
      <x:c r="H192" s="12"/>
    </x:row>
    <x:row r="193">
      <x:c r="A193" s="12"/>
      <x:c r="B193" s="12"/>
      <x:c r="C193" s="12"/>
      <x:c r="D193" s="12"/>
      <x:c r="E193" s="12"/>
      <x:c r="F193" s="12"/>
      <x:c r="G193" s="12"/>
      <x:c r="H193" s="12"/>
    </x:row>
    <x:row r="194">
      <x:c r="A194" s="12"/>
      <x:c r="B194" s="12"/>
      <x:c r="C194" s="12"/>
      <x:c r="D194" s="12"/>
      <x:c r="E194" s="12"/>
      <x:c r="F194" s="12"/>
      <x:c r="G194" s="12"/>
      <x:c r="H194" s="12"/>
    </x:row>
    <x:row r="195">
      <x:c r="A195" s="12"/>
      <x:c r="B195" s="12"/>
      <x:c r="C195" s="12"/>
      <x:c r="D195" s="12"/>
      <x:c r="E195" s="12"/>
      <x:c r="F195" s="12"/>
      <x:c r="G195" s="12"/>
      <x:c r="H195" s="12"/>
    </x:row>
    <x:row r="196">
      <x:c r="A196" s="12"/>
      <x:c r="B196" s="12"/>
      <x:c r="C196" s="12"/>
      <x:c r="D196" s="12"/>
      <x:c r="E196" s="12"/>
      <x:c r="F196" s="12"/>
      <x:c r="G196" s="12"/>
      <x:c r="H196" s="12"/>
    </x:row>
    <x:row r="197">
      <x:c r="A197" s="12"/>
      <x:c r="B197" s="12"/>
      <x:c r="C197" s="12"/>
      <x:c r="D197" s="12"/>
      <x:c r="E197" s="12"/>
      <x:c r="F197" s="12"/>
      <x:c r="G197" s="12"/>
      <x:c r="H197" s="12"/>
    </x:row>
    <x:row r="198">
      <x:c r="A198" s="12"/>
      <x:c r="B198" s="12"/>
      <x:c r="C198" s="12"/>
      <x:c r="D198" s="12"/>
      <x:c r="E198" s="12"/>
      <x:c r="F198" s="12"/>
      <x:c r="G198" s="12"/>
      <x:c r="H198" s="12"/>
    </x:row>
    <x:row r="199">
      <x:c r="A199" s="12"/>
      <x:c r="B199" s="12"/>
      <x:c r="C199" s="12"/>
      <x:c r="D199" s="12"/>
      <x:c r="E199" s="12"/>
      <x:c r="F199" s="12"/>
      <x:c r="G199" s="12"/>
      <x:c r="H199" s="12"/>
    </x:row>
    <x:row r="200">
      <x:c r="A200" s="12"/>
      <x:c r="B200" s="12"/>
      <x:c r="C200" s="12"/>
      <x:c r="D200" s="12"/>
      <x:c r="E200" s="12"/>
      <x:c r="F200" s="12"/>
      <x:c r="G200" s="12"/>
      <x:c r="H200" s="12"/>
    </x:row>
  </x:sheetData>
  <x:mergeCells>
    <x:mergeCell ref="A1:H1"/>
  </x:mergeCells>
  <x:conditionalFormatting sqref="F4:F20">
    <x:cfRule type="expression" dxfId="7" priority="1">
      <x:formula>F4="Red"</x:formula>
    </x:cfRule>
  </x:conditionalFormatting>
  <x:dataValidations count="1">
    <x:dataValidation type="list" sqref="F4:F50">
      <x:formula1>"Green,Amber,Red"</x:formula1>
    </x:dataValidation>
  </x:dataValidations>
  <x:pageMargins left="0.7" right="0.7" top="0.75" bottom="0.75" header="0.3" footer="0.3"/>
  <x:tableParts count="1">
    <x:tablePart xmlns:r="http://schemas.openxmlformats.org/officeDocument/2006/relationships" r:id="Re3376d26081f4801"/>
  </x:tableParts>
</x:worksheet>
</file>

<file path=xl/worksheets/sheet21.xml><?xml version="1.0" encoding="utf-8"?>
<x:worksheet xmlns:x="http://schemas.openxmlformats.org/spreadsheetml/2006/main">
  <x:sheetFormatPr defaultRowHeight="15"/>
  <x:cols>
    <x:col min="1" max="1" width="22.75" hidden="0" customWidth="1"/>
    <x:col min="2" max="2" width="37.95000076293945" hidden="0" customWidth="1"/>
    <x:col min="3" max="3" width="8.609999656677246" hidden="0" customWidth="1"/>
    <x:col min="4" max="4" width="15.880000114440918" hidden="0" customWidth="1"/>
    <x:col min="5" max="5" width="12.520000457763672" hidden="0" customWidth="1"/>
    <x:col min="6" max="6" width="18.030000686645508" hidden="0" customWidth="1"/>
    <x:col min="7" max="7" width="10.899999618530273" hidden="0" customWidth="1"/>
    <x:col min="8" max="8" width="10.630000114440918" hidden="0" customWidth="1"/>
    <x:col min="9" max="9" width="45.4900016784668" hidden="0" customWidth="1"/>
    <x:col min="10" max="10" width="56.2599983215332" hidden="0" customWidth="1"/>
    <x:col min="11" max="11" width="23.010000228881836" hidden="0" customWidth="1"/>
  </x:cols>
  <x:sheetData>
    <x:row r="1" ht="28" customHeight="1">
      <x:c r="A1" s="70" t="str">
        <x:v>Regulatory Risk Radar</x:v>
      </x:c>
      <x:c r="B1" s="12"/>
      <x:c r="C1" s="12"/>
      <x:c r="D1" s="12"/>
      <x:c r="E1" s="12"/>
      <x:c r="F1" s="12"/>
      <x:c r="G1" s="12"/>
      <x:c r="H1" s="12"/>
      <x:c r="I1" s="12"/>
      <x:c r="J1" s="12"/>
      <x:c r="K1" s="12"/>
    </x:row>
    <x:row r="2">
      <x:c r="A2" s="12"/>
      <x:c r="B2" s="12"/>
      <x:c r="C2" s="12"/>
      <x:c r="D2" s="12"/>
      <x:c r="E2" s="12"/>
      <x:c r="F2" s="12"/>
      <x:c r="G2" s="12"/>
      <x:c r="H2" s="12"/>
      <x:c r="I2" s="12"/>
      <x:c r="J2" s="12"/>
      <x:c r="K2" s="12"/>
    </x:row>
    <x:row r="3">
      <x:c r="A3" s="69" t="str">
        <x:v>Risk ID</x:v>
      </x:c>
      <x:c r="B3" s="69" t="str">
        <x:v>Regulatory Topic</x:v>
      </x:c>
      <x:c r="C3" s="69" t="str">
        <x:v>Agency</x:v>
      </x:c>
      <x:c r="D3" s="69" t="str">
        <x:v>Probability (1-5)</x:v>
      </x:c>
      <x:c r="E3" s="69" t="str">
        <x:v>Impact (1-5)</x:v>
      </x:c>
      <x:c r="F3" s="69" t="str">
        <x:v>Preparedness (1-5)</x:v>
      </x:c>
      <x:c r="G3" s="69" t="str">
        <x:v>Risk Score</x:v>
      </x:c>
      <x:c r="H3" s="69" t="str">
        <x:v>Risk Level</x:v>
      </x:c>
      <x:c r="I3" s="69" t="str">
        <x:v>Early Warning Signal</x:v>
      </x:c>
      <x:c r="J3" s="69" t="str">
        <x:v>Recommended Action</x:v>
      </x:c>
      <x:c r="K3" s="69" t="str">
        <x:v>Owner</x:v>
      </x:c>
    </x:row>
    <x:row r="4">
      <x:c r="A4" s="12" t="str">
        <x:v>RR-001</x:v>
      </x:c>
      <x:c r="B4" s="12" t="str">
        <x:v>Capital adequacy and solvency update</x:v>
      </x:c>
      <x:c r="C4" s="12" t="str">
        <x:v>ISA</x:v>
      </x:c>
      <x:c r="D4" s="73" t="n">
        <x:v>4</x:v>
      </x:c>
      <x:c r="E4" s="73" t="n">
        <x:v>5</x:v>
      </x:c>
      <x:c r="F4" s="73" t="n">
        <x:v>3</x:v>
      </x:c>
      <x:c r="G4" s="73" t="n">
        <x:f>D4*E4/F4</x:f>
        <x:v>6.666666666666667</x:v>
      </x:c>
      <x:c r="H4" s="12" t="str">
        <x:v>High</x:v>
      </x:c>
      <x:c r="I4" s="12" t="str">
        <x:v>Draft circular discussion and industry consultation</x:v>
      </x:c>
      <x:c r="J4" s="12" t="str">
        <x:v>Prepare capital impact note and engage via IAV</x:v>
      </x:c>
      <x:c r="K4" s="12" t="str">
        <x:v>Finance + PA</x:v>
      </x:c>
    </x:row>
    <x:row r="5">
      <x:c r="A5" s="12" t="str">
        <x:v>RR-002</x:v>
      </x:c>
      <x:c r="B5" s="12" t="str">
        <x:v>Product approval process tightening</x:v>
      </x:c>
      <x:c r="C5" s="12" t="str">
        <x:v>ISA</x:v>
      </x:c>
      <x:c r="D5" s="73" t="n">
        <x:v>5</x:v>
      </x:c>
      <x:c r="E5" s="73" t="n">
        <x:v>5</x:v>
      </x:c>
      <x:c r="F5" s="73" t="n">
        <x:v>3</x:v>
      </x:c>
      <x:c r="G5" s="73" t="n">
        <x:f>D5*E5/F5</x:f>
        <x:v>8.333333333333334</x:v>
      </x:c>
      <x:c r="H5" s="12" t="str">
        <x:v>High</x:v>
      </x:c>
      <x:c r="I5" s="12" t="str">
        <x:v>More detailed Q&amp;A requests from regulator</x:v>
      </x:c>
      <x:c r="J5" s="12" t="str">
        <x:v>Create product dossier checklist and Q&amp;A evidence bank</x:v>
      </x:c>
      <x:c r="K5" s="12" t="str">
        <x:v>Product + PA</x:v>
      </x:c>
    </x:row>
    <x:row r="6">
      <x:c r="A6" s="12" t="str">
        <x:v>RR-003</x:v>
      </x:c>
      <x:c r="B6" s="12" t="str">
        <x:v>Bancassurance conduct guideline</x:v>
      </x:c>
      <x:c r="C6" s="12" t="str">
        <x:v>SBV / MOF</x:v>
      </x:c>
      <x:c r="D6" s="73" t="n">
        <x:v>4</x:v>
      </x:c>
      <x:c r="E6" s="73" t="n">
        <x:v>5</x:v>
      </x:c>
      <x:c r="F6" s="73" t="n">
        <x:v>3</x:v>
      </x:c>
      <x:c r="G6" s="73" t="n">
        <x:f>D6*E6/F6</x:f>
        <x:v>6.666666666666667</x:v>
      </x:c>
      <x:c r="H6" s="12" t="str">
        <x:v>High</x:v>
      </x:c>
      <x:c r="I6" s="12" t="str">
        <x:v>Banking sector conduct review and consumer complaints</x:v>
      </x:c>
      <x:c r="J6" s="12" t="str">
        <x:v>Develop customer-protection narrative and sales governance evidence</x:v>
      </x:c>
      <x:c r="K6" s="12" t="str">
        <x:v>Bancassurance + Compliance</x:v>
      </x:c>
    </x:row>
    <x:row r="7">
      <x:c r="A7" s="12" t="str">
        <x:v>RR-004</x:v>
      </x:c>
      <x:c r="B7" s="12" t="str">
        <x:v>Data localization and privacy enforcement</x:v>
      </x:c>
      <x:c r="C7" s="12" t="str">
        <x:v>MIC</x:v>
      </x:c>
      <x:c r="D7" s="73" t="n">
        <x:v>4</x:v>
      </x:c>
      <x:c r="E7" s="73" t="n">
        <x:v>4</x:v>
      </x:c>
      <x:c r="F7" s="73" t="n">
        <x:v>2</x:v>
      </x:c>
      <x:c r="G7" s="73" t="n">
        <x:f>D7*E7/F7</x:f>
        <x:v>8</x:v>
      </x:c>
      <x:c r="H7" s="12" t="str">
        <x:v>High</x:v>
      </x:c>
      <x:c r="I7" s="12" t="str">
        <x:v>New data consultation and privacy inspections</x:v>
      </x:c>
      <x:c r="J7" s="12" t="str">
        <x:v>Prepare data-flow map and compliance briefing</x:v>
      </x:c>
      <x:c r="K7" s="12" t="str">
        <x:v>Digital + Legal</x:v>
      </x:c>
    </x:row>
    <x:row r="8">
      <x:c r="A8" s="12" t="str">
        <x:v>RR-005</x:v>
      </x:c>
      <x:c r="B8" s="12" t="str">
        <x:v>Consumer complaint transparency requirement</x:v>
      </x:c>
      <x:c r="C8" s="12" t="str">
        <x:v>VCA / ISA</x:v>
      </x:c>
      <x:c r="D8" s="73" t="n">
        <x:v>3</x:v>
      </x:c>
      <x:c r="E8" s="73" t="n">
        <x:v>4</x:v>
      </x:c>
      <x:c r="F8" s="73" t="n">
        <x:v>3</x:v>
      </x:c>
      <x:c r="G8" s="73" t="n">
        <x:f>D8*E8/F8</x:f>
        <x:v>4</x:v>
      </x:c>
      <x:c r="H8" s="12" t="str">
        <x:v>Medium</x:v>
      </x:c>
      <x:c r="I8" s="12" t="str">
        <x:v>Increased complaint reporting and media attention</x:v>
      </x:c>
      <x:c r="J8" s="12" t="str">
        <x:v>Prepare complaint KPI pack and remediation narrative</x:v>
      </x:c>
      <x:c r="K8" s="12" t="str">
        <x:v>Compliance</x:v>
      </x:c>
    </x:row>
    <x:row r="9">
      <x:c r="A9" s="12" t="str">
        <x:v>RR-006</x:v>
      </x:c>
      <x:c r="B9" s="12" t="str">
        <x:v>Mandatory ESG disclosure</x:v>
      </x:c>
      <x:c r="C9" s="12" t="str">
        <x:v>MOF</x:v>
      </x:c>
      <x:c r="D9" s="73" t="n">
        <x:v>3</x:v>
      </x:c>
      <x:c r="E9" s="73" t="n">
        <x:v>2</x:v>
      </x:c>
      <x:c r="F9" s="73" t="n">
        <x:v>3</x:v>
      </x:c>
      <x:c r="G9" s="73" t="n">
        <x:f>D9*E9/F9</x:f>
        <x:v>2</x:v>
      </x:c>
      <x:c r="H9" s="12" t="str">
        <x:v>Low</x:v>
      </x:c>
      <x:c r="I9" s="12" t="str">
        <x:v>Green finance roadmap and peer disclosure practices</x:v>
      </x:c>
      <x:c r="J9" s="12" t="str">
        <x:v>Create baseline ESG disclosure template</x:v>
      </x:c>
      <x:c r="K9" s="12" t="str">
        <x:v>Finance + PA</x:v>
      </x:c>
    </x:row>
    <x:row r="10">
      <x:c r="A10" s="12"/>
      <x:c r="B10" s="12"/>
      <x:c r="C10" s="12"/>
      <x:c r="D10" s="73"/>
      <x:c r="E10" s="73"/>
      <x:c r="F10" s="73"/>
      <x:c r="G10" s="73"/>
      <x:c r="H10" s="12"/>
      <x:c r="I10" s="12"/>
      <x:c r="J10" s="12"/>
      <x:c r="K10" s="12"/>
    </x:row>
    <x:row r="11">
      <x:c r="A11" s="12"/>
      <x:c r="B11" s="12"/>
      <x:c r="C11" s="12"/>
      <x:c r="D11" s="73"/>
      <x:c r="E11" s="73"/>
      <x:c r="F11" s="73"/>
      <x:c r="G11" s="73"/>
      <x:c r="H11" s="12"/>
      <x:c r="I11" s="12"/>
      <x:c r="J11" s="12"/>
      <x:c r="K11" s="12"/>
    </x:row>
    <x:row r="12">
      <x:c r="A12" s="12"/>
      <x:c r="B12" s="12"/>
      <x:c r="C12" s="12"/>
      <x:c r="D12" s="73"/>
      <x:c r="E12" s="73"/>
      <x:c r="F12" s="73"/>
      <x:c r="G12" s="73"/>
      <x:c r="H12" s="12"/>
      <x:c r="I12" s="12"/>
      <x:c r="J12" s="12"/>
      <x:c r="K12" s="12"/>
    </x:row>
    <x:row r="13">
      <x:c r="A13" s="12"/>
      <x:c r="B13" s="12"/>
      <x:c r="C13" s="12"/>
      <x:c r="D13" s="73"/>
      <x:c r="E13" s="73"/>
      <x:c r="F13" s="73"/>
      <x:c r="G13" s="73"/>
      <x:c r="H13" s="12"/>
      <x:c r="I13" s="12"/>
      <x:c r="J13" s="12"/>
      <x:c r="K13" s="12"/>
    </x:row>
    <x:row r="14">
      <x:c r="A14" s="12"/>
      <x:c r="B14" s="12"/>
      <x:c r="C14" s="12"/>
      <x:c r="D14" s="73"/>
      <x:c r="E14" s="73"/>
      <x:c r="F14" s="73"/>
      <x:c r="G14" s="73"/>
      <x:c r="H14" s="12"/>
      <x:c r="I14" s="12"/>
      <x:c r="J14" s="12"/>
      <x:c r="K14" s="12"/>
    </x:row>
    <x:row r="15">
      <x:c r="A15" s="12"/>
      <x:c r="B15" s="12"/>
      <x:c r="C15" s="12"/>
      <x:c r="D15" s="73"/>
      <x:c r="E15" s="73"/>
      <x:c r="F15" s="73"/>
      <x:c r="G15" s="73"/>
      <x:c r="H15" s="12"/>
      <x:c r="I15" s="12"/>
      <x:c r="J15" s="12"/>
      <x:c r="K15" s="12"/>
    </x:row>
    <x:row r="16">
      <x:c r="A16" s="12"/>
      <x:c r="B16" s="12"/>
      <x:c r="C16" s="12"/>
      <x:c r="D16" s="73"/>
      <x:c r="E16" s="73"/>
      <x:c r="F16" s="73"/>
      <x:c r="G16" s="73"/>
      <x:c r="H16" s="12"/>
      <x:c r="I16" s="12"/>
      <x:c r="J16" s="12"/>
      <x:c r="K16" s="12"/>
    </x:row>
    <x:row r="17">
      <x:c r="A17" s="12"/>
      <x:c r="B17" s="12"/>
      <x:c r="C17" s="12"/>
      <x:c r="D17" s="73"/>
      <x:c r="E17" s="73"/>
      <x:c r="F17" s="73"/>
      <x:c r="G17" s="73"/>
      <x:c r="H17" s="12"/>
      <x:c r="I17" s="12"/>
      <x:c r="J17" s="12"/>
      <x:c r="K17" s="12"/>
    </x:row>
    <x:row r="18">
      <x:c r="A18" s="12"/>
      <x:c r="B18" s="12"/>
      <x:c r="C18" s="12"/>
      <x:c r="D18" s="73"/>
      <x:c r="E18" s="73"/>
      <x:c r="F18" s="73"/>
      <x:c r="G18" s="73"/>
      <x:c r="H18" s="12"/>
      <x:c r="I18" s="12"/>
      <x:c r="J18" s="12"/>
      <x:c r="K18" s="12"/>
    </x:row>
    <x:row r="19">
      <x:c r="A19" s="12"/>
      <x:c r="B19" s="12"/>
      <x:c r="C19" s="12"/>
      <x:c r="D19" s="73"/>
      <x:c r="E19" s="73"/>
      <x:c r="F19" s="73"/>
      <x:c r="G19" s="73"/>
      <x:c r="H19" s="12"/>
      <x:c r="I19" s="12"/>
      <x:c r="J19" s="12"/>
      <x:c r="K19" s="12"/>
    </x:row>
    <x:row r="20">
      <x:c r="A20" s="12"/>
      <x:c r="B20" s="12"/>
      <x:c r="C20" s="12"/>
      <x:c r="D20" s="73"/>
      <x:c r="E20" s="73"/>
      <x:c r="F20" s="73"/>
      <x:c r="G20" s="73"/>
      <x:c r="H20" s="12"/>
      <x:c r="I20" s="12"/>
      <x:c r="J20" s="12"/>
      <x:c r="K20" s="12"/>
    </x:row>
    <x:row r="21">
      <x:c r="A21" s="12"/>
      <x:c r="B21" s="12"/>
      <x:c r="C21" s="12"/>
      <x:c r="D21" s="12"/>
      <x:c r="E21" s="12"/>
      <x:c r="F21" s="12"/>
      <x:c r="G21" s="12"/>
      <x:c r="H21" s="12"/>
      <x:c r="I21" s="12"/>
      <x:c r="J21" s="12"/>
      <x:c r="K21" s="12"/>
    </x:row>
    <x:row r="22">
      <x:c r="A22" s="12"/>
      <x:c r="B22" s="12"/>
      <x:c r="C22" s="12"/>
      <x:c r="D22" s="12"/>
      <x:c r="E22" s="12"/>
      <x:c r="F22" s="12"/>
      <x:c r="G22" s="12"/>
      <x:c r="H22" s="12"/>
      <x:c r="I22" s="12"/>
      <x:c r="J22" s="12"/>
      <x:c r="K22" s="12"/>
    </x:row>
    <x:row r="23">
      <x:c r="A23" s="12"/>
      <x:c r="B23" s="12"/>
      <x:c r="C23" s="12"/>
      <x:c r="D23" s="12"/>
      <x:c r="E23" s="12"/>
      <x:c r="F23" s="12"/>
      <x:c r="G23" s="12"/>
      <x:c r="H23" s="12"/>
      <x:c r="I23" s="12"/>
      <x:c r="J23" s="12"/>
      <x:c r="K23" s="12"/>
    </x:row>
    <x:row r="24">
      <x:c r="A24" s="12"/>
      <x:c r="B24" s="12"/>
      <x:c r="C24" s="12"/>
      <x:c r="D24" s="12"/>
      <x:c r="E24" s="12"/>
      <x:c r="F24" s="12"/>
      <x:c r="G24" s="12"/>
      <x:c r="H24" s="12"/>
      <x:c r="I24" s="12"/>
      <x:c r="J24" s="12"/>
      <x:c r="K24" s="12"/>
    </x:row>
    <x:row r="25">
      <x:c r="A25" s="12"/>
      <x:c r="B25" s="12"/>
      <x:c r="C25" s="12"/>
      <x:c r="D25" s="12"/>
      <x:c r="E25" s="12"/>
      <x:c r="F25" s="12"/>
      <x:c r="G25" s="12"/>
      <x:c r="H25" s="12"/>
      <x:c r="I25" s="12"/>
      <x:c r="J25" s="12"/>
      <x:c r="K25" s="12"/>
    </x:row>
    <x:row r="26">
      <x:c r="A26" s="12"/>
      <x:c r="B26" s="12"/>
      <x:c r="C26" s="12"/>
      <x:c r="D26" s="12"/>
      <x:c r="E26" s="12"/>
      <x:c r="F26" s="12"/>
      <x:c r="G26" s="12"/>
      <x:c r="H26" s="12"/>
      <x:c r="I26" s="12"/>
      <x:c r="J26" s="12"/>
      <x:c r="K26" s="12"/>
    </x:row>
    <x:row r="27">
      <x:c r="A27" s="12"/>
      <x:c r="B27" s="12"/>
      <x:c r="C27" s="12"/>
      <x:c r="D27" s="12"/>
      <x:c r="E27" s="12"/>
      <x:c r="F27" s="12"/>
      <x:c r="G27" s="12"/>
      <x:c r="H27" s="12"/>
      <x:c r="I27" s="12"/>
      <x:c r="J27" s="12"/>
      <x:c r="K27" s="12"/>
    </x:row>
    <x:row r="28">
      <x:c r="A28" s="12"/>
      <x:c r="B28" s="12"/>
      <x:c r="C28" s="12"/>
      <x:c r="D28" s="12"/>
      <x:c r="E28" s="12"/>
      <x:c r="F28" s="12"/>
      <x:c r="G28" s="12"/>
      <x:c r="H28" s="12"/>
      <x:c r="I28" s="12"/>
      <x:c r="J28" s="12"/>
      <x:c r="K28" s="12"/>
    </x:row>
    <x:row r="29">
      <x:c r="A29" s="12"/>
      <x:c r="B29" s="12"/>
      <x:c r="C29" s="12"/>
      <x:c r="D29" s="12"/>
      <x:c r="E29" s="12"/>
      <x:c r="F29" s="12"/>
      <x:c r="G29" s="12"/>
      <x:c r="H29" s="12"/>
      <x:c r="I29" s="12"/>
      <x:c r="J29" s="12"/>
      <x:c r="K29" s="12"/>
    </x:row>
    <x:row r="30">
      <x:c r="A30" s="12"/>
      <x:c r="B30" s="12"/>
      <x:c r="C30" s="12"/>
      <x:c r="D30" s="12"/>
      <x:c r="E30" s="12"/>
      <x:c r="F30" s="12"/>
      <x:c r="G30" s="12"/>
      <x:c r="H30" s="12"/>
      <x:c r="I30" s="12"/>
      <x:c r="J30" s="12"/>
      <x:c r="K30" s="12"/>
    </x:row>
    <x:row r="31">
      <x:c r="A31" s="12"/>
      <x:c r="B31" s="12"/>
      <x:c r="C31" s="12"/>
      <x:c r="D31" s="12"/>
      <x:c r="E31" s="12"/>
      <x:c r="F31" s="12"/>
      <x:c r="G31" s="12"/>
      <x:c r="H31" s="12"/>
      <x:c r="I31" s="12"/>
      <x:c r="J31" s="12"/>
      <x:c r="K31" s="12"/>
    </x:row>
    <x:row r="32">
      <x:c r="A32" s="12"/>
      <x:c r="B32" s="12"/>
      <x:c r="C32" s="12"/>
      <x:c r="D32" s="12"/>
      <x:c r="E32" s="12"/>
      <x:c r="F32" s="12"/>
      <x:c r="G32" s="12"/>
      <x:c r="H32" s="12"/>
      <x:c r="I32" s="12"/>
      <x:c r="J32" s="12"/>
      <x:c r="K32" s="12"/>
    </x:row>
    <x:row r="33">
      <x:c r="A33" s="12"/>
      <x:c r="B33" s="12"/>
      <x:c r="C33" s="12"/>
      <x:c r="D33" s="12"/>
      <x:c r="E33" s="12"/>
      <x:c r="F33" s="12"/>
      <x:c r="G33" s="12"/>
      <x:c r="H33" s="12"/>
      <x:c r="I33" s="12"/>
      <x:c r="J33" s="12"/>
      <x:c r="K33" s="12"/>
    </x:row>
    <x:row r="34">
      <x:c r="A34" s="12"/>
      <x:c r="B34" s="12"/>
      <x:c r="C34" s="12"/>
      <x:c r="D34" s="12"/>
      <x:c r="E34" s="12"/>
      <x:c r="F34" s="12"/>
      <x:c r="G34" s="12"/>
      <x:c r="H34" s="12"/>
      <x:c r="I34" s="12"/>
      <x:c r="J34" s="12"/>
      <x:c r="K34" s="12"/>
    </x:row>
    <x:row r="35">
      <x:c r="A35" s="12"/>
      <x:c r="B35" s="12"/>
      <x:c r="C35" s="12"/>
      <x:c r="D35" s="12"/>
      <x:c r="E35" s="12"/>
      <x:c r="F35" s="12"/>
      <x:c r="G35" s="12"/>
      <x:c r="H35" s="12"/>
      <x:c r="I35" s="12"/>
      <x:c r="J35" s="12"/>
      <x:c r="K35" s="12"/>
    </x:row>
    <x:row r="36">
      <x:c r="A36" s="12"/>
      <x:c r="B36" s="12"/>
      <x:c r="C36" s="12"/>
      <x:c r="D36" s="12"/>
      <x:c r="E36" s="12"/>
      <x:c r="F36" s="12"/>
      <x:c r="G36" s="12"/>
      <x:c r="H36" s="12"/>
      <x:c r="I36" s="12"/>
      <x:c r="J36" s="12"/>
      <x:c r="K36" s="12"/>
    </x:row>
    <x:row r="37">
      <x:c r="A37" s="12"/>
      <x:c r="B37" s="12"/>
      <x:c r="C37" s="12"/>
      <x:c r="D37" s="12"/>
      <x:c r="E37" s="12"/>
      <x:c r="F37" s="12"/>
      <x:c r="G37" s="12"/>
      <x:c r="H37" s="12"/>
      <x:c r="I37" s="12"/>
      <x:c r="J37" s="12"/>
      <x:c r="K37" s="12"/>
    </x:row>
    <x:row r="38">
      <x:c r="A38" s="12"/>
      <x:c r="B38" s="12"/>
      <x:c r="C38" s="12"/>
      <x:c r="D38" s="12"/>
      <x:c r="E38" s="12"/>
      <x:c r="F38" s="12"/>
      <x:c r="G38" s="12"/>
      <x:c r="H38" s="12"/>
      <x:c r="I38" s="12"/>
      <x:c r="J38" s="12"/>
      <x:c r="K38" s="12"/>
    </x:row>
    <x:row r="39">
      <x:c r="A39" s="12"/>
      <x:c r="B39" s="12"/>
      <x:c r="C39" s="12"/>
      <x:c r="D39" s="12"/>
      <x:c r="E39" s="12"/>
      <x:c r="F39" s="12"/>
      <x:c r="G39" s="12"/>
      <x:c r="H39" s="12"/>
      <x:c r="I39" s="12"/>
      <x:c r="J39" s="12"/>
      <x:c r="K39" s="12"/>
    </x:row>
    <x:row r="40">
      <x:c r="A40" s="12"/>
      <x:c r="B40" s="12"/>
      <x:c r="C40" s="12"/>
      <x:c r="D40" s="12"/>
      <x:c r="E40" s="12"/>
      <x:c r="F40" s="12"/>
      <x:c r="G40" s="12"/>
      <x:c r="H40" s="12"/>
      <x:c r="I40" s="12"/>
      <x:c r="J40" s="12"/>
      <x:c r="K40" s="12"/>
    </x:row>
    <x:row r="41">
      <x:c r="A41" s="12"/>
      <x:c r="B41" s="12"/>
      <x:c r="C41" s="12"/>
      <x:c r="D41" s="12"/>
      <x:c r="E41" s="12"/>
      <x:c r="F41" s="12"/>
      <x:c r="G41" s="12"/>
      <x:c r="H41" s="12"/>
      <x:c r="I41" s="12"/>
      <x:c r="J41" s="12"/>
      <x:c r="K41" s="12"/>
    </x:row>
    <x:row r="42">
      <x:c r="A42" s="12"/>
      <x:c r="B42" s="12"/>
      <x:c r="C42" s="12"/>
      <x:c r="D42" s="12"/>
      <x:c r="E42" s="12"/>
      <x:c r="F42" s="12"/>
      <x:c r="G42" s="12"/>
      <x:c r="H42" s="12"/>
      <x:c r="I42" s="12"/>
      <x:c r="J42" s="12"/>
      <x:c r="K42" s="12"/>
    </x:row>
    <x:row r="43">
      <x:c r="A43" s="12"/>
      <x:c r="B43" s="12"/>
      <x:c r="C43" s="12"/>
      <x:c r="D43" s="12"/>
      <x:c r="E43" s="12"/>
      <x:c r="F43" s="12"/>
      <x:c r="G43" s="12"/>
      <x:c r="H43" s="12"/>
      <x:c r="I43" s="12"/>
      <x:c r="J43" s="12"/>
      <x:c r="K43" s="12"/>
    </x:row>
    <x:row r="44">
      <x:c r="A44" s="12"/>
      <x:c r="B44" s="12"/>
      <x:c r="C44" s="12"/>
      <x:c r="D44" s="12"/>
      <x:c r="E44" s="12"/>
      <x:c r="F44" s="12"/>
      <x:c r="G44" s="12"/>
      <x:c r="H44" s="12"/>
      <x:c r="I44" s="12"/>
      <x:c r="J44" s="12"/>
      <x:c r="K44" s="12"/>
    </x:row>
    <x:row r="45">
      <x:c r="A45" s="12"/>
      <x:c r="B45" s="12"/>
      <x:c r="C45" s="12"/>
      <x:c r="D45" s="12"/>
      <x:c r="E45" s="12"/>
      <x:c r="F45" s="12"/>
      <x:c r="G45" s="12"/>
      <x:c r="H45" s="12"/>
      <x:c r="I45" s="12"/>
      <x:c r="J45" s="12"/>
      <x:c r="K45" s="12"/>
    </x:row>
    <x:row r="46">
      <x:c r="A46" s="12"/>
      <x:c r="B46" s="12"/>
      <x:c r="C46" s="12"/>
      <x:c r="D46" s="12"/>
      <x:c r="E46" s="12"/>
      <x:c r="F46" s="12"/>
      <x:c r="G46" s="12"/>
      <x:c r="H46" s="12"/>
      <x:c r="I46" s="12"/>
      <x:c r="J46" s="12"/>
      <x:c r="K46" s="12"/>
    </x:row>
    <x:row r="47">
      <x:c r="A47" s="12"/>
      <x:c r="B47" s="12"/>
      <x:c r="C47" s="12"/>
      <x:c r="D47" s="12"/>
      <x:c r="E47" s="12"/>
      <x:c r="F47" s="12"/>
      <x:c r="G47" s="12"/>
      <x:c r="H47" s="12"/>
      <x:c r="I47" s="12"/>
      <x:c r="J47" s="12"/>
      <x:c r="K47" s="12"/>
    </x:row>
    <x:row r="48">
      <x:c r="A48" s="12"/>
      <x:c r="B48" s="12"/>
      <x:c r="C48" s="12"/>
      <x:c r="D48" s="12"/>
      <x:c r="E48" s="12"/>
      <x:c r="F48" s="12"/>
      <x:c r="G48" s="12"/>
      <x:c r="H48" s="12"/>
      <x:c r="I48" s="12"/>
      <x:c r="J48" s="12"/>
      <x:c r="K48" s="12"/>
    </x:row>
    <x:row r="49">
      <x:c r="A49" s="12"/>
      <x:c r="B49" s="12"/>
      <x:c r="C49" s="12"/>
      <x:c r="D49" s="12"/>
      <x:c r="E49" s="12"/>
      <x:c r="F49" s="12"/>
      <x:c r="G49" s="12"/>
      <x:c r="H49" s="12"/>
      <x:c r="I49" s="12"/>
      <x:c r="J49" s="12"/>
      <x:c r="K49" s="12"/>
    </x:row>
    <x:row r="50">
      <x:c r="A50" s="12"/>
      <x:c r="B50" s="12"/>
      <x:c r="C50" s="12"/>
      <x:c r="D50" s="12"/>
      <x:c r="E50" s="12"/>
      <x:c r="F50" s="12"/>
      <x:c r="G50" s="12"/>
      <x:c r="H50" s="12"/>
      <x:c r="I50" s="12"/>
      <x:c r="J50" s="12"/>
      <x:c r="K50" s="12"/>
    </x:row>
    <x:row r="51">
      <x:c r="A51" s="12"/>
      <x:c r="B51" s="12"/>
      <x:c r="C51" s="12"/>
      <x:c r="D51" s="12"/>
      <x:c r="E51" s="12"/>
      <x:c r="F51" s="12"/>
      <x:c r="G51" s="12"/>
      <x:c r="H51" s="12"/>
      <x:c r="I51" s="12"/>
      <x:c r="J51" s="12"/>
      <x:c r="K51" s="12"/>
    </x:row>
    <x:row r="52">
      <x:c r="A52" s="12"/>
      <x:c r="B52" s="12"/>
      <x:c r="C52" s="12"/>
      <x:c r="D52" s="12"/>
      <x:c r="E52" s="12"/>
      <x:c r="F52" s="12"/>
      <x:c r="G52" s="12"/>
      <x:c r="H52" s="12"/>
      <x:c r="I52" s="12"/>
      <x:c r="J52" s="12"/>
      <x:c r="K52" s="12"/>
    </x:row>
    <x:row r="53">
      <x:c r="A53" s="12"/>
      <x:c r="B53" s="12"/>
      <x:c r="C53" s="12"/>
      <x:c r="D53" s="12"/>
      <x:c r="E53" s="12"/>
      <x:c r="F53" s="12"/>
      <x:c r="G53" s="12"/>
      <x:c r="H53" s="12"/>
      <x:c r="I53" s="12"/>
      <x:c r="J53" s="12"/>
      <x:c r="K53" s="12"/>
    </x:row>
    <x:row r="54">
      <x:c r="A54" s="12"/>
      <x:c r="B54" s="12"/>
      <x:c r="C54" s="12"/>
      <x:c r="D54" s="12"/>
      <x:c r="E54" s="12"/>
      <x:c r="F54" s="12"/>
      <x:c r="G54" s="12"/>
      <x:c r="H54" s="12"/>
      <x:c r="I54" s="12"/>
      <x:c r="J54" s="12"/>
      <x:c r="K54" s="12"/>
    </x:row>
    <x:row r="55">
      <x:c r="A55" s="12"/>
      <x:c r="B55" s="12"/>
      <x:c r="C55" s="12"/>
      <x:c r="D55" s="12"/>
      <x:c r="E55" s="12"/>
      <x:c r="F55" s="12"/>
      <x:c r="G55" s="12"/>
      <x:c r="H55" s="12"/>
      <x:c r="I55" s="12"/>
      <x:c r="J55" s="12"/>
      <x:c r="K55" s="12"/>
    </x:row>
    <x:row r="56">
      <x:c r="A56" s="12"/>
      <x:c r="B56" s="12"/>
      <x:c r="C56" s="12"/>
      <x:c r="D56" s="12"/>
      <x:c r="E56" s="12"/>
      <x:c r="F56" s="12"/>
      <x:c r="G56" s="12"/>
      <x:c r="H56" s="12"/>
      <x:c r="I56" s="12"/>
      <x:c r="J56" s="12"/>
      <x:c r="K56" s="12"/>
    </x:row>
    <x:row r="57">
      <x:c r="A57" s="12"/>
      <x:c r="B57" s="12"/>
      <x:c r="C57" s="12"/>
      <x:c r="D57" s="12"/>
      <x:c r="E57" s="12"/>
      <x:c r="F57" s="12"/>
      <x:c r="G57" s="12"/>
      <x:c r="H57" s="12"/>
      <x:c r="I57" s="12"/>
      <x:c r="J57" s="12"/>
      <x:c r="K57" s="12"/>
    </x:row>
    <x:row r="58">
      <x:c r="A58" s="12"/>
      <x:c r="B58" s="12"/>
      <x:c r="C58" s="12"/>
      <x:c r="D58" s="12"/>
      <x:c r="E58" s="12"/>
      <x:c r="F58" s="12"/>
      <x:c r="G58" s="12"/>
      <x:c r="H58" s="12"/>
      <x:c r="I58" s="12"/>
      <x:c r="J58" s="12"/>
      <x:c r="K58" s="12"/>
    </x:row>
    <x:row r="59">
      <x:c r="A59" s="12"/>
      <x:c r="B59" s="12"/>
      <x:c r="C59" s="12"/>
      <x:c r="D59" s="12"/>
      <x:c r="E59" s="12"/>
      <x:c r="F59" s="12"/>
      <x:c r="G59" s="12"/>
      <x:c r="H59" s="12"/>
      <x:c r="I59" s="12"/>
      <x:c r="J59" s="12"/>
      <x:c r="K59" s="12"/>
    </x:row>
    <x:row r="60">
      <x:c r="A60" s="12"/>
      <x:c r="B60" s="12"/>
      <x:c r="C60" s="12"/>
      <x:c r="D60" s="12"/>
      <x:c r="E60" s="12"/>
      <x:c r="F60" s="12"/>
      <x:c r="G60" s="12"/>
      <x:c r="H60" s="12"/>
      <x:c r="I60" s="12"/>
      <x:c r="J60" s="12"/>
      <x:c r="K60" s="12"/>
    </x:row>
    <x:row r="61">
      <x:c r="A61" s="12"/>
      <x:c r="B61" s="12"/>
      <x:c r="C61" s="12"/>
      <x:c r="D61" s="12"/>
      <x:c r="E61" s="12"/>
      <x:c r="F61" s="12"/>
      <x:c r="G61" s="12"/>
      <x:c r="H61" s="12"/>
      <x:c r="I61" s="12"/>
      <x:c r="J61" s="12"/>
      <x:c r="K61" s="12"/>
    </x:row>
    <x:row r="62">
      <x:c r="A62" s="12"/>
      <x:c r="B62" s="12"/>
      <x:c r="C62" s="12"/>
      <x:c r="D62" s="12"/>
      <x:c r="E62" s="12"/>
      <x:c r="F62" s="12"/>
      <x:c r="G62" s="12"/>
      <x:c r="H62" s="12"/>
      <x:c r="I62" s="12"/>
      <x:c r="J62" s="12"/>
      <x:c r="K62" s="12"/>
    </x:row>
    <x:row r="63">
      <x:c r="A63" s="12"/>
      <x:c r="B63" s="12"/>
      <x:c r="C63" s="12"/>
      <x:c r="D63" s="12"/>
      <x:c r="E63" s="12"/>
      <x:c r="F63" s="12"/>
      <x:c r="G63" s="12"/>
      <x:c r="H63" s="12"/>
      <x:c r="I63" s="12"/>
      <x:c r="J63" s="12"/>
      <x:c r="K63" s="12"/>
    </x:row>
    <x:row r="64">
      <x:c r="A64" s="12"/>
      <x:c r="B64" s="12"/>
      <x:c r="C64" s="12"/>
      <x:c r="D64" s="12"/>
      <x:c r="E64" s="12"/>
      <x:c r="F64" s="12"/>
      <x:c r="G64" s="12"/>
      <x:c r="H64" s="12"/>
      <x:c r="I64" s="12"/>
      <x:c r="J64" s="12"/>
      <x:c r="K64" s="12"/>
    </x:row>
    <x:row r="65">
      <x:c r="A65" s="12"/>
      <x:c r="B65" s="12"/>
      <x:c r="C65" s="12"/>
      <x:c r="D65" s="12"/>
      <x:c r="E65" s="12"/>
      <x:c r="F65" s="12"/>
      <x:c r="G65" s="12"/>
      <x:c r="H65" s="12"/>
      <x:c r="I65" s="12"/>
      <x:c r="J65" s="12"/>
      <x:c r="K65" s="12"/>
    </x:row>
    <x:row r="66">
      <x:c r="A66" s="12"/>
      <x:c r="B66" s="12"/>
      <x:c r="C66" s="12"/>
      <x:c r="D66" s="12"/>
      <x:c r="E66" s="12"/>
      <x:c r="F66" s="12"/>
      <x:c r="G66" s="12"/>
      <x:c r="H66" s="12"/>
      <x:c r="I66" s="12"/>
      <x:c r="J66" s="12"/>
      <x:c r="K66" s="12"/>
    </x:row>
    <x:row r="67">
      <x:c r="A67" s="12"/>
      <x:c r="B67" s="12"/>
      <x:c r="C67" s="12"/>
      <x:c r="D67" s="12"/>
      <x:c r="E67" s="12"/>
      <x:c r="F67" s="12"/>
      <x:c r="G67" s="12"/>
      <x:c r="H67" s="12"/>
      <x:c r="I67" s="12"/>
      <x:c r="J67" s="12"/>
      <x:c r="K67" s="12"/>
    </x:row>
    <x:row r="68">
      <x:c r="A68" s="12"/>
      <x:c r="B68" s="12"/>
      <x:c r="C68" s="12"/>
      <x:c r="D68" s="12"/>
      <x:c r="E68" s="12"/>
      <x:c r="F68" s="12"/>
      <x:c r="G68" s="12"/>
      <x:c r="H68" s="12"/>
      <x:c r="I68" s="12"/>
      <x:c r="J68" s="12"/>
      <x:c r="K68" s="12"/>
    </x:row>
    <x:row r="69">
      <x:c r="A69" s="12"/>
      <x:c r="B69" s="12"/>
      <x:c r="C69" s="12"/>
      <x:c r="D69" s="12"/>
      <x:c r="E69" s="12"/>
      <x:c r="F69" s="12"/>
      <x:c r="G69" s="12"/>
      <x:c r="H69" s="12"/>
      <x:c r="I69" s="12"/>
      <x:c r="J69" s="12"/>
      <x:c r="K69" s="12"/>
    </x:row>
    <x:row r="70">
      <x:c r="A70" s="12"/>
      <x:c r="B70" s="12"/>
      <x:c r="C70" s="12"/>
      <x:c r="D70" s="12"/>
      <x:c r="E70" s="12"/>
      <x:c r="F70" s="12"/>
      <x:c r="G70" s="12"/>
      <x:c r="H70" s="12"/>
      <x:c r="I70" s="12"/>
      <x:c r="J70" s="12"/>
      <x:c r="K70" s="12"/>
    </x:row>
    <x:row r="71">
      <x:c r="A71" s="12"/>
      <x:c r="B71" s="12"/>
      <x:c r="C71" s="12"/>
      <x:c r="D71" s="12"/>
      <x:c r="E71" s="12"/>
      <x:c r="F71" s="12"/>
      <x:c r="G71" s="12"/>
      <x:c r="H71" s="12"/>
      <x:c r="I71" s="12"/>
      <x:c r="J71" s="12"/>
      <x:c r="K71" s="12"/>
    </x:row>
    <x:row r="72">
      <x:c r="A72" s="12"/>
      <x:c r="B72" s="12"/>
      <x:c r="C72" s="12"/>
      <x:c r="D72" s="12"/>
      <x:c r="E72" s="12"/>
      <x:c r="F72" s="12"/>
      <x:c r="G72" s="12"/>
      <x:c r="H72" s="12"/>
      <x:c r="I72" s="12"/>
      <x:c r="J72" s="12"/>
      <x:c r="K72" s="12"/>
    </x:row>
    <x:row r="73">
      <x:c r="A73" s="12"/>
      <x:c r="B73" s="12"/>
      <x:c r="C73" s="12"/>
      <x:c r="D73" s="12"/>
      <x:c r="E73" s="12"/>
      <x:c r="F73" s="12"/>
      <x:c r="G73" s="12"/>
      <x:c r="H73" s="12"/>
      <x:c r="I73" s="12"/>
      <x:c r="J73" s="12"/>
      <x:c r="K73" s="12"/>
    </x:row>
    <x:row r="74">
      <x:c r="A74" s="12"/>
      <x:c r="B74" s="12"/>
      <x:c r="C74" s="12"/>
      <x:c r="D74" s="12"/>
      <x:c r="E74" s="12"/>
      <x:c r="F74" s="12"/>
      <x:c r="G74" s="12"/>
      <x:c r="H74" s="12"/>
      <x:c r="I74" s="12"/>
      <x:c r="J74" s="12"/>
      <x:c r="K74" s="12"/>
    </x:row>
    <x:row r="75">
      <x:c r="A75" s="12"/>
      <x:c r="B75" s="12"/>
      <x:c r="C75" s="12"/>
      <x:c r="D75" s="12"/>
      <x:c r="E75" s="12"/>
      <x:c r="F75" s="12"/>
      <x:c r="G75" s="12"/>
      <x:c r="H75" s="12"/>
      <x:c r="I75" s="12"/>
      <x:c r="J75" s="12"/>
      <x:c r="K75" s="12"/>
    </x:row>
    <x:row r="76">
      <x:c r="A76" s="12"/>
      <x:c r="B76" s="12"/>
      <x:c r="C76" s="12"/>
      <x:c r="D76" s="12"/>
      <x:c r="E76" s="12"/>
      <x:c r="F76" s="12"/>
      <x:c r="G76" s="12"/>
      <x:c r="H76" s="12"/>
      <x:c r="I76" s="12"/>
      <x:c r="J76" s="12"/>
      <x:c r="K76" s="12"/>
    </x:row>
    <x:row r="77">
      <x:c r="A77" s="12"/>
      <x:c r="B77" s="12"/>
      <x:c r="C77" s="12"/>
      <x:c r="D77" s="12"/>
      <x:c r="E77" s="12"/>
      <x:c r="F77" s="12"/>
      <x:c r="G77" s="12"/>
      <x:c r="H77" s="12"/>
      <x:c r="I77" s="12"/>
      <x:c r="J77" s="12"/>
      <x:c r="K77" s="12"/>
    </x:row>
    <x:row r="78">
      <x:c r="A78" s="12"/>
      <x:c r="B78" s="12"/>
      <x:c r="C78" s="12"/>
      <x:c r="D78" s="12"/>
      <x:c r="E78" s="12"/>
      <x:c r="F78" s="12"/>
      <x:c r="G78" s="12"/>
      <x:c r="H78" s="12"/>
      <x:c r="I78" s="12"/>
      <x:c r="J78" s="12"/>
      <x:c r="K78" s="12"/>
    </x:row>
    <x:row r="79">
      <x:c r="A79" s="12"/>
      <x:c r="B79" s="12"/>
      <x:c r="C79" s="12"/>
      <x:c r="D79" s="12"/>
      <x:c r="E79" s="12"/>
      <x:c r="F79" s="12"/>
      <x:c r="G79" s="12"/>
      <x:c r="H79" s="12"/>
      <x:c r="I79" s="12"/>
      <x:c r="J79" s="12"/>
      <x:c r="K79" s="12"/>
    </x:row>
    <x:row r="80">
      <x:c r="A80" s="12"/>
      <x:c r="B80" s="12"/>
      <x:c r="C80" s="12"/>
      <x:c r="D80" s="12"/>
      <x:c r="E80" s="12"/>
      <x:c r="F80" s="12"/>
      <x:c r="G80" s="12"/>
      <x:c r="H80" s="12"/>
      <x:c r="I80" s="12"/>
      <x:c r="J80" s="12"/>
      <x:c r="K80" s="12"/>
    </x:row>
    <x:row r="81">
      <x:c r="A81" s="12"/>
      <x:c r="B81" s="12"/>
      <x:c r="C81" s="12"/>
      <x:c r="D81" s="12"/>
      <x:c r="E81" s="12"/>
      <x:c r="F81" s="12"/>
      <x:c r="G81" s="12"/>
      <x:c r="H81" s="12"/>
      <x:c r="I81" s="12"/>
      <x:c r="J81" s="12"/>
      <x:c r="K81" s="12"/>
    </x:row>
    <x:row r="82">
      <x:c r="A82" s="12"/>
      <x:c r="B82" s="12"/>
      <x:c r="C82" s="12"/>
      <x:c r="D82" s="12"/>
      <x:c r="E82" s="12"/>
      <x:c r="F82" s="12"/>
      <x:c r="G82" s="12"/>
      <x:c r="H82" s="12"/>
      <x:c r="I82" s="12"/>
      <x:c r="J82" s="12"/>
      <x:c r="K82" s="12"/>
    </x:row>
    <x:row r="83">
      <x:c r="A83" s="12"/>
      <x:c r="B83" s="12"/>
      <x:c r="C83" s="12"/>
      <x:c r="D83" s="12"/>
      <x:c r="E83" s="12"/>
      <x:c r="F83" s="12"/>
      <x:c r="G83" s="12"/>
      <x:c r="H83" s="12"/>
      <x:c r="I83" s="12"/>
      <x:c r="J83" s="12"/>
      <x:c r="K83" s="12"/>
    </x:row>
    <x:row r="84">
      <x:c r="A84" s="12"/>
      <x:c r="B84" s="12"/>
      <x:c r="C84" s="12"/>
      <x:c r="D84" s="12"/>
      <x:c r="E84" s="12"/>
      <x:c r="F84" s="12"/>
      <x:c r="G84" s="12"/>
      <x:c r="H84" s="12"/>
      <x:c r="I84" s="12"/>
      <x:c r="J84" s="12"/>
      <x:c r="K84" s="12"/>
    </x:row>
    <x:row r="85">
      <x:c r="A85" s="12"/>
      <x:c r="B85" s="12"/>
      <x:c r="C85" s="12"/>
      <x:c r="D85" s="12"/>
      <x:c r="E85" s="12"/>
      <x:c r="F85" s="12"/>
      <x:c r="G85" s="12"/>
      <x:c r="H85" s="12"/>
      <x:c r="I85" s="12"/>
      <x:c r="J85" s="12"/>
      <x:c r="K85" s="12"/>
    </x:row>
    <x:row r="86">
      <x:c r="A86" s="12"/>
      <x:c r="B86" s="12"/>
      <x:c r="C86" s="12"/>
      <x:c r="D86" s="12"/>
      <x:c r="E86" s="12"/>
      <x:c r="F86" s="12"/>
      <x:c r="G86" s="12"/>
      <x:c r="H86" s="12"/>
      <x:c r="I86" s="12"/>
      <x:c r="J86" s="12"/>
      <x:c r="K86" s="12"/>
    </x:row>
    <x:row r="87">
      <x:c r="A87" s="12"/>
      <x:c r="B87" s="12"/>
      <x:c r="C87" s="12"/>
      <x:c r="D87" s="12"/>
      <x:c r="E87" s="12"/>
      <x:c r="F87" s="12"/>
      <x:c r="G87" s="12"/>
      <x:c r="H87" s="12"/>
      <x:c r="I87" s="12"/>
      <x:c r="J87" s="12"/>
      <x:c r="K87" s="12"/>
    </x:row>
    <x:row r="88">
      <x:c r="A88" s="12"/>
      <x:c r="B88" s="12"/>
      <x:c r="C88" s="12"/>
      <x:c r="D88" s="12"/>
      <x:c r="E88" s="12"/>
      <x:c r="F88" s="12"/>
      <x:c r="G88" s="12"/>
      <x:c r="H88" s="12"/>
      <x:c r="I88" s="12"/>
      <x:c r="J88" s="12"/>
      <x:c r="K88" s="12"/>
    </x:row>
    <x:row r="89">
      <x:c r="A89" s="12"/>
      <x:c r="B89" s="12"/>
      <x:c r="C89" s="12"/>
      <x:c r="D89" s="12"/>
      <x:c r="E89" s="12"/>
      <x:c r="F89" s="12"/>
      <x:c r="G89" s="12"/>
      <x:c r="H89" s="12"/>
      <x:c r="I89" s="12"/>
      <x:c r="J89" s="12"/>
      <x:c r="K89" s="12"/>
    </x:row>
    <x:row r="90">
      <x:c r="A90" s="12"/>
      <x:c r="B90" s="12"/>
      <x:c r="C90" s="12"/>
      <x:c r="D90" s="12"/>
      <x:c r="E90" s="12"/>
      <x:c r="F90" s="12"/>
      <x:c r="G90" s="12"/>
      <x:c r="H90" s="12"/>
      <x:c r="I90" s="12"/>
      <x:c r="J90" s="12"/>
      <x:c r="K90" s="12"/>
    </x:row>
    <x:row r="91">
      <x:c r="A91" s="12"/>
      <x:c r="B91" s="12"/>
      <x:c r="C91" s="12"/>
      <x:c r="D91" s="12"/>
      <x:c r="E91" s="12"/>
      <x:c r="F91" s="12"/>
      <x:c r="G91" s="12"/>
      <x:c r="H91" s="12"/>
      <x:c r="I91" s="12"/>
      <x:c r="J91" s="12"/>
      <x:c r="K91" s="12"/>
    </x:row>
    <x:row r="92">
      <x:c r="A92" s="12"/>
      <x:c r="B92" s="12"/>
      <x:c r="C92" s="12"/>
      <x:c r="D92" s="12"/>
      <x:c r="E92" s="12"/>
      <x:c r="F92" s="12"/>
      <x:c r="G92" s="12"/>
      <x:c r="H92" s="12"/>
      <x:c r="I92" s="12"/>
      <x:c r="J92" s="12"/>
      <x:c r="K92" s="12"/>
    </x:row>
    <x:row r="93">
      <x:c r="A93" s="12"/>
      <x:c r="B93" s="12"/>
      <x:c r="C93" s="12"/>
      <x:c r="D93" s="12"/>
      <x:c r="E93" s="12"/>
      <x:c r="F93" s="12"/>
      <x:c r="G93" s="12"/>
      <x:c r="H93" s="12"/>
      <x:c r="I93" s="12"/>
      <x:c r="J93" s="12"/>
      <x:c r="K93" s="12"/>
    </x:row>
    <x:row r="94">
      <x:c r="A94" s="12"/>
      <x:c r="B94" s="12"/>
      <x:c r="C94" s="12"/>
      <x:c r="D94" s="12"/>
      <x:c r="E94" s="12"/>
      <x:c r="F94" s="12"/>
      <x:c r="G94" s="12"/>
      <x:c r="H94" s="12"/>
      <x:c r="I94" s="12"/>
      <x:c r="J94" s="12"/>
      <x:c r="K94" s="12"/>
    </x:row>
    <x:row r="95">
      <x:c r="A95" s="12"/>
      <x:c r="B95" s="12"/>
      <x:c r="C95" s="12"/>
      <x:c r="D95" s="12"/>
      <x:c r="E95" s="12"/>
      <x:c r="F95" s="12"/>
      <x:c r="G95" s="12"/>
      <x:c r="H95" s="12"/>
      <x:c r="I95" s="12"/>
      <x:c r="J95" s="12"/>
      <x:c r="K95" s="12"/>
    </x:row>
    <x:row r="96">
      <x:c r="A96" s="12"/>
      <x:c r="B96" s="12"/>
      <x:c r="C96" s="12"/>
      <x:c r="D96" s="12"/>
      <x:c r="E96" s="12"/>
      <x:c r="F96" s="12"/>
      <x:c r="G96" s="12"/>
      <x:c r="H96" s="12"/>
      <x:c r="I96" s="12"/>
      <x:c r="J96" s="12"/>
      <x:c r="K96" s="12"/>
    </x:row>
    <x:row r="97">
      <x:c r="A97" s="12"/>
      <x:c r="B97" s="12"/>
      <x:c r="C97" s="12"/>
      <x:c r="D97" s="12"/>
      <x:c r="E97" s="12"/>
      <x:c r="F97" s="12"/>
      <x:c r="G97" s="12"/>
      <x:c r="H97" s="12"/>
      <x:c r="I97" s="12"/>
      <x:c r="J97" s="12"/>
      <x:c r="K97" s="12"/>
    </x:row>
    <x:row r="98">
      <x:c r="A98" s="12"/>
      <x:c r="B98" s="12"/>
      <x:c r="C98" s="12"/>
      <x:c r="D98" s="12"/>
      <x:c r="E98" s="12"/>
      <x:c r="F98" s="12"/>
      <x:c r="G98" s="12"/>
      <x:c r="H98" s="12"/>
      <x:c r="I98" s="12"/>
      <x:c r="J98" s="12"/>
      <x:c r="K98" s="12"/>
    </x:row>
    <x:row r="99">
      <x:c r="A99" s="12"/>
      <x:c r="B99" s="12"/>
      <x:c r="C99" s="12"/>
      <x:c r="D99" s="12"/>
      <x:c r="E99" s="12"/>
      <x:c r="F99" s="12"/>
      <x:c r="G99" s="12"/>
      <x:c r="H99" s="12"/>
      <x:c r="I99" s="12"/>
      <x:c r="J99" s="12"/>
      <x:c r="K99" s="12"/>
    </x:row>
    <x:row r="100">
      <x:c r="A100" s="12"/>
      <x:c r="B100" s="12"/>
      <x:c r="C100" s="12"/>
      <x:c r="D100" s="12"/>
      <x:c r="E100" s="12"/>
      <x:c r="F100" s="12"/>
      <x:c r="G100" s="12"/>
      <x:c r="H100" s="12"/>
      <x:c r="I100" s="12"/>
      <x:c r="J100" s="12"/>
      <x:c r="K100" s="12"/>
    </x:row>
    <x:row r="101">
      <x:c r="A101" s="12"/>
      <x:c r="B101" s="12"/>
      <x:c r="C101" s="12"/>
      <x:c r="D101" s="12"/>
      <x:c r="E101" s="12"/>
      <x:c r="F101" s="12"/>
      <x:c r="G101" s="12"/>
      <x:c r="H101" s="12"/>
      <x:c r="I101" s="12"/>
      <x:c r="J101" s="12"/>
      <x:c r="K101" s="12"/>
    </x:row>
    <x:row r="102">
      <x:c r="A102" s="12"/>
      <x:c r="B102" s="12"/>
      <x:c r="C102" s="12"/>
      <x:c r="D102" s="12"/>
      <x:c r="E102" s="12"/>
      <x:c r="F102" s="12"/>
      <x:c r="G102" s="12"/>
      <x:c r="H102" s="12"/>
      <x:c r="I102" s="12"/>
      <x:c r="J102" s="12"/>
      <x:c r="K102" s="12"/>
    </x:row>
    <x:row r="103">
      <x:c r="A103" s="12"/>
      <x:c r="B103" s="12"/>
      <x:c r="C103" s="12"/>
      <x:c r="D103" s="12"/>
      <x:c r="E103" s="12"/>
      <x:c r="F103" s="12"/>
      <x:c r="G103" s="12"/>
      <x:c r="H103" s="12"/>
      <x:c r="I103" s="12"/>
      <x:c r="J103" s="12"/>
      <x:c r="K103" s="12"/>
    </x:row>
    <x:row r="104">
      <x:c r="A104" s="12"/>
      <x:c r="B104" s="12"/>
      <x:c r="C104" s="12"/>
      <x:c r="D104" s="12"/>
      <x:c r="E104" s="12"/>
      <x:c r="F104" s="12"/>
      <x:c r="G104" s="12"/>
      <x:c r="H104" s="12"/>
      <x:c r="I104" s="12"/>
      <x:c r="J104" s="12"/>
      <x:c r="K104" s="12"/>
    </x:row>
    <x:row r="105">
      <x:c r="A105" s="12"/>
      <x:c r="B105" s="12"/>
      <x:c r="C105" s="12"/>
      <x:c r="D105" s="12"/>
      <x:c r="E105" s="12"/>
      <x:c r="F105" s="12"/>
      <x:c r="G105" s="12"/>
      <x:c r="H105" s="12"/>
      <x:c r="I105" s="12"/>
      <x:c r="J105" s="12"/>
      <x:c r="K105" s="12"/>
    </x:row>
    <x:row r="106">
      <x:c r="A106" s="12"/>
      <x:c r="B106" s="12"/>
      <x:c r="C106" s="12"/>
      <x:c r="D106" s="12"/>
      <x:c r="E106" s="12"/>
      <x:c r="F106" s="12"/>
      <x:c r="G106" s="12"/>
      <x:c r="H106" s="12"/>
      <x:c r="I106" s="12"/>
      <x:c r="J106" s="12"/>
      <x:c r="K106" s="12"/>
    </x:row>
    <x:row r="107">
      <x:c r="A107" s="12"/>
      <x:c r="B107" s="12"/>
      <x:c r="C107" s="12"/>
      <x:c r="D107" s="12"/>
      <x:c r="E107" s="12"/>
      <x:c r="F107" s="12"/>
      <x:c r="G107" s="12"/>
      <x:c r="H107" s="12"/>
      <x:c r="I107" s="12"/>
      <x:c r="J107" s="12"/>
      <x:c r="K107" s="12"/>
    </x:row>
    <x:row r="108">
      <x:c r="A108" s="12"/>
      <x:c r="B108" s="12"/>
      <x:c r="C108" s="12"/>
      <x:c r="D108" s="12"/>
      <x:c r="E108" s="12"/>
      <x:c r="F108" s="12"/>
      <x:c r="G108" s="12"/>
      <x:c r="H108" s="12"/>
      <x:c r="I108" s="12"/>
      <x:c r="J108" s="12"/>
      <x:c r="K108" s="12"/>
    </x:row>
    <x:row r="109">
      <x:c r="A109" s="12"/>
      <x:c r="B109" s="12"/>
      <x:c r="C109" s="12"/>
      <x:c r="D109" s="12"/>
      <x:c r="E109" s="12"/>
      <x:c r="F109" s="12"/>
      <x:c r="G109" s="12"/>
      <x:c r="H109" s="12"/>
      <x:c r="I109" s="12"/>
      <x:c r="J109" s="12"/>
      <x:c r="K109" s="12"/>
    </x:row>
    <x:row r="110">
      <x:c r="A110" s="12"/>
      <x:c r="B110" s="12"/>
      <x:c r="C110" s="12"/>
      <x:c r="D110" s="12"/>
      <x:c r="E110" s="12"/>
      <x:c r="F110" s="12"/>
      <x:c r="G110" s="12"/>
      <x:c r="H110" s="12"/>
      <x:c r="I110" s="12"/>
      <x:c r="J110" s="12"/>
      <x:c r="K110" s="12"/>
    </x:row>
    <x:row r="111">
      <x:c r="A111" s="12"/>
      <x:c r="B111" s="12"/>
      <x:c r="C111" s="12"/>
      <x:c r="D111" s="12"/>
      <x:c r="E111" s="12"/>
      <x:c r="F111" s="12"/>
      <x:c r="G111" s="12"/>
      <x:c r="H111" s="12"/>
      <x:c r="I111" s="12"/>
      <x:c r="J111" s="12"/>
      <x:c r="K111" s="12"/>
    </x:row>
    <x:row r="112">
      <x:c r="A112" s="12"/>
      <x:c r="B112" s="12"/>
      <x:c r="C112" s="12"/>
      <x:c r="D112" s="12"/>
      <x:c r="E112" s="12"/>
      <x:c r="F112" s="12"/>
      <x:c r="G112" s="12"/>
      <x:c r="H112" s="12"/>
      <x:c r="I112" s="12"/>
      <x:c r="J112" s="12"/>
      <x:c r="K112" s="12"/>
    </x:row>
    <x:row r="113">
      <x:c r="A113" s="12"/>
      <x:c r="B113" s="12"/>
      <x:c r="C113" s="12"/>
      <x:c r="D113" s="12"/>
      <x:c r="E113" s="12"/>
      <x:c r="F113" s="12"/>
      <x:c r="G113" s="12"/>
      <x:c r="H113" s="12"/>
      <x:c r="I113" s="12"/>
      <x:c r="J113" s="12"/>
      <x:c r="K113" s="12"/>
    </x:row>
    <x:row r="114">
      <x:c r="A114" s="12"/>
      <x:c r="B114" s="12"/>
      <x:c r="C114" s="12"/>
      <x:c r="D114" s="12"/>
      <x:c r="E114" s="12"/>
      <x:c r="F114" s="12"/>
      <x:c r="G114" s="12"/>
      <x:c r="H114" s="12"/>
      <x:c r="I114" s="12"/>
      <x:c r="J114" s="12"/>
      <x:c r="K114" s="12"/>
    </x:row>
    <x:row r="115">
      <x:c r="A115" s="12"/>
      <x:c r="B115" s="12"/>
      <x:c r="C115" s="12"/>
      <x:c r="D115" s="12"/>
      <x:c r="E115" s="12"/>
      <x:c r="F115" s="12"/>
      <x:c r="G115" s="12"/>
      <x:c r="H115" s="12"/>
      <x:c r="I115" s="12"/>
      <x:c r="J115" s="12"/>
      <x:c r="K115" s="12"/>
    </x:row>
    <x:row r="116">
      <x:c r="A116" s="12"/>
      <x:c r="B116" s="12"/>
      <x:c r="C116" s="12"/>
      <x:c r="D116" s="12"/>
      <x:c r="E116" s="12"/>
      <x:c r="F116" s="12"/>
      <x:c r="G116" s="12"/>
      <x:c r="H116" s="12"/>
      <x:c r="I116" s="12"/>
      <x:c r="J116" s="12"/>
      <x:c r="K116" s="12"/>
    </x:row>
    <x:row r="117">
      <x:c r="A117" s="12"/>
      <x:c r="B117" s="12"/>
      <x:c r="C117" s="12"/>
      <x:c r="D117" s="12"/>
      <x:c r="E117" s="12"/>
      <x:c r="F117" s="12"/>
      <x:c r="G117" s="12"/>
      <x:c r="H117" s="12"/>
      <x:c r="I117" s="12"/>
      <x:c r="J117" s="12"/>
      <x:c r="K117" s="12"/>
    </x:row>
    <x:row r="118">
      <x:c r="A118" s="12"/>
      <x:c r="B118" s="12"/>
      <x:c r="C118" s="12"/>
      <x:c r="D118" s="12"/>
      <x:c r="E118" s="12"/>
      <x:c r="F118" s="12"/>
      <x:c r="G118" s="12"/>
      <x:c r="H118" s="12"/>
      <x:c r="I118" s="12"/>
      <x:c r="J118" s="12"/>
      <x:c r="K118" s="12"/>
    </x:row>
    <x:row r="119">
      <x:c r="A119" s="12"/>
      <x:c r="B119" s="12"/>
      <x:c r="C119" s="12"/>
      <x:c r="D119" s="12"/>
      <x:c r="E119" s="12"/>
      <x:c r="F119" s="12"/>
      <x:c r="G119" s="12"/>
      <x:c r="H119" s="12"/>
      <x:c r="I119" s="12"/>
      <x:c r="J119" s="12"/>
      <x:c r="K119" s="12"/>
    </x:row>
    <x:row r="120">
      <x:c r="A120" s="12"/>
      <x:c r="B120" s="12"/>
      <x:c r="C120" s="12"/>
      <x:c r="D120" s="12"/>
      <x:c r="E120" s="12"/>
      <x:c r="F120" s="12"/>
      <x:c r="G120" s="12"/>
      <x:c r="H120" s="12"/>
      <x:c r="I120" s="12"/>
      <x:c r="J120" s="12"/>
      <x:c r="K120" s="12"/>
    </x:row>
    <x:row r="121">
      <x:c r="A121" s="12"/>
      <x:c r="B121" s="12"/>
      <x:c r="C121" s="12"/>
      <x:c r="D121" s="12"/>
      <x:c r="E121" s="12"/>
      <x:c r="F121" s="12"/>
      <x:c r="G121" s="12"/>
      <x:c r="H121" s="12"/>
      <x:c r="I121" s="12"/>
      <x:c r="J121" s="12"/>
      <x:c r="K121" s="12"/>
    </x:row>
    <x:row r="122">
      <x:c r="A122" s="12"/>
      <x:c r="B122" s="12"/>
      <x:c r="C122" s="12"/>
      <x:c r="D122" s="12"/>
      <x:c r="E122" s="12"/>
      <x:c r="F122" s="12"/>
      <x:c r="G122" s="12"/>
      <x:c r="H122" s="12"/>
      <x:c r="I122" s="12"/>
      <x:c r="J122" s="12"/>
      <x:c r="K122" s="12"/>
    </x:row>
    <x:row r="123">
      <x:c r="A123" s="12"/>
      <x:c r="B123" s="12"/>
      <x:c r="C123" s="12"/>
      <x:c r="D123" s="12"/>
      <x:c r="E123" s="12"/>
      <x:c r="F123" s="12"/>
      <x:c r="G123" s="12"/>
      <x:c r="H123" s="12"/>
      <x:c r="I123" s="12"/>
      <x:c r="J123" s="12"/>
      <x:c r="K123" s="12"/>
    </x:row>
    <x:row r="124">
      <x:c r="A124" s="12"/>
      <x:c r="B124" s="12"/>
      <x:c r="C124" s="12"/>
      <x:c r="D124" s="12"/>
      <x:c r="E124" s="12"/>
      <x:c r="F124" s="12"/>
      <x:c r="G124" s="12"/>
      <x:c r="H124" s="12"/>
      <x:c r="I124" s="12"/>
      <x:c r="J124" s="12"/>
      <x:c r="K124" s="12"/>
    </x:row>
    <x:row r="125">
      <x:c r="A125" s="12"/>
      <x:c r="B125" s="12"/>
      <x:c r="C125" s="12"/>
      <x:c r="D125" s="12"/>
      <x:c r="E125" s="12"/>
      <x:c r="F125" s="12"/>
      <x:c r="G125" s="12"/>
      <x:c r="H125" s="12"/>
      <x:c r="I125" s="12"/>
      <x:c r="J125" s="12"/>
      <x:c r="K125" s="12"/>
    </x:row>
    <x:row r="126">
      <x:c r="A126" s="12"/>
      <x:c r="B126" s="12"/>
      <x:c r="C126" s="12"/>
      <x:c r="D126" s="12"/>
      <x:c r="E126" s="12"/>
      <x:c r="F126" s="12"/>
      <x:c r="G126" s="12"/>
      <x:c r="H126" s="12"/>
      <x:c r="I126" s="12"/>
      <x:c r="J126" s="12"/>
      <x:c r="K126" s="12"/>
    </x:row>
    <x:row r="127">
      <x:c r="A127" s="12"/>
      <x:c r="B127" s="12"/>
      <x:c r="C127" s="12"/>
      <x:c r="D127" s="12"/>
      <x:c r="E127" s="12"/>
      <x:c r="F127" s="12"/>
      <x:c r="G127" s="12"/>
      <x:c r="H127" s="12"/>
      <x:c r="I127" s="12"/>
      <x:c r="J127" s="12"/>
      <x:c r="K127" s="12"/>
    </x:row>
    <x:row r="128">
      <x:c r="A128" s="12"/>
      <x:c r="B128" s="12"/>
      <x:c r="C128" s="12"/>
      <x:c r="D128" s="12"/>
      <x:c r="E128" s="12"/>
      <x:c r="F128" s="12"/>
      <x:c r="G128" s="12"/>
      <x:c r="H128" s="12"/>
      <x:c r="I128" s="12"/>
      <x:c r="J128" s="12"/>
      <x:c r="K128" s="12"/>
    </x:row>
    <x:row r="129">
      <x:c r="A129" s="12"/>
      <x:c r="B129" s="12"/>
      <x:c r="C129" s="12"/>
      <x:c r="D129" s="12"/>
      <x:c r="E129" s="12"/>
      <x:c r="F129" s="12"/>
      <x:c r="G129" s="12"/>
      <x:c r="H129" s="12"/>
      <x:c r="I129" s="12"/>
      <x:c r="J129" s="12"/>
      <x:c r="K129" s="12"/>
    </x:row>
    <x:row r="130">
      <x:c r="A130" s="12"/>
      <x:c r="B130" s="12"/>
      <x:c r="C130" s="12"/>
      <x:c r="D130" s="12"/>
      <x:c r="E130" s="12"/>
      <x:c r="F130" s="12"/>
      <x:c r="G130" s="12"/>
      <x:c r="H130" s="12"/>
      <x:c r="I130" s="12"/>
      <x:c r="J130" s="12"/>
      <x:c r="K130" s="12"/>
    </x:row>
    <x:row r="131">
      <x:c r="A131" s="12"/>
      <x:c r="B131" s="12"/>
      <x:c r="C131" s="12"/>
      <x:c r="D131" s="12"/>
      <x:c r="E131" s="12"/>
      <x:c r="F131" s="12"/>
      <x:c r="G131" s="12"/>
      <x:c r="H131" s="12"/>
      <x:c r="I131" s="12"/>
      <x:c r="J131" s="12"/>
      <x:c r="K131" s="12"/>
    </x:row>
    <x:row r="132">
      <x:c r="A132" s="12"/>
      <x:c r="B132" s="12"/>
      <x:c r="C132" s="12"/>
      <x:c r="D132" s="12"/>
      <x:c r="E132" s="12"/>
      <x:c r="F132" s="12"/>
      <x:c r="G132" s="12"/>
      <x:c r="H132" s="12"/>
      <x:c r="I132" s="12"/>
      <x:c r="J132" s="12"/>
      <x:c r="K132" s="12"/>
    </x:row>
    <x:row r="133">
      <x:c r="A133" s="12"/>
      <x:c r="B133" s="12"/>
      <x:c r="C133" s="12"/>
      <x:c r="D133" s="12"/>
      <x:c r="E133" s="12"/>
      <x:c r="F133" s="12"/>
      <x:c r="G133" s="12"/>
      <x:c r="H133" s="12"/>
      <x:c r="I133" s="12"/>
      <x:c r="J133" s="12"/>
      <x:c r="K133" s="12"/>
    </x:row>
    <x:row r="134">
      <x:c r="A134" s="12"/>
      <x:c r="B134" s="12"/>
      <x:c r="C134" s="12"/>
      <x:c r="D134" s="12"/>
      <x:c r="E134" s="12"/>
      <x:c r="F134" s="12"/>
      <x:c r="G134" s="12"/>
      <x:c r="H134" s="12"/>
      <x:c r="I134" s="12"/>
      <x:c r="J134" s="12"/>
      <x:c r="K134" s="12"/>
    </x:row>
    <x:row r="135">
      <x:c r="A135" s="12"/>
      <x:c r="B135" s="12"/>
      <x:c r="C135" s="12"/>
      <x:c r="D135" s="12"/>
      <x:c r="E135" s="12"/>
      <x:c r="F135" s="12"/>
      <x:c r="G135" s="12"/>
      <x:c r="H135" s="12"/>
      <x:c r="I135" s="12"/>
      <x:c r="J135" s="12"/>
      <x:c r="K135" s="12"/>
    </x:row>
    <x:row r="136">
      <x:c r="A136" s="12"/>
      <x:c r="B136" s="12"/>
      <x:c r="C136" s="12"/>
      <x:c r="D136" s="12"/>
      <x:c r="E136" s="12"/>
      <x:c r="F136" s="12"/>
      <x:c r="G136" s="12"/>
      <x:c r="H136" s="12"/>
      <x:c r="I136" s="12"/>
      <x:c r="J136" s="12"/>
      <x:c r="K136" s="12"/>
    </x:row>
    <x:row r="137">
      <x:c r="A137" s="12"/>
      <x:c r="B137" s="12"/>
      <x:c r="C137" s="12"/>
      <x:c r="D137" s="12"/>
      <x:c r="E137" s="12"/>
      <x:c r="F137" s="12"/>
      <x:c r="G137" s="12"/>
      <x:c r="H137" s="12"/>
      <x:c r="I137" s="12"/>
      <x:c r="J137" s="12"/>
      <x:c r="K137" s="12"/>
    </x:row>
    <x:row r="138">
      <x:c r="A138" s="12"/>
      <x:c r="B138" s="12"/>
      <x:c r="C138" s="12"/>
      <x:c r="D138" s="12"/>
      <x:c r="E138" s="12"/>
      <x:c r="F138" s="12"/>
      <x:c r="G138" s="12"/>
      <x:c r="H138" s="12"/>
      <x:c r="I138" s="12"/>
      <x:c r="J138" s="12"/>
      <x:c r="K138" s="12"/>
    </x:row>
    <x:row r="139">
      <x:c r="A139" s="12"/>
      <x:c r="B139" s="12"/>
      <x:c r="C139" s="12"/>
      <x:c r="D139" s="12"/>
      <x:c r="E139" s="12"/>
      <x:c r="F139" s="12"/>
      <x:c r="G139" s="12"/>
      <x:c r="H139" s="12"/>
      <x:c r="I139" s="12"/>
      <x:c r="J139" s="12"/>
      <x:c r="K139" s="12"/>
    </x:row>
    <x:row r="140">
      <x:c r="A140" s="12"/>
      <x:c r="B140" s="12"/>
      <x:c r="C140" s="12"/>
      <x:c r="D140" s="12"/>
      <x:c r="E140" s="12"/>
      <x:c r="F140" s="12"/>
      <x:c r="G140" s="12"/>
      <x:c r="H140" s="12"/>
      <x:c r="I140" s="12"/>
      <x:c r="J140" s="12"/>
      <x:c r="K140" s="12"/>
    </x:row>
    <x:row r="141">
      <x:c r="A141" s="12"/>
      <x:c r="B141" s="12"/>
      <x:c r="C141" s="12"/>
      <x:c r="D141" s="12"/>
      <x:c r="E141" s="12"/>
      <x:c r="F141" s="12"/>
      <x:c r="G141" s="12"/>
      <x:c r="H141" s="12"/>
      <x:c r="I141" s="12"/>
      <x:c r="J141" s="12"/>
      <x:c r="K141" s="12"/>
    </x:row>
    <x:row r="142">
      <x:c r="A142" s="12"/>
      <x:c r="B142" s="12"/>
      <x:c r="C142" s="12"/>
      <x:c r="D142" s="12"/>
      <x:c r="E142" s="12"/>
      <x:c r="F142" s="12"/>
      <x:c r="G142" s="12"/>
      <x:c r="H142" s="12"/>
      <x:c r="I142" s="12"/>
      <x:c r="J142" s="12"/>
      <x:c r="K142" s="12"/>
    </x:row>
    <x:row r="143">
      <x:c r="A143" s="12"/>
      <x:c r="B143" s="12"/>
      <x:c r="C143" s="12"/>
      <x:c r="D143" s="12"/>
      <x:c r="E143" s="12"/>
      <x:c r="F143" s="12"/>
      <x:c r="G143" s="12"/>
      <x:c r="H143" s="12"/>
      <x:c r="I143" s="12"/>
      <x:c r="J143" s="12"/>
      <x:c r="K143" s="12"/>
    </x:row>
    <x:row r="144">
      <x:c r="A144" s="12"/>
      <x:c r="B144" s="12"/>
      <x:c r="C144" s="12"/>
      <x:c r="D144" s="12"/>
      <x:c r="E144" s="12"/>
      <x:c r="F144" s="12"/>
      <x:c r="G144" s="12"/>
      <x:c r="H144" s="12"/>
      <x:c r="I144" s="12"/>
      <x:c r="J144" s="12"/>
      <x:c r="K144" s="12"/>
    </x:row>
    <x:row r="145">
      <x:c r="A145" s="12"/>
      <x:c r="B145" s="12"/>
      <x:c r="C145" s="12"/>
      <x:c r="D145" s="12"/>
      <x:c r="E145" s="12"/>
      <x:c r="F145" s="12"/>
      <x:c r="G145" s="12"/>
      <x:c r="H145" s="12"/>
      <x:c r="I145" s="12"/>
      <x:c r="J145" s="12"/>
      <x:c r="K145" s="12"/>
    </x:row>
    <x:row r="146">
      <x:c r="A146" s="12"/>
      <x:c r="B146" s="12"/>
      <x:c r="C146" s="12"/>
      <x:c r="D146" s="12"/>
      <x:c r="E146" s="12"/>
      <x:c r="F146" s="12"/>
      <x:c r="G146" s="12"/>
      <x:c r="H146" s="12"/>
      <x:c r="I146" s="12"/>
      <x:c r="J146" s="12"/>
      <x:c r="K146" s="12"/>
    </x:row>
    <x:row r="147">
      <x:c r="A147" s="12"/>
      <x:c r="B147" s="12"/>
      <x:c r="C147" s="12"/>
      <x:c r="D147" s="12"/>
      <x:c r="E147" s="12"/>
      <x:c r="F147" s="12"/>
      <x:c r="G147" s="12"/>
      <x:c r="H147" s="12"/>
      <x:c r="I147" s="12"/>
      <x:c r="J147" s="12"/>
      <x:c r="K147" s="12"/>
    </x:row>
    <x:row r="148">
      <x:c r="A148" s="12"/>
      <x:c r="B148" s="12"/>
      <x:c r="C148" s="12"/>
      <x:c r="D148" s="12"/>
      <x:c r="E148" s="12"/>
      <x:c r="F148" s="12"/>
      <x:c r="G148" s="12"/>
      <x:c r="H148" s="12"/>
      <x:c r="I148" s="12"/>
      <x:c r="J148" s="12"/>
      <x:c r="K148" s="12"/>
    </x:row>
    <x:row r="149">
      <x:c r="A149" s="12"/>
      <x:c r="B149" s="12"/>
      <x:c r="C149" s="12"/>
      <x:c r="D149" s="12"/>
      <x:c r="E149" s="12"/>
      <x:c r="F149" s="12"/>
      <x:c r="G149" s="12"/>
      <x:c r="H149" s="12"/>
      <x:c r="I149" s="12"/>
      <x:c r="J149" s="12"/>
      <x:c r="K149" s="12"/>
    </x:row>
    <x:row r="150">
      <x:c r="A150" s="12"/>
      <x:c r="B150" s="12"/>
      <x:c r="C150" s="12"/>
      <x:c r="D150" s="12"/>
      <x:c r="E150" s="12"/>
      <x:c r="F150" s="12"/>
      <x:c r="G150" s="12"/>
      <x:c r="H150" s="12"/>
      <x:c r="I150" s="12"/>
      <x:c r="J150" s="12"/>
      <x:c r="K150" s="12"/>
    </x:row>
    <x:row r="151">
      <x:c r="A151" s="12"/>
      <x:c r="B151" s="12"/>
      <x:c r="C151" s="12"/>
      <x:c r="D151" s="12"/>
      <x:c r="E151" s="12"/>
      <x:c r="F151" s="12"/>
      <x:c r="G151" s="12"/>
      <x:c r="H151" s="12"/>
      <x:c r="I151" s="12"/>
      <x:c r="J151" s="12"/>
      <x:c r="K151" s="12"/>
    </x:row>
    <x:row r="152">
      <x:c r="A152" s="12"/>
      <x:c r="B152" s="12"/>
      <x:c r="C152" s="12"/>
      <x:c r="D152" s="12"/>
      <x:c r="E152" s="12"/>
      <x:c r="F152" s="12"/>
      <x:c r="G152" s="12"/>
      <x:c r="H152" s="12"/>
      <x:c r="I152" s="12"/>
      <x:c r="J152" s="12"/>
      <x:c r="K152" s="12"/>
    </x:row>
    <x:row r="153">
      <x:c r="A153" s="12"/>
      <x:c r="B153" s="12"/>
      <x:c r="C153" s="12"/>
      <x:c r="D153" s="12"/>
      <x:c r="E153" s="12"/>
      <x:c r="F153" s="12"/>
      <x:c r="G153" s="12"/>
      <x:c r="H153" s="12"/>
      <x:c r="I153" s="12"/>
      <x:c r="J153" s="12"/>
      <x:c r="K153" s="12"/>
    </x:row>
    <x:row r="154">
      <x:c r="A154" s="12"/>
      <x:c r="B154" s="12"/>
      <x:c r="C154" s="12"/>
      <x:c r="D154" s="12"/>
      <x:c r="E154" s="12"/>
      <x:c r="F154" s="12"/>
      <x:c r="G154" s="12"/>
      <x:c r="H154" s="12"/>
      <x:c r="I154" s="12"/>
      <x:c r="J154" s="12"/>
      <x:c r="K154" s="12"/>
    </x:row>
    <x:row r="155">
      <x:c r="A155" s="12"/>
      <x:c r="B155" s="12"/>
      <x:c r="C155" s="12"/>
      <x:c r="D155" s="12"/>
      <x:c r="E155" s="12"/>
      <x:c r="F155" s="12"/>
      <x:c r="G155" s="12"/>
      <x:c r="H155" s="12"/>
      <x:c r="I155" s="12"/>
      <x:c r="J155" s="12"/>
      <x:c r="K155" s="12"/>
    </x:row>
    <x:row r="156">
      <x:c r="A156" s="12"/>
      <x:c r="B156" s="12"/>
      <x:c r="C156" s="12"/>
      <x:c r="D156" s="12"/>
      <x:c r="E156" s="12"/>
      <x:c r="F156" s="12"/>
      <x:c r="G156" s="12"/>
      <x:c r="H156" s="12"/>
      <x:c r="I156" s="12"/>
      <x:c r="J156" s="12"/>
      <x:c r="K156" s="12"/>
    </x:row>
    <x:row r="157">
      <x:c r="A157" s="12"/>
      <x:c r="B157" s="12"/>
      <x:c r="C157" s="12"/>
      <x:c r="D157" s="12"/>
      <x:c r="E157" s="12"/>
      <x:c r="F157" s="12"/>
      <x:c r="G157" s="12"/>
      <x:c r="H157" s="12"/>
      <x:c r="I157" s="12"/>
      <x:c r="J157" s="12"/>
      <x:c r="K157" s="12"/>
    </x:row>
    <x:row r="158">
      <x:c r="A158" s="12"/>
      <x:c r="B158" s="12"/>
      <x:c r="C158" s="12"/>
      <x:c r="D158" s="12"/>
      <x:c r="E158" s="12"/>
      <x:c r="F158" s="12"/>
      <x:c r="G158" s="12"/>
      <x:c r="H158" s="12"/>
      <x:c r="I158" s="12"/>
      <x:c r="J158" s="12"/>
      <x:c r="K158" s="12"/>
    </x:row>
    <x:row r="159">
      <x:c r="A159" s="12"/>
      <x:c r="B159" s="12"/>
      <x:c r="C159" s="12"/>
      <x:c r="D159" s="12"/>
      <x:c r="E159" s="12"/>
      <x:c r="F159" s="12"/>
      <x:c r="G159" s="12"/>
      <x:c r="H159" s="12"/>
      <x:c r="I159" s="12"/>
      <x:c r="J159" s="12"/>
      <x:c r="K159" s="12"/>
    </x:row>
    <x:row r="160">
      <x:c r="A160" s="12"/>
      <x:c r="B160" s="12"/>
      <x:c r="C160" s="12"/>
      <x:c r="D160" s="12"/>
      <x:c r="E160" s="12"/>
      <x:c r="F160" s="12"/>
      <x:c r="G160" s="12"/>
      <x:c r="H160" s="12"/>
      <x:c r="I160" s="12"/>
      <x:c r="J160" s="12"/>
      <x:c r="K160" s="12"/>
    </x:row>
    <x:row r="161">
      <x:c r="A161" s="12"/>
      <x:c r="B161" s="12"/>
      <x:c r="C161" s="12"/>
      <x:c r="D161" s="12"/>
      <x:c r="E161" s="12"/>
      <x:c r="F161" s="12"/>
      <x:c r="G161" s="12"/>
      <x:c r="H161" s="12"/>
      <x:c r="I161" s="12"/>
      <x:c r="J161" s="12"/>
      <x:c r="K161" s="12"/>
    </x:row>
    <x:row r="162">
      <x:c r="A162" s="12"/>
      <x:c r="B162" s="12"/>
      <x:c r="C162" s="12"/>
      <x:c r="D162" s="12"/>
      <x:c r="E162" s="12"/>
      <x:c r="F162" s="12"/>
      <x:c r="G162" s="12"/>
      <x:c r="H162" s="12"/>
      <x:c r="I162" s="12"/>
      <x:c r="J162" s="12"/>
      <x:c r="K162" s="12"/>
    </x:row>
    <x:row r="163">
      <x:c r="A163" s="12"/>
      <x:c r="B163" s="12"/>
      <x:c r="C163" s="12"/>
      <x:c r="D163" s="12"/>
      <x:c r="E163" s="12"/>
      <x:c r="F163" s="12"/>
      <x:c r="G163" s="12"/>
      <x:c r="H163" s="12"/>
      <x:c r="I163" s="12"/>
      <x:c r="J163" s="12"/>
      <x:c r="K163" s="12"/>
    </x:row>
    <x:row r="164">
      <x:c r="A164" s="12"/>
      <x:c r="B164" s="12"/>
      <x:c r="C164" s="12"/>
      <x:c r="D164" s="12"/>
      <x:c r="E164" s="12"/>
      <x:c r="F164" s="12"/>
      <x:c r="G164" s="12"/>
      <x:c r="H164" s="12"/>
      <x:c r="I164" s="12"/>
      <x:c r="J164" s="12"/>
      <x:c r="K164" s="12"/>
    </x:row>
    <x:row r="165">
      <x:c r="A165" s="12"/>
      <x:c r="B165" s="12"/>
      <x:c r="C165" s="12"/>
      <x:c r="D165" s="12"/>
      <x:c r="E165" s="12"/>
      <x:c r="F165" s="12"/>
      <x:c r="G165" s="12"/>
      <x:c r="H165" s="12"/>
      <x:c r="I165" s="12"/>
      <x:c r="J165" s="12"/>
      <x:c r="K165" s="12"/>
    </x:row>
    <x:row r="166">
      <x:c r="A166" s="12"/>
      <x:c r="B166" s="12"/>
      <x:c r="C166" s="12"/>
      <x:c r="D166" s="12"/>
      <x:c r="E166" s="12"/>
      <x:c r="F166" s="12"/>
      <x:c r="G166" s="12"/>
      <x:c r="H166" s="12"/>
      <x:c r="I166" s="12"/>
      <x:c r="J166" s="12"/>
      <x:c r="K166" s="12"/>
    </x:row>
    <x:row r="167">
      <x:c r="A167" s="12"/>
      <x:c r="B167" s="12"/>
      <x:c r="C167" s="12"/>
      <x:c r="D167" s="12"/>
      <x:c r="E167" s="12"/>
      <x:c r="F167" s="12"/>
      <x:c r="G167" s="12"/>
      <x:c r="H167" s="12"/>
      <x:c r="I167" s="12"/>
      <x:c r="J167" s="12"/>
      <x:c r="K167" s="12"/>
    </x:row>
    <x:row r="168">
      <x:c r="A168" s="12"/>
      <x:c r="B168" s="12"/>
      <x:c r="C168" s="12"/>
      <x:c r="D168" s="12"/>
      <x:c r="E168" s="12"/>
      <x:c r="F168" s="12"/>
      <x:c r="G168" s="12"/>
      <x:c r="H168" s="12"/>
      <x:c r="I168" s="12"/>
      <x:c r="J168" s="12"/>
      <x:c r="K168" s="12"/>
    </x:row>
    <x:row r="169">
      <x:c r="A169" s="12"/>
      <x:c r="B169" s="12"/>
      <x:c r="C169" s="12"/>
      <x:c r="D169" s="12"/>
      <x:c r="E169" s="12"/>
      <x:c r="F169" s="12"/>
      <x:c r="G169" s="12"/>
      <x:c r="H169" s="12"/>
      <x:c r="I169" s="12"/>
      <x:c r="J169" s="12"/>
      <x:c r="K169" s="12"/>
    </x:row>
    <x:row r="170">
      <x:c r="A170" s="12"/>
      <x:c r="B170" s="12"/>
      <x:c r="C170" s="12"/>
      <x:c r="D170" s="12"/>
      <x:c r="E170" s="12"/>
      <x:c r="F170" s="12"/>
      <x:c r="G170" s="12"/>
      <x:c r="H170" s="12"/>
      <x:c r="I170" s="12"/>
      <x:c r="J170" s="12"/>
      <x:c r="K170" s="12"/>
    </x:row>
    <x:row r="171">
      <x:c r="A171" s="12"/>
      <x:c r="B171" s="12"/>
      <x:c r="C171" s="12"/>
      <x:c r="D171" s="12"/>
      <x:c r="E171" s="12"/>
      <x:c r="F171" s="12"/>
      <x:c r="G171" s="12"/>
      <x:c r="H171" s="12"/>
      <x:c r="I171" s="12"/>
      <x:c r="J171" s="12"/>
      <x:c r="K171" s="12"/>
    </x:row>
    <x:row r="172">
      <x:c r="A172" s="12"/>
      <x:c r="B172" s="12"/>
      <x:c r="C172" s="12"/>
      <x:c r="D172" s="12"/>
      <x:c r="E172" s="12"/>
      <x:c r="F172" s="12"/>
      <x:c r="G172" s="12"/>
      <x:c r="H172" s="12"/>
      <x:c r="I172" s="12"/>
      <x:c r="J172" s="12"/>
      <x:c r="K172" s="12"/>
    </x:row>
    <x:row r="173">
      <x:c r="A173" s="12"/>
      <x:c r="B173" s="12"/>
      <x:c r="C173" s="12"/>
      <x:c r="D173" s="12"/>
      <x:c r="E173" s="12"/>
      <x:c r="F173" s="12"/>
      <x:c r="G173" s="12"/>
      <x:c r="H173" s="12"/>
      <x:c r="I173" s="12"/>
      <x:c r="J173" s="12"/>
      <x:c r="K173" s="12"/>
    </x:row>
    <x:row r="174">
      <x:c r="A174" s="12"/>
      <x:c r="B174" s="12"/>
      <x:c r="C174" s="12"/>
      <x:c r="D174" s="12"/>
      <x:c r="E174" s="12"/>
      <x:c r="F174" s="12"/>
      <x:c r="G174" s="12"/>
      <x:c r="H174" s="12"/>
      <x:c r="I174" s="12"/>
      <x:c r="J174" s="12"/>
      <x:c r="K174" s="12"/>
    </x:row>
    <x:row r="175">
      <x:c r="A175" s="12"/>
      <x:c r="B175" s="12"/>
      <x:c r="C175" s="12"/>
      <x:c r="D175" s="12"/>
      <x:c r="E175" s="12"/>
      <x:c r="F175" s="12"/>
      <x:c r="G175" s="12"/>
      <x:c r="H175" s="12"/>
      <x:c r="I175" s="12"/>
      <x:c r="J175" s="12"/>
      <x:c r="K175" s="12"/>
    </x:row>
    <x:row r="176">
      <x:c r="A176" s="12"/>
      <x:c r="B176" s="12"/>
      <x:c r="C176" s="12"/>
      <x:c r="D176" s="12"/>
      <x:c r="E176" s="12"/>
      <x:c r="F176" s="12"/>
      <x:c r="G176" s="12"/>
      <x:c r="H176" s="12"/>
      <x:c r="I176" s="12"/>
      <x:c r="J176" s="12"/>
      <x:c r="K176" s="12"/>
    </x:row>
    <x:row r="177">
      <x:c r="A177" s="12"/>
      <x:c r="B177" s="12"/>
      <x:c r="C177" s="12"/>
      <x:c r="D177" s="12"/>
      <x:c r="E177" s="12"/>
      <x:c r="F177" s="12"/>
      <x:c r="G177" s="12"/>
      <x:c r="H177" s="12"/>
      <x:c r="I177" s="12"/>
      <x:c r="J177" s="12"/>
      <x:c r="K177" s="12"/>
    </x:row>
    <x:row r="178">
      <x:c r="A178" s="12"/>
      <x:c r="B178" s="12"/>
      <x:c r="C178" s="12"/>
      <x:c r="D178" s="12"/>
      <x:c r="E178" s="12"/>
      <x:c r="F178" s="12"/>
      <x:c r="G178" s="12"/>
      <x:c r="H178" s="12"/>
      <x:c r="I178" s="12"/>
      <x:c r="J178" s="12"/>
      <x:c r="K178" s="12"/>
    </x:row>
    <x:row r="179">
      <x:c r="A179" s="12"/>
      <x:c r="B179" s="12"/>
      <x:c r="C179" s="12"/>
      <x:c r="D179" s="12"/>
      <x:c r="E179" s="12"/>
      <x:c r="F179" s="12"/>
      <x:c r="G179" s="12"/>
      <x:c r="H179" s="12"/>
      <x:c r="I179" s="12"/>
      <x:c r="J179" s="12"/>
      <x:c r="K179" s="12"/>
    </x:row>
    <x:row r="180">
      <x:c r="A180" s="12"/>
      <x:c r="B180" s="12"/>
      <x:c r="C180" s="12"/>
      <x:c r="D180" s="12"/>
      <x:c r="E180" s="12"/>
      <x:c r="F180" s="12"/>
      <x:c r="G180" s="12"/>
      <x:c r="H180" s="12"/>
      <x:c r="I180" s="12"/>
      <x:c r="J180" s="12"/>
      <x:c r="K180" s="12"/>
    </x:row>
    <x:row r="181">
      <x:c r="A181" s="12"/>
      <x:c r="B181" s="12"/>
      <x:c r="C181" s="12"/>
      <x:c r="D181" s="12"/>
      <x:c r="E181" s="12"/>
      <x:c r="F181" s="12"/>
      <x:c r="G181" s="12"/>
      <x:c r="H181" s="12"/>
      <x:c r="I181" s="12"/>
      <x:c r="J181" s="12"/>
      <x:c r="K181" s="12"/>
    </x:row>
    <x:row r="182">
      <x:c r="A182" s="12"/>
      <x:c r="B182" s="12"/>
      <x:c r="C182" s="12"/>
      <x:c r="D182" s="12"/>
      <x:c r="E182" s="12"/>
      <x:c r="F182" s="12"/>
      <x:c r="G182" s="12"/>
      <x:c r="H182" s="12"/>
      <x:c r="I182" s="12"/>
      <x:c r="J182" s="12"/>
      <x:c r="K182" s="12"/>
    </x:row>
    <x:row r="183">
      <x:c r="A183" s="12"/>
      <x:c r="B183" s="12"/>
      <x:c r="C183" s="12"/>
      <x:c r="D183" s="12"/>
      <x:c r="E183" s="12"/>
      <x:c r="F183" s="12"/>
      <x:c r="G183" s="12"/>
      <x:c r="H183" s="12"/>
      <x:c r="I183" s="12"/>
      <x:c r="J183" s="12"/>
      <x:c r="K183" s="12"/>
    </x:row>
    <x:row r="184">
      <x:c r="A184" s="12"/>
      <x:c r="B184" s="12"/>
      <x:c r="C184" s="12"/>
      <x:c r="D184" s="12"/>
      <x:c r="E184" s="12"/>
      <x:c r="F184" s="12"/>
      <x:c r="G184" s="12"/>
      <x:c r="H184" s="12"/>
      <x:c r="I184" s="12"/>
      <x:c r="J184" s="12"/>
      <x:c r="K184" s="12"/>
    </x:row>
    <x:row r="185">
      <x:c r="A185" s="12"/>
      <x:c r="B185" s="12"/>
      <x:c r="C185" s="12"/>
      <x:c r="D185" s="12"/>
      <x:c r="E185" s="12"/>
      <x:c r="F185" s="12"/>
      <x:c r="G185" s="12"/>
      <x:c r="H185" s="12"/>
      <x:c r="I185" s="12"/>
      <x:c r="J185" s="12"/>
      <x:c r="K185" s="12"/>
    </x:row>
    <x:row r="186">
      <x:c r="A186" s="12"/>
      <x:c r="B186" s="12"/>
      <x:c r="C186" s="12"/>
      <x:c r="D186" s="12"/>
      <x:c r="E186" s="12"/>
      <x:c r="F186" s="12"/>
      <x:c r="G186" s="12"/>
      <x:c r="H186" s="12"/>
      <x:c r="I186" s="12"/>
      <x:c r="J186" s="12"/>
      <x:c r="K186" s="12"/>
    </x:row>
    <x:row r="187">
      <x:c r="A187" s="12"/>
      <x:c r="B187" s="12"/>
      <x:c r="C187" s="12"/>
      <x:c r="D187" s="12"/>
      <x:c r="E187" s="12"/>
      <x:c r="F187" s="12"/>
      <x:c r="G187" s="12"/>
      <x:c r="H187" s="12"/>
      <x:c r="I187" s="12"/>
      <x:c r="J187" s="12"/>
      <x:c r="K187" s="12"/>
    </x:row>
    <x:row r="188">
      <x:c r="A188" s="12"/>
      <x:c r="B188" s="12"/>
      <x:c r="C188" s="12"/>
      <x:c r="D188" s="12"/>
      <x:c r="E188" s="12"/>
      <x:c r="F188" s="12"/>
      <x:c r="G188" s="12"/>
      <x:c r="H188" s="12"/>
      <x:c r="I188" s="12"/>
      <x:c r="J188" s="12"/>
      <x:c r="K188" s="12"/>
    </x:row>
    <x:row r="189">
      <x:c r="A189" s="12"/>
      <x:c r="B189" s="12"/>
      <x:c r="C189" s="12"/>
      <x:c r="D189" s="12"/>
      <x:c r="E189" s="12"/>
      <x:c r="F189" s="12"/>
      <x:c r="G189" s="12"/>
      <x:c r="H189" s="12"/>
      <x:c r="I189" s="12"/>
      <x:c r="J189" s="12"/>
      <x:c r="K189" s="12"/>
    </x:row>
    <x:row r="190">
      <x:c r="A190" s="12"/>
      <x:c r="B190" s="12"/>
      <x:c r="C190" s="12"/>
      <x:c r="D190" s="12"/>
      <x:c r="E190" s="12"/>
      <x:c r="F190" s="12"/>
      <x:c r="G190" s="12"/>
      <x:c r="H190" s="12"/>
      <x:c r="I190" s="12"/>
      <x:c r="J190" s="12"/>
      <x:c r="K190" s="12"/>
    </x:row>
    <x:row r="191">
      <x:c r="A191" s="12"/>
      <x:c r="B191" s="12"/>
      <x:c r="C191" s="12"/>
      <x:c r="D191" s="12"/>
      <x:c r="E191" s="12"/>
      <x:c r="F191" s="12"/>
      <x:c r="G191" s="12"/>
      <x:c r="H191" s="12"/>
      <x:c r="I191" s="12"/>
      <x:c r="J191" s="12"/>
      <x:c r="K191" s="12"/>
    </x:row>
    <x:row r="192">
      <x:c r="A192" s="12"/>
      <x:c r="B192" s="12"/>
      <x:c r="C192" s="12"/>
      <x:c r="D192" s="12"/>
      <x:c r="E192" s="12"/>
      <x:c r="F192" s="12"/>
      <x:c r="G192" s="12"/>
      <x:c r="H192" s="12"/>
      <x:c r="I192" s="12"/>
      <x:c r="J192" s="12"/>
      <x:c r="K192" s="12"/>
    </x:row>
    <x:row r="193">
      <x:c r="A193" s="12"/>
      <x:c r="B193" s="12"/>
      <x:c r="C193" s="12"/>
      <x:c r="D193" s="12"/>
      <x:c r="E193" s="12"/>
      <x:c r="F193" s="12"/>
      <x:c r="G193" s="12"/>
      <x:c r="H193" s="12"/>
      <x:c r="I193" s="12"/>
      <x:c r="J193" s="12"/>
      <x:c r="K193" s="12"/>
    </x:row>
    <x:row r="194">
      <x:c r="A194" s="12"/>
      <x:c r="B194" s="12"/>
      <x:c r="C194" s="12"/>
      <x:c r="D194" s="12"/>
      <x:c r="E194" s="12"/>
      <x:c r="F194" s="12"/>
      <x:c r="G194" s="12"/>
      <x:c r="H194" s="12"/>
      <x:c r="I194" s="12"/>
      <x:c r="J194" s="12"/>
      <x:c r="K194" s="12"/>
    </x:row>
    <x:row r="195">
      <x:c r="A195" s="12"/>
      <x:c r="B195" s="12"/>
      <x:c r="C195" s="12"/>
      <x:c r="D195" s="12"/>
      <x:c r="E195" s="12"/>
      <x:c r="F195" s="12"/>
      <x:c r="G195" s="12"/>
      <x:c r="H195" s="12"/>
      <x:c r="I195" s="12"/>
      <x:c r="J195" s="12"/>
      <x:c r="K195" s="12"/>
    </x:row>
    <x:row r="196">
      <x:c r="A196" s="12"/>
      <x:c r="B196" s="12"/>
      <x:c r="C196" s="12"/>
      <x:c r="D196" s="12"/>
      <x:c r="E196" s="12"/>
      <x:c r="F196" s="12"/>
      <x:c r="G196" s="12"/>
      <x:c r="H196" s="12"/>
      <x:c r="I196" s="12"/>
      <x:c r="J196" s="12"/>
      <x:c r="K196" s="12"/>
    </x:row>
    <x:row r="197">
      <x:c r="A197" s="12"/>
      <x:c r="B197" s="12"/>
      <x:c r="C197" s="12"/>
      <x:c r="D197" s="12"/>
      <x:c r="E197" s="12"/>
      <x:c r="F197" s="12"/>
      <x:c r="G197" s="12"/>
      <x:c r="H197" s="12"/>
      <x:c r="I197" s="12"/>
      <x:c r="J197" s="12"/>
      <x:c r="K197" s="12"/>
    </x:row>
    <x:row r="198">
      <x:c r="A198" s="12"/>
      <x:c r="B198" s="12"/>
      <x:c r="C198" s="12"/>
      <x:c r="D198" s="12"/>
      <x:c r="E198" s="12"/>
      <x:c r="F198" s="12"/>
      <x:c r="G198" s="12"/>
      <x:c r="H198" s="12"/>
      <x:c r="I198" s="12"/>
      <x:c r="J198" s="12"/>
      <x:c r="K198" s="12"/>
    </x:row>
    <x:row r="199">
      <x:c r="A199" s="12"/>
      <x:c r="B199" s="12"/>
      <x:c r="C199" s="12"/>
      <x:c r="D199" s="12"/>
      <x:c r="E199" s="12"/>
      <x:c r="F199" s="12"/>
      <x:c r="G199" s="12"/>
      <x:c r="H199" s="12"/>
      <x:c r="I199" s="12"/>
      <x:c r="J199" s="12"/>
      <x:c r="K199" s="12"/>
    </x:row>
    <x:row r="200">
      <x:c r="A200" s="12"/>
      <x:c r="B200" s="12"/>
      <x:c r="C200" s="12"/>
      <x:c r="D200" s="12"/>
      <x:c r="E200" s="12"/>
      <x:c r="F200" s="12"/>
      <x:c r="G200" s="12"/>
      <x:c r="H200" s="12"/>
      <x:c r="I200" s="12"/>
      <x:c r="J200" s="12"/>
      <x:c r="K200" s="12"/>
    </x:row>
  </x:sheetData>
  <x:mergeCells>
    <x:mergeCell ref="A1:K1"/>
  </x:mergeCells>
  <x:conditionalFormatting sqref="H4:H20">
    <x:cfRule type="expression" dxfId="8" priority="1">
      <x:formula>H4="Red"</x:formula>
    </x:cfRule>
  </x:conditionalFormatting>
  <x:dataValidations count="1">
    <x:dataValidation type="list" sqref="H4:H50">
      <x:formula1>"Low,Medium,High"</x:formula1>
    </x:dataValidation>
  </x:dataValidations>
  <x:pageMargins left="0.7" right="0.7" top="0.75" bottom="0.75" header="0.3" footer="0.3"/>
  <x:tableParts count="1">
    <x:tablePart xmlns:r="http://schemas.openxmlformats.org/officeDocument/2006/relationships" r:id="Re3ad708967514ced"/>
  </x:tableParts>
</x:worksheet>
</file>

<file path=xl/worksheets/sheet22.xml><?xml version="1.0" encoding="utf-8"?>
<x:worksheet xmlns:x="http://schemas.openxmlformats.org/spreadsheetml/2006/main">
  <x:sheetFormatPr defaultRowHeight="15"/>
  <x:cols>
    <x:col min="1" max="1" width="35.939998626708984" hidden="0" customWidth="1"/>
    <x:col min="2" max="2" width="49.529998779296875" hidden="0" customWidth="1"/>
    <x:col min="3" max="3" width="17.770000457763672" hidden="0" customWidth="1"/>
    <x:col min="4" max="4" width="57.7400016784668" hidden="0" customWidth="1"/>
  </x:cols>
  <x:sheetData>
    <x:row r="1" ht="28" customHeight="1">
      <x:c r="A1" s="70" t="str">
        <x:v>Excel + Streamlit Integration Guide</x:v>
      </x:c>
      <x:c r="B1" s="12"/>
      <x:c r="C1" s="12"/>
      <x:c r="D1" s="12"/>
    </x:row>
    <x:row r="2">
      <x:c r="A2" s="12"/>
      <x:c r="B2" s="12"/>
      <x:c r="C2" s="12"/>
      <x:c r="D2" s="12"/>
    </x:row>
    <x:row r="3">
      <x:c r="A3" s="69" t="str">
        <x:v>Component</x:v>
      </x:c>
      <x:c r="B3" s="69" t="str">
        <x:v>Role</x:v>
      </x:c>
      <x:c r="C3" s="69" t="str">
        <x:v>Owner</x:v>
      </x:c>
      <x:c r="D3" s="69" t="str">
        <x:v>How to Use</x:v>
      </x:c>
    </x:row>
    <x:row r="4">
      <x:c r="A4" s="12" t="str">
        <x:v>Excel Master Tracker</x:v>
      </x:c>
      <x:c r="B4" s="12" t="str">
        <x:v>Single source of truth for operations and internal coordination</x:v>
      </x:c>
      <x:c r="C4" s="12" t="str">
        <x:v>Public Affairs</x:v>
      </x:c>
      <x:c r="D4" s="12" t="str">
        <x:v>Maintain official trackers, manual updates and audit trail</x:v>
      </x:c>
    </x:row>
    <x:row r="5">
      <x:c r="A5" s="12" t="str">
        <x:v>CSV Data Files</x:v>
      </x:c>
      <x:c r="B5" s="12" t="str">
        <x:v>Bridge between Excel and Streamlit</x:v>
      </x:c>
      <x:c r="C5" s="12" t="str">
        <x:v>Public Affairs / Analyst</x:v>
      </x:c>
      <x:c r="D5" s="12" t="str">
        <x:v>Export selected sheets to CSV or update /data files in GitHub</x:v>
      </x:c>
    </x:row>
    <x:row r="6">
      <x:c r="A6" s="12" t="str">
        <x:v>Streamlit App</x:v>
      </x:c>
      <x:c r="B6" s="12" t="str">
        <x:v>Management visibility and interview demo</x:v>
      </x:c>
      <x:c r="C6" s="12" t="str">
        <x:v>Public Affairs</x:v>
      </x:c>
      <x:c r="D6" s="12" t="str">
        <x:v>Read CSV defaults or upload Excel master; show dashboards and reports</x:v>
      </x:c>
    </x:row>
    <x:row r="7">
      <x:c r="A7" s="12" t="str">
        <x:v>GitHub Repository</x:v>
      </x:c>
      <x:c r="B7" s="12" t="str">
        <x:v>Version control and deployment source</x:v>
      </x:c>
      <x:c r="C7" s="12" t="str">
        <x:v>Owner</x:v>
      </x:c>
      <x:c r="D7" s="12" t="str">
        <x:v>Commit app.py, requirements.txt and data files</x:v>
      </x:c>
    </x:row>
    <x:row r="8">
      <x:c r="A8" s="12" t="str">
        <x:v>Streamlit Cloud</x:v>
      </x:c>
      <x:c r="B8" s="12" t="str">
        <x:v>Web deployment for demo</x:v>
      </x:c>
      <x:c r="C8" s="12" t="str">
        <x:v>Owner</x:v>
      </x:c>
      <x:c r="D8" s="12" t="str">
        <x:v>Set app.py as main file; replace demo data when needed</x:v>
      </x:c>
    </x:row>
    <x:row r="9">
      <x:c r="A9" s="12"/>
      <x:c r="B9" s="12"/>
      <x:c r="C9" s="12"/>
      <x:c r="D9" s="12"/>
    </x:row>
    <x:row r="10">
      <x:c r="A10" s="12"/>
      <x:c r="B10" s="12"/>
      <x:c r="C10" s="12"/>
      <x:c r="D10" s="12"/>
    </x:row>
    <x:row r="11">
      <x:c r="A11" s="12"/>
      <x:c r="B11" s="12"/>
      <x:c r="C11" s="12"/>
      <x:c r="D11" s="12"/>
    </x:row>
    <x:row r="12">
      <x:c r="A12" s="12"/>
      <x:c r="B12" s="12"/>
      <x:c r="C12" s="12"/>
      <x:c r="D12" s="12"/>
    </x:row>
    <x:row r="13">
      <x:c r="A13" s="12"/>
      <x:c r="B13" s="12"/>
      <x:c r="C13" s="12"/>
      <x:c r="D13" s="12"/>
    </x:row>
    <x:row r="14">
      <x:c r="A14" s="12"/>
      <x:c r="B14" s="12"/>
      <x:c r="C14" s="12"/>
      <x:c r="D14" s="12"/>
    </x:row>
    <x:row r="15">
      <x:c r="A15" s="12"/>
      <x:c r="B15" s="12"/>
      <x:c r="C15" s="12"/>
      <x:c r="D15" s="12"/>
    </x:row>
    <x:row r="16">
      <x:c r="A16" s="12"/>
      <x:c r="B16" s="12"/>
      <x:c r="C16" s="12"/>
      <x:c r="D16" s="12"/>
    </x:row>
    <x:row r="17">
      <x:c r="A17" s="12"/>
      <x:c r="B17" s="12"/>
      <x:c r="C17" s="12"/>
      <x:c r="D17" s="12"/>
    </x:row>
    <x:row r="18">
      <x:c r="A18" s="12"/>
      <x:c r="B18" s="12"/>
      <x:c r="C18" s="12"/>
      <x:c r="D18" s="12"/>
    </x:row>
    <x:row r="19">
      <x:c r="A19" s="12"/>
      <x:c r="B19" s="12"/>
      <x:c r="C19" s="12"/>
      <x:c r="D19" s="12"/>
    </x:row>
    <x:row r="20">
      <x:c r="A20" s="12"/>
      <x:c r="B20" s="12"/>
      <x:c r="C20" s="12"/>
      <x:c r="D20" s="12"/>
    </x:row>
    <x:row r="21">
      <x:c r="A21" s="12"/>
      <x:c r="B21" s="12"/>
      <x:c r="C21" s="12"/>
      <x:c r="D21" s="12"/>
    </x:row>
    <x:row r="22">
      <x:c r="A22" s="12"/>
      <x:c r="B22" s="12"/>
      <x:c r="C22" s="12"/>
      <x:c r="D22" s="12"/>
    </x:row>
    <x:row r="23">
      <x:c r="A23" s="12"/>
      <x:c r="B23" s="12"/>
      <x:c r="C23" s="12"/>
      <x:c r="D23" s="12"/>
    </x:row>
    <x:row r="24">
      <x:c r="A24" s="12"/>
      <x:c r="B24" s="12"/>
      <x:c r="C24" s="12"/>
      <x:c r="D24" s="12"/>
    </x:row>
    <x:row r="25">
      <x:c r="A25" s="12"/>
      <x:c r="B25" s="12"/>
      <x:c r="C25" s="12"/>
      <x:c r="D25" s="12"/>
    </x:row>
    <x:row r="26">
      <x:c r="A26" s="12"/>
      <x:c r="B26" s="12"/>
      <x:c r="C26" s="12"/>
      <x:c r="D26" s="12"/>
    </x:row>
    <x:row r="27">
      <x:c r="A27" s="12"/>
      <x:c r="B27" s="12"/>
      <x:c r="C27" s="12"/>
      <x:c r="D27" s="12"/>
    </x:row>
    <x:row r="28">
      <x:c r="A28" s="12"/>
      <x:c r="B28" s="12"/>
      <x:c r="C28" s="12"/>
      <x:c r="D28" s="12"/>
    </x:row>
    <x:row r="29">
      <x:c r="A29" s="12"/>
      <x:c r="B29" s="12"/>
      <x:c r="C29" s="12"/>
      <x:c r="D29" s="12"/>
    </x:row>
    <x:row r="30">
      <x:c r="A30" s="12"/>
      <x:c r="B30" s="12"/>
      <x:c r="C30" s="12"/>
      <x:c r="D30" s="12"/>
    </x:row>
    <x:row r="31">
      <x:c r="A31" s="12"/>
      <x:c r="B31" s="12"/>
      <x:c r="C31" s="12"/>
      <x:c r="D31" s="12"/>
    </x:row>
    <x:row r="32">
      <x:c r="A32" s="12"/>
      <x:c r="B32" s="12"/>
      <x:c r="C32" s="12"/>
      <x:c r="D32" s="12"/>
    </x:row>
    <x:row r="33">
      <x:c r="A33" s="12"/>
      <x:c r="B33" s="12"/>
      <x:c r="C33" s="12"/>
      <x:c r="D33" s="12"/>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row r="41">
      <x:c r="A41" s="12"/>
      <x:c r="B41" s="12"/>
      <x:c r="C41" s="12"/>
      <x:c r="D41" s="12"/>
    </x:row>
    <x:row r="42">
      <x:c r="A42" s="12"/>
      <x:c r="B42" s="12"/>
      <x:c r="C42" s="12"/>
      <x:c r="D42" s="12"/>
    </x:row>
    <x:row r="43">
      <x:c r="A43" s="12"/>
      <x:c r="B43" s="12"/>
      <x:c r="C43" s="12"/>
      <x:c r="D43" s="12"/>
    </x:row>
    <x:row r="44">
      <x:c r="A44" s="12"/>
      <x:c r="B44" s="12"/>
      <x:c r="C44" s="12"/>
      <x:c r="D44" s="12"/>
    </x:row>
    <x:row r="45">
      <x:c r="A45" s="12"/>
      <x:c r="B45" s="12"/>
      <x:c r="C45" s="12"/>
      <x:c r="D45" s="12"/>
    </x:row>
    <x:row r="46">
      <x:c r="A46" s="12"/>
      <x:c r="B46" s="12"/>
      <x:c r="C46" s="12"/>
      <x:c r="D46" s="12"/>
    </x:row>
    <x:row r="47">
      <x:c r="A47" s="12"/>
      <x:c r="B47" s="12"/>
      <x:c r="C47" s="12"/>
      <x:c r="D47" s="12"/>
    </x:row>
    <x:row r="48">
      <x:c r="A48" s="12"/>
      <x:c r="B48" s="12"/>
      <x:c r="C48" s="12"/>
      <x:c r="D48" s="12"/>
    </x:row>
    <x:row r="49">
      <x:c r="A49" s="12"/>
      <x:c r="B49" s="12"/>
      <x:c r="C49" s="12"/>
      <x:c r="D49" s="12"/>
    </x:row>
    <x:row r="50">
      <x:c r="A50" s="12"/>
      <x:c r="B50" s="12"/>
      <x:c r="C50" s="12"/>
      <x:c r="D50" s="12"/>
    </x:row>
    <x:row r="51">
      <x:c r="A51" s="12"/>
      <x:c r="B51" s="12"/>
      <x:c r="C51" s="12"/>
      <x:c r="D51" s="12"/>
    </x:row>
    <x:row r="52">
      <x:c r="A52" s="12"/>
      <x:c r="B52" s="12"/>
      <x:c r="C52" s="12"/>
      <x:c r="D52" s="12"/>
    </x:row>
    <x:row r="53">
      <x:c r="A53" s="12"/>
      <x:c r="B53" s="12"/>
      <x:c r="C53" s="12"/>
      <x:c r="D53" s="12"/>
    </x:row>
    <x:row r="54">
      <x:c r="A54" s="12"/>
      <x:c r="B54" s="12"/>
      <x:c r="C54" s="12"/>
      <x:c r="D54" s="12"/>
    </x:row>
    <x:row r="55">
      <x:c r="A55" s="12"/>
      <x:c r="B55" s="12"/>
      <x:c r="C55" s="12"/>
      <x:c r="D55" s="12"/>
    </x:row>
    <x:row r="56">
      <x:c r="A56" s="12"/>
      <x:c r="B56" s="12"/>
      <x:c r="C56" s="12"/>
      <x:c r="D56" s="12"/>
    </x:row>
    <x:row r="57">
      <x:c r="A57" s="12"/>
      <x:c r="B57" s="12"/>
      <x:c r="C57" s="12"/>
      <x:c r="D57" s="12"/>
    </x:row>
    <x:row r="58">
      <x:c r="A58" s="12"/>
      <x:c r="B58" s="12"/>
      <x:c r="C58" s="12"/>
      <x:c r="D58" s="12"/>
    </x:row>
    <x:row r="59">
      <x:c r="A59" s="12"/>
      <x:c r="B59" s="12"/>
      <x:c r="C59" s="12"/>
      <x:c r="D59" s="12"/>
    </x:row>
    <x:row r="60">
      <x:c r="A60" s="12"/>
      <x:c r="B60" s="12"/>
      <x:c r="C60" s="12"/>
      <x:c r="D60" s="12"/>
    </x:row>
    <x:row r="61">
      <x:c r="A61" s="12"/>
      <x:c r="B61" s="12"/>
      <x:c r="C61" s="12"/>
      <x:c r="D61" s="12"/>
    </x:row>
    <x:row r="62">
      <x:c r="A62" s="12"/>
      <x:c r="B62" s="12"/>
      <x:c r="C62" s="12"/>
      <x:c r="D62" s="12"/>
    </x:row>
    <x:row r="63">
      <x:c r="A63" s="12"/>
      <x:c r="B63" s="12"/>
      <x:c r="C63" s="12"/>
      <x:c r="D63" s="12"/>
    </x:row>
    <x:row r="64">
      <x:c r="A64" s="12"/>
      <x:c r="B64" s="12"/>
      <x:c r="C64" s="12"/>
      <x:c r="D64" s="12"/>
    </x:row>
    <x:row r="65">
      <x:c r="A65" s="12"/>
      <x:c r="B65" s="12"/>
      <x:c r="C65" s="12"/>
      <x:c r="D65" s="12"/>
    </x:row>
    <x:row r="66">
      <x:c r="A66" s="12"/>
      <x:c r="B66" s="12"/>
      <x:c r="C66" s="12"/>
      <x:c r="D66" s="12"/>
    </x:row>
    <x:row r="67">
      <x:c r="A67" s="12"/>
      <x:c r="B67" s="12"/>
      <x:c r="C67" s="12"/>
      <x:c r="D67" s="12"/>
    </x:row>
    <x:row r="68">
      <x:c r="A68" s="12"/>
      <x:c r="B68" s="12"/>
      <x:c r="C68" s="12"/>
      <x:c r="D68" s="12"/>
    </x:row>
    <x:row r="69">
      <x:c r="A69" s="12"/>
      <x:c r="B69" s="12"/>
      <x:c r="C69" s="12"/>
      <x:c r="D69" s="12"/>
    </x:row>
    <x:row r="70">
      <x:c r="A70" s="12"/>
      <x:c r="B70" s="12"/>
      <x:c r="C70" s="12"/>
      <x:c r="D70" s="12"/>
    </x:row>
    <x:row r="71">
      <x:c r="A71" s="12"/>
      <x:c r="B71" s="12"/>
      <x:c r="C71" s="12"/>
      <x:c r="D71" s="12"/>
    </x:row>
    <x:row r="72">
      <x:c r="A72" s="12"/>
      <x:c r="B72" s="12"/>
      <x:c r="C72" s="12"/>
      <x:c r="D72" s="12"/>
    </x:row>
    <x:row r="73">
      <x:c r="A73" s="12"/>
      <x:c r="B73" s="12"/>
      <x:c r="C73" s="12"/>
      <x:c r="D73" s="12"/>
    </x:row>
    <x:row r="74">
      <x:c r="A74" s="12"/>
      <x:c r="B74" s="12"/>
      <x:c r="C74" s="12"/>
      <x:c r="D74" s="12"/>
    </x:row>
    <x:row r="75">
      <x:c r="A75" s="12"/>
      <x:c r="B75" s="12"/>
      <x:c r="C75" s="12"/>
      <x:c r="D75" s="12"/>
    </x:row>
    <x:row r="76">
      <x:c r="A76" s="12"/>
      <x:c r="B76" s="12"/>
      <x:c r="C76" s="12"/>
      <x:c r="D76" s="12"/>
    </x:row>
    <x:row r="77">
      <x:c r="A77" s="12"/>
      <x:c r="B77" s="12"/>
      <x:c r="C77" s="12"/>
      <x:c r="D77" s="12"/>
    </x:row>
    <x:row r="78">
      <x:c r="A78" s="12"/>
      <x:c r="B78" s="12"/>
      <x:c r="C78" s="12"/>
      <x:c r="D78" s="12"/>
    </x:row>
    <x:row r="79">
      <x:c r="A79" s="12"/>
      <x:c r="B79" s="12"/>
      <x:c r="C79" s="12"/>
      <x:c r="D79" s="12"/>
    </x:row>
    <x:row r="80">
      <x:c r="A80" s="12"/>
      <x:c r="B80" s="12"/>
      <x:c r="C80" s="12"/>
      <x:c r="D80" s="12"/>
    </x:row>
    <x:row r="81">
      <x:c r="A81" s="12"/>
      <x:c r="B81" s="12"/>
      <x:c r="C81" s="12"/>
      <x:c r="D81" s="12"/>
    </x:row>
    <x:row r="82">
      <x:c r="A82" s="12"/>
      <x:c r="B82" s="12"/>
      <x:c r="C82" s="12"/>
      <x:c r="D82" s="12"/>
    </x:row>
    <x:row r="83">
      <x:c r="A83" s="12"/>
      <x:c r="B83" s="12"/>
      <x:c r="C83" s="12"/>
      <x:c r="D83" s="12"/>
    </x:row>
    <x:row r="84">
      <x:c r="A84" s="12"/>
      <x:c r="B84" s="12"/>
      <x:c r="C84" s="12"/>
      <x:c r="D84" s="12"/>
    </x:row>
    <x:row r="85">
      <x:c r="A85" s="12"/>
      <x:c r="B85" s="12"/>
      <x:c r="C85" s="12"/>
      <x:c r="D85" s="12"/>
    </x:row>
    <x:row r="86">
      <x:c r="A86" s="12"/>
      <x:c r="B86" s="12"/>
      <x:c r="C86" s="12"/>
      <x:c r="D86" s="12"/>
    </x:row>
    <x:row r="87">
      <x:c r="A87" s="12"/>
      <x:c r="B87" s="12"/>
      <x:c r="C87" s="12"/>
      <x:c r="D87" s="12"/>
    </x:row>
    <x:row r="88">
      <x:c r="A88" s="12"/>
      <x:c r="B88" s="12"/>
      <x:c r="C88" s="12"/>
      <x:c r="D88" s="12"/>
    </x:row>
    <x:row r="89">
      <x:c r="A89" s="12"/>
      <x:c r="B89" s="12"/>
      <x:c r="C89" s="12"/>
      <x:c r="D89" s="12"/>
    </x:row>
    <x:row r="90">
      <x:c r="A90" s="12"/>
      <x:c r="B90" s="12"/>
      <x:c r="C90" s="12"/>
      <x:c r="D90" s="12"/>
    </x:row>
    <x:row r="91">
      <x:c r="A91" s="12"/>
      <x:c r="B91" s="12"/>
      <x:c r="C91" s="12"/>
      <x:c r="D91" s="12"/>
    </x:row>
    <x:row r="92">
      <x:c r="A92" s="12"/>
      <x:c r="B92" s="12"/>
      <x:c r="C92" s="12"/>
      <x:c r="D92" s="12"/>
    </x:row>
    <x:row r="93">
      <x:c r="A93" s="12"/>
      <x:c r="B93" s="12"/>
      <x:c r="C93" s="12"/>
      <x:c r="D93" s="12"/>
    </x:row>
    <x:row r="94">
      <x:c r="A94" s="12"/>
      <x:c r="B94" s="12"/>
      <x:c r="C94" s="12"/>
      <x:c r="D94" s="12"/>
    </x:row>
    <x:row r="95">
      <x:c r="A95" s="12"/>
      <x:c r="B95" s="12"/>
      <x:c r="C95" s="12"/>
      <x:c r="D95" s="12"/>
    </x:row>
    <x:row r="96">
      <x:c r="A96" s="12"/>
      <x:c r="B96" s="12"/>
      <x:c r="C96" s="12"/>
      <x:c r="D96" s="12"/>
    </x:row>
    <x:row r="97">
      <x:c r="A97" s="12"/>
      <x:c r="B97" s="12"/>
      <x:c r="C97" s="12"/>
      <x:c r="D97" s="12"/>
    </x:row>
    <x:row r="98">
      <x:c r="A98" s="12"/>
      <x:c r="B98" s="12"/>
      <x:c r="C98" s="12"/>
      <x:c r="D98" s="12"/>
    </x:row>
    <x:row r="99">
      <x:c r="A99" s="12"/>
      <x:c r="B99" s="12"/>
      <x:c r="C99" s="12"/>
      <x:c r="D99" s="12"/>
    </x:row>
    <x:row r="100">
      <x:c r="A100" s="12"/>
      <x:c r="B100" s="12"/>
      <x:c r="C100" s="12"/>
      <x:c r="D100" s="12"/>
    </x:row>
    <x:row r="101">
      <x:c r="A101" s="12"/>
      <x:c r="B101" s="12"/>
      <x:c r="C101" s="12"/>
      <x:c r="D101" s="12"/>
    </x:row>
    <x:row r="102">
      <x:c r="A102" s="12"/>
      <x:c r="B102" s="12"/>
      <x:c r="C102" s="12"/>
      <x:c r="D102" s="12"/>
    </x:row>
    <x:row r="103">
      <x:c r="A103" s="12"/>
      <x:c r="B103" s="12"/>
      <x:c r="C103" s="12"/>
      <x:c r="D103" s="12"/>
    </x:row>
    <x:row r="104">
      <x:c r="A104" s="12"/>
      <x:c r="B104" s="12"/>
      <x:c r="C104" s="12"/>
      <x:c r="D104" s="12"/>
    </x:row>
    <x:row r="105">
      <x:c r="A105" s="12"/>
      <x:c r="B105" s="12"/>
      <x:c r="C105" s="12"/>
      <x:c r="D105" s="12"/>
    </x:row>
    <x:row r="106">
      <x:c r="A106" s="12"/>
      <x:c r="B106" s="12"/>
      <x:c r="C106" s="12"/>
      <x:c r="D106" s="12"/>
    </x:row>
    <x:row r="107">
      <x:c r="A107" s="12"/>
      <x:c r="B107" s="12"/>
      <x:c r="C107" s="12"/>
      <x:c r="D107" s="12"/>
    </x:row>
    <x:row r="108">
      <x:c r="A108" s="12"/>
      <x:c r="B108" s="12"/>
      <x:c r="C108" s="12"/>
      <x:c r="D108" s="12"/>
    </x:row>
    <x:row r="109">
      <x:c r="A109" s="12"/>
      <x:c r="B109" s="12"/>
      <x:c r="C109" s="12"/>
      <x:c r="D109" s="12"/>
    </x:row>
    <x:row r="110">
      <x:c r="A110" s="12"/>
      <x:c r="B110" s="12"/>
      <x:c r="C110" s="12"/>
      <x:c r="D110" s="12"/>
    </x:row>
    <x:row r="111">
      <x:c r="A111" s="12"/>
      <x:c r="B111" s="12"/>
      <x:c r="C111" s="12"/>
      <x:c r="D111" s="12"/>
    </x:row>
    <x:row r="112">
      <x:c r="A112" s="12"/>
      <x:c r="B112" s="12"/>
      <x:c r="C112" s="12"/>
      <x:c r="D112" s="12"/>
    </x:row>
    <x:row r="113">
      <x:c r="A113" s="12"/>
      <x:c r="B113" s="12"/>
      <x:c r="C113" s="12"/>
      <x:c r="D113" s="12"/>
    </x:row>
    <x:row r="114">
      <x:c r="A114" s="12"/>
      <x:c r="B114" s="12"/>
      <x:c r="C114" s="12"/>
      <x:c r="D114" s="12"/>
    </x:row>
    <x:row r="115">
      <x:c r="A115" s="12"/>
      <x:c r="B115" s="12"/>
      <x:c r="C115" s="12"/>
      <x:c r="D115" s="12"/>
    </x:row>
    <x:row r="116">
      <x:c r="A116" s="12"/>
      <x:c r="B116" s="12"/>
      <x:c r="C116" s="12"/>
      <x:c r="D116" s="12"/>
    </x:row>
    <x:row r="117">
      <x:c r="A117" s="12"/>
      <x:c r="B117" s="12"/>
      <x:c r="C117" s="12"/>
      <x:c r="D117" s="12"/>
    </x:row>
    <x:row r="118">
      <x:c r="A118" s="12"/>
      <x:c r="B118" s="12"/>
      <x:c r="C118" s="12"/>
      <x:c r="D118" s="12"/>
    </x:row>
    <x:row r="119">
      <x:c r="A119" s="12"/>
      <x:c r="B119" s="12"/>
      <x:c r="C119" s="12"/>
      <x:c r="D119" s="12"/>
    </x:row>
    <x:row r="120">
      <x:c r="A120" s="12"/>
      <x:c r="B120" s="12"/>
      <x:c r="C120" s="12"/>
      <x:c r="D120" s="12"/>
    </x:row>
    <x:row r="121">
      <x:c r="A121" s="12"/>
      <x:c r="B121" s="12"/>
      <x:c r="C121" s="12"/>
      <x:c r="D121" s="12"/>
    </x:row>
    <x:row r="122">
      <x:c r="A122" s="12"/>
      <x:c r="B122" s="12"/>
      <x:c r="C122" s="12"/>
      <x:c r="D122" s="12"/>
    </x:row>
    <x:row r="123">
      <x:c r="A123" s="12"/>
      <x:c r="B123" s="12"/>
      <x:c r="C123" s="12"/>
      <x:c r="D123" s="12"/>
    </x:row>
    <x:row r="124">
      <x:c r="A124" s="12"/>
      <x:c r="B124" s="12"/>
      <x:c r="C124" s="12"/>
      <x:c r="D124" s="12"/>
    </x:row>
    <x:row r="125">
      <x:c r="A125" s="12"/>
      <x:c r="B125" s="12"/>
      <x:c r="C125" s="12"/>
      <x:c r="D125" s="12"/>
    </x:row>
    <x:row r="126">
      <x:c r="A126" s="12"/>
      <x:c r="B126" s="12"/>
      <x:c r="C126" s="12"/>
      <x:c r="D126" s="12"/>
    </x:row>
    <x:row r="127">
      <x:c r="A127" s="12"/>
      <x:c r="B127" s="12"/>
      <x:c r="C127" s="12"/>
      <x:c r="D127" s="12"/>
    </x:row>
    <x:row r="128">
      <x:c r="A128" s="12"/>
      <x:c r="B128" s="12"/>
      <x:c r="C128" s="12"/>
      <x:c r="D128" s="12"/>
    </x:row>
    <x:row r="129">
      <x:c r="A129" s="12"/>
      <x:c r="B129" s="12"/>
      <x:c r="C129" s="12"/>
      <x:c r="D129" s="12"/>
    </x:row>
    <x:row r="130">
      <x:c r="A130" s="12"/>
      <x:c r="B130" s="12"/>
      <x:c r="C130" s="12"/>
      <x:c r="D130" s="12"/>
    </x:row>
    <x:row r="131">
      <x:c r="A131" s="12"/>
      <x:c r="B131" s="12"/>
      <x:c r="C131" s="12"/>
      <x:c r="D131" s="12"/>
    </x:row>
    <x:row r="132">
      <x:c r="A132" s="12"/>
      <x:c r="B132" s="12"/>
      <x:c r="C132" s="12"/>
      <x:c r="D132" s="12"/>
    </x:row>
    <x:row r="133">
      <x:c r="A133" s="12"/>
      <x:c r="B133" s="12"/>
      <x:c r="C133" s="12"/>
      <x:c r="D133" s="12"/>
    </x:row>
    <x:row r="134">
      <x:c r="A134" s="12"/>
      <x:c r="B134" s="12"/>
      <x:c r="C134" s="12"/>
      <x:c r="D134" s="12"/>
    </x:row>
    <x:row r="135">
      <x:c r="A135" s="12"/>
      <x:c r="B135" s="12"/>
      <x:c r="C135" s="12"/>
      <x:c r="D135" s="12"/>
    </x:row>
    <x:row r="136">
      <x:c r="A136" s="12"/>
      <x:c r="B136" s="12"/>
      <x:c r="C136" s="12"/>
      <x:c r="D136" s="12"/>
    </x:row>
    <x:row r="137">
      <x:c r="A137" s="12"/>
      <x:c r="B137" s="12"/>
      <x:c r="C137" s="12"/>
      <x:c r="D137" s="12"/>
    </x:row>
    <x:row r="138">
      <x:c r="A138" s="12"/>
      <x:c r="B138" s="12"/>
      <x:c r="C138" s="12"/>
      <x:c r="D138" s="12"/>
    </x:row>
    <x:row r="139">
      <x:c r="A139" s="12"/>
      <x:c r="B139" s="12"/>
      <x:c r="C139" s="12"/>
      <x:c r="D139" s="12"/>
    </x:row>
    <x:row r="140">
      <x:c r="A140" s="12"/>
      <x:c r="B140" s="12"/>
      <x:c r="C140" s="12"/>
      <x:c r="D140" s="12"/>
    </x:row>
    <x:row r="141">
      <x:c r="A141" s="12"/>
      <x:c r="B141" s="12"/>
      <x:c r="C141" s="12"/>
      <x:c r="D141" s="12"/>
    </x:row>
    <x:row r="142">
      <x:c r="A142" s="12"/>
      <x:c r="B142" s="12"/>
      <x:c r="C142" s="12"/>
      <x:c r="D142" s="12"/>
    </x:row>
    <x:row r="143">
      <x:c r="A143" s="12"/>
      <x:c r="B143" s="12"/>
      <x:c r="C143" s="12"/>
      <x:c r="D143" s="12"/>
    </x:row>
    <x:row r="144">
      <x:c r="A144" s="12"/>
      <x:c r="B144" s="12"/>
      <x:c r="C144" s="12"/>
      <x:c r="D144" s="12"/>
    </x:row>
    <x:row r="145">
      <x:c r="A145" s="12"/>
      <x:c r="B145" s="12"/>
      <x:c r="C145" s="12"/>
      <x:c r="D145" s="12"/>
    </x:row>
    <x:row r="146">
      <x:c r="A146" s="12"/>
      <x:c r="B146" s="12"/>
      <x:c r="C146" s="12"/>
      <x:c r="D146" s="12"/>
    </x:row>
    <x:row r="147">
      <x:c r="A147" s="12"/>
      <x:c r="B147" s="12"/>
      <x:c r="C147" s="12"/>
      <x:c r="D147" s="12"/>
    </x:row>
    <x:row r="148">
      <x:c r="A148" s="12"/>
      <x:c r="B148" s="12"/>
      <x:c r="C148" s="12"/>
      <x:c r="D148" s="12"/>
    </x:row>
    <x:row r="149">
      <x:c r="A149" s="12"/>
      <x:c r="B149" s="12"/>
      <x:c r="C149" s="12"/>
      <x:c r="D149" s="12"/>
    </x:row>
    <x:row r="150">
      <x:c r="A150" s="12"/>
      <x:c r="B150" s="12"/>
      <x:c r="C150" s="12"/>
      <x:c r="D150" s="12"/>
    </x:row>
    <x:row r="151">
      <x:c r="A151" s="12"/>
      <x:c r="B151" s="12"/>
      <x:c r="C151" s="12"/>
      <x:c r="D151" s="12"/>
    </x:row>
    <x:row r="152">
      <x:c r="A152" s="12"/>
      <x:c r="B152" s="12"/>
      <x:c r="C152" s="12"/>
      <x:c r="D152" s="12"/>
    </x:row>
    <x:row r="153">
      <x:c r="A153" s="12"/>
      <x:c r="B153" s="12"/>
      <x:c r="C153" s="12"/>
      <x:c r="D153" s="12"/>
    </x:row>
    <x:row r="154">
      <x:c r="A154" s="12"/>
      <x:c r="B154" s="12"/>
      <x:c r="C154" s="12"/>
      <x:c r="D154" s="12"/>
    </x:row>
    <x:row r="155">
      <x:c r="A155" s="12"/>
      <x:c r="B155" s="12"/>
      <x:c r="C155" s="12"/>
      <x:c r="D155" s="12"/>
    </x:row>
    <x:row r="156">
      <x:c r="A156" s="12"/>
      <x:c r="B156" s="12"/>
      <x:c r="C156" s="12"/>
      <x:c r="D156" s="12"/>
    </x:row>
    <x:row r="157">
      <x:c r="A157" s="12"/>
      <x:c r="B157" s="12"/>
      <x:c r="C157" s="12"/>
      <x:c r="D157" s="12"/>
    </x:row>
    <x:row r="158">
      <x:c r="A158" s="12"/>
      <x:c r="B158" s="12"/>
      <x:c r="C158" s="12"/>
      <x:c r="D158" s="12"/>
    </x:row>
    <x:row r="159">
      <x:c r="A159" s="12"/>
      <x:c r="B159" s="12"/>
      <x:c r="C159" s="12"/>
      <x:c r="D159" s="12"/>
    </x:row>
    <x:row r="160">
      <x:c r="A160" s="12"/>
      <x:c r="B160" s="12"/>
      <x:c r="C160" s="12"/>
      <x:c r="D160" s="12"/>
    </x:row>
    <x:row r="161">
      <x:c r="A161" s="12"/>
      <x:c r="B161" s="12"/>
      <x:c r="C161" s="12"/>
      <x:c r="D161" s="12"/>
    </x:row>
    <x:row r="162">
      <x:c r="A162" s="12"/>
      <x:c r="B162" s="12"/>
      <x:c r="C162" s="12"/>
      <x:c r="D162" s="12"/>
    </x:row>
    <x:row r="163">
      <x:c r="A163" s="12"/>
      <x:c r="B163" s="12"/>
      <x:c r="C163" s="12"/>
      <x:c r="D163" s="12"/>
    </x:row>
    <x:row r="164">
      <x:c r="A164" s="12"/>
      <x:c r="B164" s="12"/>
      <x:c r="C164" s="12"/>
      <x:c r="D164" s="12"/>
    </x:row>
    <x:row r="165">
      <x:c r="A165" s="12"/>
      <x:c r="B165" s="12"/>
      <x:c r="C165" s="12"/>
      <x:c r="D165" s="12"/>
    </x:row>
    <x:row r="166">
      <x:c r="A166" s="12"/>
      <x:c r="B166" s="12"/>
      <x:c r="C166" s="12"/>
      <x:c r="D166" s="12"/>
    </x:row>
    <x:row r="167">
      <x:c r="A167" s="12"/>
      <x:c r="B167" s="12"/>
      <x:c r="C167" s="12"/>
      <x:c r="D167" s="12"/>
    </x:row>
    <x:row r="168">
      <x:c r="A168" s="12"/>
      <x:c r="B168" s="12"/>
      <x:c r="C168" s="12"/>
      <x:c r="D168" s="12"/>
    </x:row>
    <x:row r="169">
      <x:c r="A169" s="12"/>
      <x:c r="B169" s="12"/>
      <x:c r="C169" s="12"/>
      <x:c r="D169" s="12"/>
    </x:row>
    <x:row r="170">
      <x:c r="A170" s="12"/>
      <x:c r="B170" s="12"/>
      <x:c r="C170" s="12"/>
      <x:c r="D170" s="12"/>
    </x:row>
    <x:row r="171">
      <x:c r="A171" s="12"/>
      <x:c r="B171" s="12"/>
      <x:c r="C171" s="12"/>
      <x:c r="D171" s="12"/>
    </x:row>
    <x:row r="172">
      <x:c r="A172" s="12"/>
      <x:c r="B172" s="12"/>
      <x:c r="C172" s="12"/>
      <x:c r="D172" s="12"/>
    </x:row>
    <x:row r="173">
      <x:c r="A173" s="12"/>
      <x:c r="B173" s="12"/>
      <x:c r="C173" s="12"/>
      <x:c r="D173" s="12"/>
    </x:row>
    <x:row r="174">
      <x:c r="A174" s="12"/>
      <x:c r="B174" s="12"/>
      <x:c r="C174" s="12"/>
      <x:c r="D174" s="12"/>
    </x:row>
    <x:row r="175">
      <x:c r="A175" s="12"/>
      <x:c r="B175" s="12"/>
      <x:c r="C175" s="12"/>
      <x:c r="D175" s="12"/>
    </x:row>
    <x:row r="176">
      <x:c r="A176" s="12"/>
      <x:c r="B176" s="12"/>
      <x:c r="C176" s="12"/>
      <x:c r="D176" s="12"/>
    </x:row>
    <x:row r="177">
      <x:c r="A177" s="12"/>
      <x:c r="B177" s="12"/>
      <x:c r="C177" s="12"/>
      <x:c r="D177" s="12"/>
    </x:row>
    <x:row r="178">
      <x:c r="A178" s="12"/>
      <x:c r="B178" s="12"/>
      <x:c r="C178" s="12"/>
      <x:c r="D178" s="12"/>
    </x:row>
    <x:row r="179">
      <x:c r="A179" s="12"/>
      <x:c r="B179" s="12"/>
      <x:c r="C179" s="12"/>
      <x:c r="D179" s="12"/>
    </x:row>
    <x:row r="180">
      <x:c r="A180" s="12"/>
      <x:c r="B180" s="12"/>
      <x:c r="C180" s="12"/>
      <x:c r="D180" s="12"/>
    </x:row>
    <x:row r="181">
      <x:c r="A181" s="12"/>
      <x:c r="B181" s="12"/>
      <x:c r="C181" s="12"/>
      <x:c r="D181" s="12"/>
    </x:row>
    <x:row r="182">
      <x:c r="A182" s="12"/>
      <x:c r="B182" s="12"/>
      <x:c r="C182" s="12"/>
      <x:c r="D182" s="12"/>
    </x:row>
    <x:row r="183">
      <x:c r="A183" s="12"/>
      <x:c r="B183" s="12"/>
      <x:c r="C183" s="12"/>
      <x:c r="D183" s="12"/>
    </x:row>
    <x:row r="184">
      <x:c r="A184" s="12"/>
      <x:c r="B184" s="12"/>
      <x:c r="C184" s="12"/>
      <x:c r="D184" s="12"/>
    </x:row>
    <x:row r="185">
      <x:c r="A185" s="12"/>
      <x:c r="B185" s="12"/>
      <x:c r="C185" s="12"/>
      <x:c r="D185" s="12"/>
    </x:row>
    <x:row r="186">
      <x:c r="A186" s="12"/>
      <x:c r="B186" s="12"/>
      <x:c r="C186" s="12"/>
      <x:c r="D186" s="12"/>
    </x:row>
    <x:row r="187">
      <x:c r="A187" s="12"/>
      <x:c r="B187" s="12"/>
      <x:c r="C187" s="12"/>
      <x:c r="D187" s="12"/>
    </x:row>
    <x:row r="188">
      <x:c r="A188" s="12"/>
      <x:c r="B188" s="12"/>
      <x:c r="C188" s="12"/>
      <x:c r="D188" s="12"/>
    </x:row>
    <x:row r="189">
      <x:c r="A189" s="12"/>
      <x:c r="B189" s="12"/>
      <x:c r="C189" s="12"/>
      <x:c r="D189" s="12"/>
    </x:row>
    <x:row r="190">
      <x:c r="A190" s="12"/>
      <x:c r="B190" s="12"/>
      <x:c r="C190" s="12"/>
      <x:c r="D190" s="12"/>
    </x:row>
    <x:row r="191">
      <x:c r="A191" s="12"/>
      <x:c r="B191" s="12"/>
      <x:c r="C191" s="12"/>
      <x:c r="D191" s="12"/>
    </x:row>
    <x:row r="192">
      <x:c r="A192" s="12"/>
      <x:c r="B192" s="12"/>
      <x:c r="C192" s="12"/>
      <x:c r="D192" s="12"/>
    </x:row>
    <x:row r="193">
      <x:c r="A193" s="12"/>
      <x:c r="B193" s="12"/>
      <x:c r="C193" s="12"/>
      <x:c r="D193" s="12"/>
    </x:row>
    <x:row r="194">
      <x:c r="A194" s="12"/>
      <x:c r="B194" s="12"/>
      <x:c r="C194" s="12"/>
      <x:c r="D194" s="12"/>
    </x:row>
    <x:row r="195">
      <x:c r="A195" s="12"/>
      <x:c r="B195" s="12"/>
      <x:c r="C195" s="12"/>
      <x:c r="D195" s="12"/>
    </x:row>
    <x:row r="196">
      <x:c r="A196" s="12"/>
      <x:c r="B196" s="12"/>
      <x:c r="C196" s="12"/>
      <x:c r="D196" s="12"/>
    </x:row>
    <x:row r="197">
      <x:c r="A197" s="12"/>
      <x:c r="B197" s="12"/>
      <x:c r="C197" s="12"/>
      <x:c r="D197" s="12"/>
    </x:row>
    <x:row r="198">
      <x:c r="A198" s="12"/>
      <x:c r="B198" s="12"/>
      <x:c r="C198" s="12"/>
      <x:c r="D198" s="12"/>
    </x:row>
    <x:row r="199">
      <x:c r="A199" s="12"/>
      <x:c r="B199" s="12"/>
      <x:c r="C199" s="12"/>
      <x:c r="D199" s="12"/>
    </x:row>
    <x:row r="200">
      <x:c r="A200" s="12"/>
      <x:c r="B200" s="12"/>
      <x:c r="C200" s="12"/>
      <x:c r="D200" s="12"/>
    </x:row>
  </x:sheetData>
  <x:mergeCells>
    <x:mergeCell ref="A1:D1"/>
  </x:mergeCells>
  <x:pageMargins left="0.7" right="0.7" top="0.75" bottom="0.75" header="0.3" footer="0.3"/>
  <x:tableParts count="1">
    <x:tablePart xmlns:r="http://schemas.openxmlformats.org/officeDocument/2006/relationships" r:id="R06910f7b72794d28"/>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Obligation Register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Master inventory of recurring/ad-hoc regulatory obligations for Manulife Vietnam</x:v>
      </x:c>
    </x:row>
    <x:row r="4" ht="30" customHeight="1">
      <x:c r="A4" s="86" t="str">
        <x:v>Obligation ID</x:v>
      </x:c>
      <x:c r="B4" s="86" t="str">
        <x:v>Obligation</x:v>
      </x:c>
      <x:c r="C4" s="86" t="str">
        <x:v>Regulator</x:v>
      </x:c>
      <x:c r="D4" s="86" t="str">
        <x:v>Legal Basis / Source</x:v>
      </x:c>
      <x:c r="E4" s="86" t="str">
        <x:v>Frequency</x:v>
      </x:c>
      <x:c r="F4" s="86" t="str">
        <x:v>Owner Dept</x:v>
      </x:c>
      <x:c r="G4" s="86" t="str">
        <x:v>Submission Channel</x:v>
      </x:c>
      <x:c r="H4" s="86" t="str">
        <x:v>Due Rule</x:v>
      </x:c>
      <x:c r="I4" s="86" t="str">
        <x:v>Next Due Date</x:v>
      </x:c>
      <x:c r="J4" s="86" t="str">
        <x:v>Penalty / Consequence</x:v>
      </x:c>
      <x:c r="K4" s="86" t="str">
        <x:v>Criticality</x:v>
      </x:c>
      <x:c r="L4" s="86" t="str">
        <x:v>Evidence Required</x:v>
      </x:c>
      <x:c r="M4" s="86" t="str">
        <x:v>Control Owner</x:v>
      </x:c>
      <x:c r="N4" s="86" t="str">
        <x:v>Status</x:v>
      </x:c>
      <x:c r="O4" s="86" t="str">
        <x:v>Days to Due</x:v>
      </x:c>
      <x:c r="P4" s="86" t="str">
        <x:v>RAG</x:v>
      </x:c>
    </x:row>
    <x:row r="5">
      <x:c r="A5" s="87" t="str">
        <x:v>OBL-001</x:v>
      </x:c>
      <x:c r="B5" s="87" t="str">
        <x:v>Monthly solvency monitoring report</x:v>
      </x:c>
      <x:c r="C5" s="87" t="str">
        <x:v>ISA / MOF</x:v>
      </x:c>
      <x:c r="D5" s="87" t="str">
        <x:v>Insurance Law / MOF guidance</x:v>
      </x:c>
      <x:c r="E5" s="87" t="str">
        <x:v>Monthly</x:v>
      </x:c>
      <x:c r="F5" s="87" t="str">
        <x:v>Finance</x:v>
      </x:c>
      <x:c r="G5" s="87" t="str">
        <x:v>e-Portal + hard copy</x:v>
      </x:c>
      <x:c r="H5" s="87" t="str">
        <x:v>10th working day</x:v>
      </x:c>
      <x:c r="I5" s="88" t="n">
        <x:v>46193</x:v>
      </x:c>
      <x:c r="J5" s="87" t="str">
        <x:v>Regulatory reminder / inspection focus</x:v>
      </x:c>
      <x:c r="K5" s="87" t="str">
        <x:v>Critical</x:v>
      </x:c>
      <x:c r="L5" s="87" t="str">
        <x:v>Signed report, calculation file, management approval</x:v>
      </x:c>
      <x:c r="M5" s="87" t="str">
        <x:v>Regulatory Affairs</x:v>
      </x:c>
      <x:c r="N5" s="87" t="str">
        <x:v>Open</x:v>
      </x:c>
      <x:c r="O5" s="89" t="n">
        <x:f>I5-TODAY()</x:f>
        <x:v>9</x:v>
      </x:c>
      <x:c r="P5" s="87" t="str">
        <x:f>IF(O5&lt;0,"Red",IF(O5&lt;=7,"Amber","Green"))</x:f>
        <x:v>Green</x:v>
      </x:c>
    </x:row>
    <x:row r="6">
      <x:c r="A6" s="87" t="str">
        <x:v>OBL-002</x:v>
      </x:c>
      <x:c r="B6" s="87" t="str">
        <x:v>Quarterly capital adequacy report</x:v>
      </x:c>
      <x:c r="C6" s="87" t="str">
        <x:v>MOF</x:v>
      </x:c>
      <x:c r="D6" s="87" t="str">
        <x:v>Insurance supervisory reporting rules</x:v>
      </x:c>
      <x:c r="E6" s="87" t="str">
        <x:v>Quarterly</x:v>
      </x:c>
      <x:c r="F6" s="87" t="str">
        <x:v>Finance / Risk</x:v>
      </x:c>
      <x:c r="G6" s="87" t="str">
        <x:v>Hard copy + official letter</x:v>
      </x:c>
      <x:c r="H6" s="87" t="str">
        <x:v>Quarter end + 15 days</x:v>
      </x:c>
      <x:c r="I6" s="88" t="n">
        <x:v>46218</x:v>
      </x:c>
      <x:c r="J6" s="87" t="str">
        <x:v>High regulatory concern if delayed</x:v>
      </x:c>
      <x:c r="K6" s="87" t="str">
        <x:v>Critical</x:v>
      </x:c>
      <x:c r="L6" s="87" t="str">
        <x:v>Actuary sign-off, Finance review, Compliance review</x:v>
      </x:c>
      <x:c r="M6" s="87" t="str">
        <x:v>Finance</x:v>
      </x:c>
      <x:c r="N6" s="87" t="str">
        <x:v>Open</x:v>
      </x:c>
      <x:c r="O6" s="89" t="n">
        <x:f>I6-TODAY()</x:f>
        <x:v>34</x:v>
      </x:c>
      <x:c r="P6" s="87" t="str">
        <x:f>IF(O6&lt;0,"Red",IF(O6&lt;=7,"Amber","Green"))</x:f>
        <x:v>Green</x:v>
      </x:c>
    </x:row>
    <x:row r="7">
      <x:c r="A7" s="87" t="str">
        <x:v>OBL-003</x:v>
      </x:c>
      <x:c r="B7" s="87" t="str">
        <x:v>New product filing / approval dossier</x:v>
      </x:c>
      <x:c r="C7" s="87" t="str">
        <x:v>ISA</x:v>
      </x:c>
      <x:c r="D7" s="87" t="str">
        <x:v>Product approval requirements</x:v>
      </x:c>
      <x:c r="E7" s="87" t="str">
        <x:v>Ad-hoc</x:v>
      </x:c>
      <x:c r="F7" s="87" t="str">
        <x:v>Product / Legal</x:v>
      </x:c>
      <x:c r="G7" s="87" t="str">
        <x:v>Hard copy one-stop desk</x:v>
      </x:c>
      <x:c r="H7" s="87" t="str">
        <x:v>Before launch</x:v>
      </x:c>
      <x:c r="I7" s="88" t="n">
        <x:v>46201</x:v>
      </x:c>
      <x:c r="J7" s="87" t="str">
        <x:v>Product launch delay</x:v>
      </x:c>
      <x:c r="K7" s="87" t="str">
        <x:v>High</x:v>
      </x:c>
      <x:c r="L7" s="87" t="str">
        <x:v>Product wording, pricing note, disclosure, legal opinion</x:v>
      </x:c>
      <x:c r="M7" s="87" t="str">
        <x:v>Product</x:v>
      </x:c>
      <x:c r="N7" s="87" t="str">
        <x:v>In Progress</x:v>
      </x:c>
      <x:c r="O7" s="89" t="n">
        <x:f>I7-TODAY()</x:f>
        <x:v>17</x:v>
      </x:c>
      <x:c r="P7" s="87" t="str">
        <x:f>IF(O7&lt;0,"Red",IF(O7&lt;=7,"Amber","Green"))</x:f>
        <x:v>Green</x:v>
      </x:c>
    </x:row>
    <x:row r="8">
      <x:c r="A8" s="87" t="str">
        <x:v>OBL-004</x:v>
      </x:c>
      <x:c r="B8" s="87" t="str">
        <x:v>Agent training program registration</x:v>
      </x:c>
      <x:c r="C8" s="87" t="str">
        <x:v>ISA</x:v>
      </x:c>
      <x:c r="D8" s="87" t="str">
        <x:v>Agency management regulation</x:v>
      </x:c>
      <x:c r="E8" s="87" t="str">
        <x:v>Ad-hoc</x:v>
      </x:c>
      <x:c r="F8" s="87" t="str">
        <x:v>Agency / Distribution</x:v>
      </x:c>
      <x:c r="G8" s="87" t="str">
        <x:v>Hard copy</x:v>
      </x:c>
      <x:c r="H8" s="87" t="str">
        <x:v>Before training roll-out</x:v>
      </x:c>
      <x:c r="I8" s="88" t="n">
        <x:v>46191</x:v>
      </x:c>
      <x:c r="J8" s="87" t="str">
        <x:v>Training delay / distribution impact</x:v>
      </x:c>
      <x:c r="K8" s="87" t="str">
        <x:v>Medium</x:v>
      </x:c>
      <x:c r="L8" s="87" t="str">
        <x:v>Training materials, trainer list, timetable</x:v>
      </x:c>
      <x:c r="M8" s="87" t="str">
        <x:v>Agency</x:v>
      </x:c>
      <x:c r="N8" s="87" t="str">
        <x:v>Open</x:v>
      </x:c>
      <x:c r="O8" s="89" t="n">
        <x:f>I8-TODAY()</x:f>
        <x:v>7</x:v>
      </x:c>
      <x:c r="P8" s="87" t="str">
        <x:f>IF(O8&lt;0,"Red",IF(O8&lt;=7,"Amber","Green"))</x:f>
        <x:v>Amber</x:v>
      </x:c>
    </x:row>
    <x:row r="9">
      <x:c r="A9" s="87" t="str">
        <x:v>OBL-005</x:v>
      </x:c>
      <x:c r="B9" s="87" t="str">
        <x:v>Anti-money laundering periodic update</x:v>
      </x:c>
      <x:c r="C9" s="87" t="str">
        <x:v>SBV / MOF</x:v>
      </x:c>
      <x:c r="D9" s="87" t="str">
        <x:v>AML regulatory framework</x:v>
      </x:c>
      <x:c r="E9" s="87" t="str">
        <x:v>Quarterly</x:v>
      </x:c>
      <x:c r="F9" s="87" t="str">
        <x:v>Compliance</x:v>
      </x:c>
      <x:c r="G9" s="87" t="str">
        <x:v>e-Portal</x:v>
      </x:c>
      <x:c r="H9" s="87" t="str">
        <x:v>Quarter end + 20 days</x:v>
      </x:c>
      <x:c r="I9" s="88" t="n">
        <x:v>46223</x:v>
      </x:c>
      <x:c r="J9" s="87" t="str">
        <x:v>Compliance finding</x:v>
      </x:c>
      <x:c r="K9" s="87" t="str">
        <x:v>High</x:v>
      </x:c>
      <x:c r="L9" s="87" t="str">
        <x:v>AML statistics, suspicious transaction controls</x:v>
      </x:c>
      <x:c r="M9" s="87" t="str">
        <x:v>Compliance</x:v>
      </x:c>
      <x:c r="N9" s="87" t="str">
        <x:v>Open</x:v>
      </x:c>
      <x:c r="O9" s="89" t="n">
        <x:f>I9-TODAY()</x:f>
        <x:v>39</x:v>
      </x:c>
      <x:c r="P9" s="87" t="str">
        <x:f>IF(O9&lt;0,"Red",IF(O9&lt;=7,"Amber","Green"))</x:f>
        <x:v>Green</x:v>
      </x:c>
    </x:row>
    <x:row r="10">
      <x:c r="A10" s="87" t="str">
        <x:v>OBL-006</x:v>
      </x:c>
      <x:c r="B10" s="87" t="str">
        <x:v>Personal data processing compliance update</x:v>
      </x:c>
      <x:c r="C10" s="87" t="str">
        <x:v>MIC / MPS</x:v>
      </x:c>
      <x:c r="D10" s="87" t="str">
        <x:v>Personal data protection decree</x:v>
      </x:c>
      <x:c r="E10" s="87" t="str">
        <x:v>Annual / Ad-hoc</x:v>
      </x:c>
      <x:c r="F10" s="87" t="str">
        <x:v>IT / Legal</x:v>
      </x:c>
      <x:c r="G10" s="87" t="str">
        <x:v>Official letter</x:v>
      </x:c>
      <x:c r="H10" s="87" t="str">
        <x:v>Upon request / annual refresh</x:v>
      </x:c>
      <x:c r="I10" s="88" t="n">
        <x:v>46239</x:v>
      </x:c>
      <x:c r="J10" s="87" t="str">
        <x:v>Data privacy remediation order</x:v>
      </x:c>
      <x:c r="K10" s="87" t="str">
        <x:v>High</x:v>
      </x:c>
      <x:c r="L10" s="87" t="str">
        <x:v>DPIA, consent process, data inventory</x:v>
      </x:c>
      <x:c r="M10" s="87" t="str">
        <x:v>Legal</x:v>
      </x:c>
      <x:c r="N10" s="87" t="str">
        <x:v>Monitoring</x:v>
      </x:c>
      <x:c r="O10" s="89" t="n">
        <x:f>I10-TODAY()</x:f>
        <x:v>55</x:v>
      </x:c>
      <x:c r="P10" s="87" t="str">
        <x:f>IF(O10&lt;0,"Red",IF(O10&lt;=7,"Amber","Green"))</x:f>
        <x:v>Green</x:v>
      </x:c>
    </x:row>
    <x:row r="11">
      <x:c r="A11" s="87" t="str">
        <x:v>OBL-007</x:v>
      </x:c>
      <x:c r="B11" s="87" t="str">
        <x:v>Consumer complaint handling report</x:v>
      </x:c>
      <x:c r="C11" s="87" t="str">
        <x:v>MOF / ISA</x:v>
      </x:c>
      <x:c r="D11" s="87" t="str">
        <x:v>Market conduct supervision</x:v>
      </x:c>
      <x:c r="E11" s="87" t="str">
        <x:v>Monthly</x:v>
      </x:c>
      <x:c r="F11" s="87" t="str">
        <x:v>Customer Service</x:v>
      </x:c>
      <x:c r="G11" s="87" t="str">
        <x:v>Email + hard copy</x:v>
      </x:c>
      <x:c r="H11" s="87" t="str">
        <x:v>5th working day</x:v>
      </x:c>
      <x:c r="I11" s="88" t="n">
        <x:v>46188</x:v>
      </x:c>
      <x:c r="J11" s="87" t="str">
        <x:v>Market conduct scrutiny</x:v>
      </x:c>
      <x:c r="K11" s="87" t="str">
        <x:v>High</x:v>
      </x:c>
      <x:c r="L11" s="87" t="str">
        <x:v>Complaint log, resolution SLA, root-cause analysis</x:v>
      </x:c>
      <x:c r="M11" s="87" t="str">
        <x:v>Customer Service</x:v>
      </x:c>
      <x:c r="N11" s="87" t="str">
        <x:v>Open</x:v>
      </x:c>
      <x:c r="O11" s="89" t="n">
        <x:f>I11-TODAY()</x:f>
        <x:v>4</x:v>
      </x:c>
      <x:c r="P11" s="87" t="str">
        <x:f>IF(O11&lt;0,"Red",IF(O11&lt;=7,"Amber","Green"))</x:f>
        <x:v>Amber</x:v>
      </x:c>
    </x:row>
    <x:row r="12">
      <x:c r="A12" s="87" t="str">
        <x:v>OBL-008</x:v>
      </x:c>
      <x:c r="B12" s="87" t="str">
        <x:v>Bancassurance conduct update</x:v>
      </x:c>
      <x:c r="C12" s="87" t="str">
        <x:v>MOF / ISA / SBV</x:v>
      </x:c>
      <x:c r="D12" s="87" t="str">
        <x:v>Bancassurance supervision guidance</x:v>
      </x:c>
      <x:c r="E12" s="87" t="str">
        <x:v>Ad-hoc</x:v>
      </x:c>
      <x:c r="F12" s="87" t="str">
        <x:v>Partnership Distribution</x:v>
      </x:c>
      <x:c r="G12" s="87" t="str">
        <x:v>Working group / letter</x:v>
      </x:c>
      <x:c r="H12" s="87" t="str">
        <x:v>Upon regulator request</x:v>
      </x:c>
      <x:c r="I12" s="88" t="n">
        <x:v>46205</x:v>
      </x:c>
      <x:c r="J12" s="87" t="str">
        <x:v>Distribution channel restriction risk</x:v>
      </x:c>
      <x:c r="K12" s="87" t="str">
        <x:v>High</x:v>
      </x:c>
      <x:c r="L12" s="87" t="str">
        <x:v>Sales scripts, training evidence, bank partner data</x:v>
      </x:c>
      <x:c r="M12" s="87" t="str">
        <x:v>Distribution</x:v>
      </x:c>
      <x:c r="N12" s="87" t="str">
        <x:v>Open</x:v>
      </x:c>
      <x:c r="O12" s="89" t="n">
        <x:f>I12-TODAY()</x:f>
        <x:v>21</x:v>
      </x:c>
      <x:c r="P12" s="87" t="str">
        <x:f>IF(O12&lt;0,"Red",IF(O12&lt;=7,"Amber","Green"))</x:f>
        <x:v>Green</x:v>
      </x:c>
    </x:row>
    <x:row r="13">
      <x:c r="A13" s="87" t="str">
        <x:v>OBL-009</x:v>
      </x:c>
      <x:c r="B13" s="87" t="str">
        <x:v>ESG / sustainable finance disclosure readiness</x:v>
      </x:c>
      <x:c r="C13" s="87" t="str">
        <x:v>MOF</x:v>
      </x:c>
      <x:c r="D13" s="87" t="str">
        <x:v>ESG disclosure roadmap</x:v>
      </x:c>
      <x:c r="E13" s="87" t="str">
        <x:v>Annual</x:v>
      </x:c>
      <x:c r="F13" s="87" t="str">
        <x:v>Strategy / Finance</x:v>
      </x:c>
      <x:c r="G13" s="87" t="str">
        <x:v>Regional pack + local submission</x:v>
      </x:c>
      <x:c r="H13" s="87" t="str">
        <x:v>Annual planning cycle</x:v>
      </x:c>
      <x:c r="I13" s="88" t="n">
        <x:v>46295</x:v>
      </x:c>
      <x:c r="J13" s="87" t="str">
        <x:v>Reputation / regional reporting gap</x:v>
      </x:c>
      <x:c r="K13" s="87" t="str">
        <x:v>Medium</x:v>
      </x:c>
      <x:c r="L13" s="87" t="str">
        <x:v>ESG KPI, governance note, investment policy summary</x:v>
      </x:c>
      <x:c r="M13" s="87" t="str">
        <x:v>Strategy</x:v>
      </x:c>
      <x:c r="N13" s="87" t="str">
        <x:v>Monitoring</x:v>
      </x:c>
      <x:c r="O13" s="89" t="n">
        <x:f>I13-TODAY()</x:f>
        <x:v>111</x:v>
      </x:c>
      <x:c r="P13" s="87" t="str">
        <x:f>IF(O13&lt;0,"Red",IF(O13&lt;=7,"Amber","Green"))</x:f>
        <x:v>Green</x:v>
      </x:c>
    </x:row>
    <x:row r="14">
      <x:c r="A14" s="87" t="str">
        <x:v>OBL-010</x:v>
      </x:c>
      <x:c r="B14" s="87" t="str">
        <x:v>Regulator meeting minutes and action tracking</x:v>
      </x:c>
      <x:c r="C14" s="87" t="str">
        <x:v>MOF / ISA / IAV</x:v>
      </x:c>
      <x:c r="D14" s="87" t="str">
        <x:v>Internal PA operating standard</x:v>
      </x:c>
      <x:c r="E14" s="87" t="str">
        <x:v>After each meeting</x:v>
      </x:c>
      <x:c r="F14" s="87" t="str">
        <x:v>Regulatory &amp; PA</x:v>
      </x:c>
      <x:c r="G14" s="87" t="str">
        <x:v>Internal archive</x:v>
      </x:c>
      <x:c r="H14" s="87" t="str">
        <x:v>2 working days after meeting</x:v>
      </x:c>
      <x:c r="I14" s="88" t="n">
        <x:v>46186</x:v>
      </x:c>
      <x:c r="J14" s="87" t="str">
        <x:v>Loss of institutional memory</x:v>
      </x:c>
      <x:c r="K14" s="87" t="str">
        <x:v>Medium</x:v>
      </x:c>
      <x:c r="L14" s="87" t="str">
        <x:v>Minutes, action log, owner confirmation</x:v>
      </x:c>
      <x:c r="M14" s="87" t="str">
        <x:v>Regulatory Affairs</x:v>
      </x:c>
      <x:c r="N14" s="87" t="str">
        <x:v>Open</x:v>
      </x:c>
      <x:c r="O14" s="89" t="n">
        <x:f>I14-TODAY()</x:f>
        <x:v>2</x:v>
      </x:c>
      <x:c r="P14" s="87" t="str">
        <x:f>IF(O14&lt;0,"Red",IF(O14&lt;=7,"Amber","Green"))</x:f>
        <x:v>Amber</x:v>
      </x:c>
    </x:row>
  </x:sheetData>
  <x:mergeCells>
    <x:mergeCell ref="A1:L1"/>
    <x:mergeCell ref="A2:L2"/>
  </x:mergeCells>
  <x:conditionalFormatting sqref="P5:P14">
    <x:cfRule type="expression" dxfId="9" priority="1">
      <x:formula>P5="Red"</x:formula>
    </x:cfRule>
    <x:cfRule type="expression" dxfId="10" priority="2">
      <x:formula>P5="Amber"</x:formula>
    </x:cfRule>
    <x:cfRule type="expression" dxfId="11" priority="3">
      <x:formula>P5="Green"</x:formula>
    </x:cfRule>
  </x:conditionalFormatting>
  <x:dataValidations count="2">
    <x:dataValidation type="list" sqref="K5:K50">
      <x:formula1>"Low,Medium,High,Critical"</x:formula1>
    </x:dataValidation>
    <x:dataValidation type="list" sqref="N5:N50">
      <x:formula1>"Open,In Progress,Submitted,Approved,Closed,Monitoring"</x:formula1>
    </x:dataValidation>
  </x:dataValidations>
  <x:pageMargins left="0.7" right="0.7" top="0.75" bottom="0.75" header="0.3" footer="0.3"/>
  <x:tableParts count="1">
    <x:tablePart xmlns:r="http://schemas.openxmlformats.org/officeDocument/2006/relationships" r:id="Rf861309038384105"/>
  </x:tableParts>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Response Tracker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Track incoming/outgoing official letters, regulator requests and response SLA</x:v>
      </x:c>
    </x:row>
    <x:row r="4" ht="30" customHeight="1">
      <x:c r="A4" s="86" t="str">
        <x:v>Ref No</x:v>
      </x:c>
      <x:c r="B4" s="86" t="str">
        <x:v>Date Received / Sent</x:v>
      </x:c>
      <x:c r="C4" s="86" t="str">
        <x:v>Direction</x:v>
      </x:c>
      <x:c r="D4" s="86" t="str">
        <x:v>Regulator</x:v>
      </x:c>
      <x:c r="E4" s="86" t="str">
        <x:v>Topic</x:v>
      </x:c>
      <x:c r="F4" s="86" t="str">
        <x:v>Linked Obligation / Submission</x:v>
      </x:c>
      <x:c r="G4" s="86" t="str">
        <x:v>Internal Owner</x:v>
      </x:c>
      <x:c r="H4" s="86" t="str">
        <x:v>Response Due Date</x:v>
      </x:c>
      <x:c r="I4" s="86" t="str">
        <x:v>Status</x:v>
      </x:c>
      <x:c r="J4" s="86" t="str">
        <x:v>Response Sent Date</x:v>
      </x:c>
      <x:c r="K4" s="86" t="str">
        <x:v>Days Open</x:v>
      </x:c>
      <x:c r="L4" s="86" t="str">
        <x:v>SLA Status</x:v>
      </x:c>
      <x:c r="M4" s="86" t="str">
        <x:v>Next Action</x:v>
      </x:c>
      <x:c r="N4" s="86" t="str">
        <x:v>Archive Location</x:v>
      </x:c>
    </x:row>
    <x:row r="5">
      <x:c r="A5" s="87" t="str">
        <x:v>ISA-IN-2026-021</x:v>
      </x:c>
      <x:c r="B5" s="88" t="n">
        <x:v>46178</x:v>
      </x:c>
      <x:c r="C5" s="87" t="str">
        <x:v>Incoming</x:v>
      </x:c>
      <x:c r="D5" s="87" t="str">
        <x:v>ISA</x:v>
      </x:c>
      <x:c r="E5" s="87" t="str">
        <x:v>Clarification on product filing dossier</x:v>
      </x:c>
      <x:c r="F5" s="87" t="str">
        <x:v>OBL-003</x:v>
      </x:c>
      <x:c r="G5" s="87" t="str">
        <x:v>Product / Legal</x:v>
      </x:c>
      <x:c r="H5" s="88" t="n">
        <x:v>46187</x:v>
      </x:c>
      <x:c r="I5" s="87" t="str">
        <x:v>Open</x:v>
      </x:c>
      <x:c r="J5" s="88" t="str"/>
      <x:c r="K5" s="87" t="n">
        <x:f>IF(J5="",TODAY()-B5,J5-B5)</x:f>
        <x:v>6</x:v>
      </x:c>
      <x:c r="L5" s="87" t="str">
        <x:f>IF(AND(J5="",H5&lt;TODAY()),"Overdue",IF(AND(J5="",H5-TODAY()&lt;=3),"Due Soon","On Track"))</x:f>
        <x:v>Due Soon</x:v>
      </x:c>
      <x:c r="M5" s="87" t="str">
        <x:v>Prepare Q&amp;A and supporting product disclosure</x:v>
      </x:c>
      <x:c r="N5" s="87" t="str">
        <x:v>/Regulatory/ISA/ProductA/</x:v>
      </x:c>
    </x:row>
    <x:row r="6">
      <x:c r="A6" s="87" t="str">
        <x:v>MOF-OUT-2026-034</x:v>
      </x:c>
      <x:c r="B6" s="88" t="n">
        <x:v>46179</x:v>
      </x:c>
      <x:c r="C6" s="87" t="str">
        <x:v>Outgoing</x:v>
      </x:c>
      <x:c r="D6" s="87" t="str">
        <x:v>MOF</x:v>
      </x:c>
      <x:c r="E6" s="87" t="str">
        <x:v>Quarterly capital adequacy submission</x:v>
      </x:c>
      <x:c r="F6" s="87" t="str">
        <x:v>OBL-002</x:v>
      </x:c>
      <x:c r="G6" s="87" t="str">
        <x:v>Finance</x:v>
      </x:c>
      <x:c r="H6" s="88" t="n">
        <x:v>46218</x:v>
      </x:c>
      <x:c r="I6" s="87" t="str">
        <x:v>Waiting Reply</x:v>
      </x:c>
      <x:c r="J6" s="88" t="n">
        <x:v>46179</x:v>
      </x:c>
      <x:c r="K6" s="87" t="n">
        <x:f>IF(J6="",TODAY()-B6,J6-B6)</x:f>
        <x:v>0</x:v>
      </x:c>
      <x:c r="L6" s="87" t="str">
        <x:f>IF(AND(J6="",H6&lt;TODAY()),"Overdue",IF(AND(J6="",H6-TODAY()&lt;=3),"Due Soon","On Track"))</x:f>
        <x:v>On Track</x:v>
      </x:c>
      <x:c r="M6" s="87" t="str">
        <x:v>Monitor acknowledgement from MOF</x:v>
      </x:c>
      <x:c r="N6" s="87" t="str">
        <x:v>/Regulatory/MOF/Capital/</x:v>
      </x:c>
    </x:row>
    <x:row r="7">
      <x:c r="A7" s="87" t="str">
        <x:v>MOF-IN-2026-022</x:v>
      </x:c>
      <x:c r="B7" s="88" t="n">
        <x:v>46180</x:v>
      </x:c>
      <x:c r="C7" s="87" t="str">
        <x:v>Incoming</x:v>
      </x:c>
      <x:c r="D7" s="87" t="str">
        <x:v>MOF</x:v>
      </x:c>
      <x:c r="E7" s="87" t="str">
        <x:v>Request for complaint-handling statistics</x:v>
      </x:c>
      <x:c r="F7" s="87" t="str">
        <x:v>OBL-007</x:v>
      </x:c>
      <x:c r="G7" s="87" t="str">
        <x:v>Customer Service</x:v>
      </x:c>
      <x:c r="H7" s="88" t="n">
        <x:v>46188</x:v>
      </x:c>
      <x:c r="I7" s="87" t="str">
        <x:v>In Progress</x:v>
      </x:c>
      <x:c r="J7" s="88" t="str"/>
      <x:c r="K7" s="87" t="n">
        <x:f>IF(J7="",TODAY()-B7,J7-B7)</x:f>
        <x:v>4</x:v>
      </x:c>
      <x:c r="L7" s="87" t="str">
        <x:f>IF(AND(J7="",H7&lt;TODAY()),"Overdue",IF(AND(J7="",H7-TODAY()&lt;=3),"Due Soon","On Track"))</x:f>
        <x:v>On Track</x:v>
      </x:c>
      <x:c r="M7" s="87" t="str">
        <x:v>Collect complaint SLA data and root-cause summary</x:v>
      </x:c>
      <x:c r="N7" s="87" t="str">
        <x:v>/Regulatory/MOF/MarketConduct/</x:v>
      </x:c>
    </x:row>
    <x:row r="8">
      <x:c r="A8" s="87" t="str">
        <x:v>SBV-IN-2026-006</x:v>
      </x:c>
      <x:c r="B8" s="88" t="n">
        <x:v>46175</x:v>
      </x:c>
      <x:c r="C8" s="87" t="str">
        <x:v>Incoming</x:v>
      </x:c>
      <x:c r="D8" s="87" t="str">
        <x:v>SBV</x:v>
      </x:c>
      <x:c r="E8" s="87" t="str">
        <x:v>Bancassurance conduct information request</x:v>
      </x:c>
      <x:c r="F8" s="87" t="str">
        <x:v>OBL-008</x:v>
      </x:c>
      <x:c r="G8" s="87" t="str">
        <x:v>Distribution / Compliance</x:v>
      </x:c>
      <x:c r="H8" s="88" t="n">
        <x:v>46185</x:v>
      </x:c>
      <x:c r="I8" s="87" t="str">
        <x:v>Open</x:v>
      </x:c>
      <x:c r="J8" s="88" t="str"/>
      <x:c r="K8" s="87" t="n">
        <x:f>IF(J8="",TODAY()-B8,J8-B8)</x:f>
        <x:v>9</x:v>
      </x:c>
      <x:c r="L8" s="87" t="str">
        <x:f>IF(AND(J8="",H8&lt;TODAY()),"Overdue",IF(AND(J8="",H8-TODAY()&lt;=3),"Due Soon","On Track"))</x:f>
        <x:v>Due Soon</x:v>
      </x:c>
      <x:c r="M8" s="87" t="str">
        <x:v>Align data with bank partner before response</x:v>
      </x:c>
      <x:c r="N8" s="87" t="str">
        <x:v>/Regulatory/SBV/Banca/</x:v>
      </x:c>
    </x:row>
    <x:row r="9">
      <x:c r="A9" s="87" t="str">
        <x:v>MIC-IN-2026-004</x:v>
      </x:c>
      <x:c r="B9" s="88" t="n">
        <x:v>46170</x:v>
      </x:c>
      <x:c r="C9" s="87" t="str">
        <x:v>Incoming</x:v>
      </x:c>
      <x:c r="D9" s="87" t="str">
        <x:v>MIC</x:v>
      </x:c>
      <x:c r="E9" s="87" t="str">
        <x:v>Data localization consultation draft</x:v>
      </x:c>
      <x:c r="F9" s="87" t="str">
        <x:v>OBL-006</x:v>
      </x:c>
      <x:c r="G9" s="87" t="str">
        <x:v>IT / Legal</x:v>
      </x:c>
      <x:c r="H9" s="88" t="n">
        <x:v>46193</x:v>
      </x:c>
      <x:c r="I9" s="87" t="str">
        <x:v>In Progress</x:v>
      </x:c>
      <x:c r="J9" s="88" t="str"/>
      <x:c r="K9" s="87" t="n">
        <x:f>IF(J9="",TODAY()-B9,J9-B9)</x:f>
        <x:v>14</x:v>
      </x:c>
      <x:c r="L9" s="87" t="str">
        <x:f>IF(AND(J9="",H9&lt;TODAY()),"Overdue",IF(AND(J9="",H9-TODAY()&lt;=3),"Due Soon","On Track"))</x:f>
        <x:v>On Track</x:v>
      </x:c>
      <x:c r="M9" s="87" t="str">
        <x:v>Submit industry feedback through IAV where appropriate</x:v>
      </x:c>
      <x:c r="N9" s="87" t="str">
        <x:v>/Regulatory/MIC/Data/</x:v>
      </x:c>
    </x:row>
    <x:row r="10">
      <x:c r="A10" s="87" t="str">
        <x:v>IAV-IN-2026-011</x:v>
      </x:c>
      <x:c r="B10" s="88" t="n">
        <x:v>46176</x:v>
      </x:c>
      <x:c r="C10" s="87" t="str">
        <x:v>Incoming</x:v>
      </x:c>
      <x:c r="D10" s="87" t="str">
        <x:v>IAV</x:v>
      </x:c>
      <x:c r="E10" s="87" t="str">
        <x:v>Industry working group on product transparency</x:v>
      </x:c>
      <x:c r="F10" s="87" t="str">
        <x:v>OBL-003</x:v>
      </x:c>
      <x:c r="G10" s="87" t="str">
        <x:v>Regulatory &amp; PA</x:v>
      </x:c>
      <x:c r="H10" s="88" t="n">
        <x:v>46186</x:v>
      </x:c>
      <x:c r="I10" s="87" t="str">
        <x:v>Closed</x:v>
      </x:c>
      <x:c r="J10" s="88" t="n">
        <x:v>46183</x:v>
      </x:c>
      <x:c r="K10" s="87" t="n">
        <x:f>IF(J10="",TODAY()-B10,J10-B10)</x:f>
        <x:v>7</x:v>
      </x:c>
      <x:c r="L10" s="87" t="str">
        <x:f>IF(AND(J10="",H10&lt;TODAY()),"Overdue",IF(AND(J10="",H10-TODAY()&lt;=3),"Due Soon","On Track"))</x:f>
        <x:v>On Track</x:v>
      </x:c>
      <x:c r="M10" s="87" t="str">
        <x:v>Prepare internal summary of IAV position</x:v>
      </x:c>
      <x:c r="N10" s="87" t="str">
        <x:v>/Regulatory/IAV/ProductTransparency/</x:v>
      </x:c>
    </x:row>
    <x:row r="11">
      <x:c r="A11" s="87" t="str">
        <x:v>ISA-OUT-2026-035</x:v>
      </x:c>
      <x:c r="B11" s="88" t="n">
        <x:v>46182</x:v>
      </x:c>
      <x:c r="C11" s="87" t="str">
        <x:v>Outgoing</x:v>
      </x:c>
      <x:c r="D11" s="87" t="str">
        <x:v>ISA</x:v>
      </x:c>
      <x:c r="E11" s="87" t="str">
        <x:v>Agent training materials registration</x:v>
      </x:c>
      <x:c r="F11" s="87" t="str">
        <x:v>OBL-004</x:v>
      </x:c>
      <x:c r="G11" s="87" t="str">
        <x:v>Agency</x:v>
      </x:c>
      <x:c r="H11" s="88" t="n">
        <x:v>46191</x:v>
      </x:c>
      <x:c r="I11" s="87" t="str">
        <x:v>Submitted</x:v>
      </x:c>
      <x:c r="J11" s="88" t="n">
        <x:v>46182</x:v>
      </x:c>
      <x:c r="K11" s="87" t="n">
        <x:f>IF(J11="",TODAY()-B11,J11-B11)</x:f>
        <x:v>0</x:v>
      </x:c>
      <x:c r="L11" s="87" t="str">
        <x:f>IF(AND(J11="",H11&lt;TODAY()),"Overdue",IF(AND(J11="",H11-TODAY()&lt;=3),"Due Soon","On Track"))</x:f>
        <x:v>On Track</x:v>
      </x:c>
      <x:c r="M11" s="87" t="str">
        <x:v>Wait for receipt stamp and update archive</x:v>
      </x:c>
      <x:c r="N11" s="87" t="str">
        <x:v>/Regulatory/ISA/AgentTraining/</x:v>
      </x:c>
    </x:row>
  </x:sheetData>
  <x:mergeCells>
    <x:mergeCell ref="A1:N1"/>
    <x:mergeCell ref="A2:N2"/>
  </x:mergeCells>
  <x:conditionalFormatting sqref="L5:L11">
    <x:cfRule type="expression" dxfId="12" priority="1">
      <x:formula>L5="Overdue"</x:formula>
    </x:cfRule>
    <x:cfRule type="expression" dxfId="13" priority="2">
      <x:formula>L5="Due Soon"</x:formula>
    </x:cfRule>
  </x:conditionalFormatting>
  <x:dataValidations count="2">
    <x:dataValidation type="list" sqref="C5:C80">
      <x:formula1>"Incoming,Outgoing"</x:formula1>
    </x:dataValidation>
    <x:dataValidation type="list" sqref="I5:I80">
      <x:formula1>"Open,In Progress,Submitted,Waiting Reply,Closed,Overdue"</x:formula1>
    </x:dataValidation>
  </x:dataValidations>
  <x:pageMargins left="0.7" right="0.7" top="0.75" bottom="0.75" header="0.3" footer="0.3"/>
  <x:tableParts count="1">
    <x:tablePart xmlns:r="http://schemas.openxmlformats.org/officeDocument/2006/relationships" r:id="R9d4d5eb17f624cad"/>
  </x:tableParts>
</x:worksheet>
</file>

<file path=xl/worksheets/sheet2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Product Approval Command Center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Dedicated tracker for product approval dossiers, bottlenecks and expected timeline</x:v>
      </x:c>
    </x:row>
    <x:row r="4" ht="30" customHeight="1">
      <x:c r="A4" s="86" t="str">
        <x:v>Product ID</x:v>
      </x:c>
      <x:c r="B4" s="86" t="str">
        <x:v>Product Name</x:v>
      </x:c>
      <x:c r="C4" s="86" t="str">
        <x:v>Product Type</x:v>
      </x:c>
      <x:c r="D4" s="86" t="str">
        <x:v>Business Owner</x:v>
      </x:c>
      <x:c r="E4" s="86" t="str">
        <x:v>Regulator</x:v>
      </x:c>
      <x:c r="F4" s="86" t="str">
        <x:v>Current Stage</x:v>
      </x:c>
      <x:c r="G4" s="86" t="str">
        <x:v>Request Date</x:v>
      </x:c>
      <x:c r="H4" s="86" t="str">
        <x:v>Submitted Date</x:v>
      </x:c>
      <x:c r="I4" s="86" t="str">
        <x:v>Target Approval Date</x:v>
      </x:c>
      <x:c r="J4" s="86" t="str">
        <x:v>Expected Approval Days</x:v>
      </x:c>
      <x:c r="K4" s="86" t="str">
        <x:v>Actual Approval Date</x:v>
      </x:c>
      <x:c r="L4" s="86" t="str">
        <x:v>Bottleneck</x:v>
      </x:c>
      <x:c r="M4" s="86" t="str">
        <x:v>Approval Risk</x:v>
      </x:c>
      <x:c r="N4" s="86" t="str">
        <x:v>Next Action</x:v>
      </x:c>
    </x:row>
    <x:row r="5">
      <x:c r="A5" s="87" t="str">
        <x:v>PROD-001</x:v>
      </x:c>
      <x:c r="B5" s="87" t="str">
        <x:v>FutureCare UL Plus</x:v>
      </x:c>
      <x:c r="C5" s="87" t="str">
        <x:v>Unit-linked</x:v>
      </x:c>
      <x:c r="D5" s="87" t="str">
        <x:v>Product</x:v>
      </x:c>
      <x:c r="E5" s="87" t="str">
        <x:v>ISA</x:v>
      </x:c>
      <x:c r="F5" s="87" t="str">
        <x:v>Regulator Review</x:v>
      </x:c>
      <x:c r="G5" s="88" t="n">
        <x:v>46154</x:v>
      </x:c>
      <x:c r="H5" s="88" t="n">
        <x:v>46175</x:v>
      </x:c>
      <x:c r="I5" s="88" t="n">
        <x:v>46218</x:v>
      </x:c>
      <x:c r="J5" s="87" t="n">
        <x:f>IF(K5="",I5-G5,K5-G5)</x:f>
        <x:v>64</x:v>
      </x:c>
      <x:c r="K5" s="88" t="str"/>
      <x:c r="L5" s="87" t="str">
        <x:v>Additional disclosure questions</x:v>
      </x:c>
      <x:c r="M5" s="87" t="str">
        <x:v>Medium</x:v>
      </x:c>
      <x:c r="N5" s="87" t="str">
        <x:v>Prepare written clarification on benefit illustration</x:v>
      </x:c>
    </x:row>
    <x:row r="6">
      <x:c r="A6" s="87" t="str">
        <x:v>PROD-002</x:v>
      </x:c>
      <x:c r="B6" s="87" t="str">
        <x:v>Health Shield Rider 2026</x:v>
      </x:c>
      <x:c r="C6" s="87" t="str">
        <x:v>Health rider</x:v>
      </x:c>
      <x:c r="D6" s="87" t="str">
        <x:v>Product / Actuary</x:v>
      </x:c>
      <x:c r="E6" s="87" t="str">
        <x:v>ISA</x:v>
      </x:c>
      <x:c r="F6" s="87" t="str">
        <x:v>Internal Legal Review</x:v>
      </x:c>
      <x:c r="G6" s="88" t="n">
        <x:v>46174</x:v>
      </x:c>
      <x:c r="H6" s="88" t="str"/>
      <x:c r="I6" s="88" t="n">
        <x:v>46233</x:v>
      </x:c>
      <x:c r="J6" s="87" t="n">
        <x:f>IF(K6="",I6-G6,K6-G6)</x:f>
        <x:v>59</x:v>
      </x:c>
      <x:c r="K6" s="88" t="str"/>
      <x:c r="L6" s="87" t="str">
        <x:v>Legal wording and exclusion clauses</x:v>
      </x:c>
      <x:c r="M6" s="87" t="str">
        <x:v>Medium</x:v>
      </x:c>
      <x:c r="N6" s="87" t="str">
        <x:v>Finalize wording and submit to Compliance</x:v>
      </x:c>
    </x:row>
    <x:row r="7">
      <x:c r="A7" s="87" t="str">
        <x:v>PROD-003</x:v>
      </x:c>
      <x:c r="B7" s="87" t="str">
        <x:v>Retirement Income Plan</x:v>
      </x:c>
      <x:c r="C7" s="87" t="str">
        <x:v>Pension / savings</x:v>
      </x:c>
      <x:c r="D7" s="87" t="str">
        <x:v>Product / Finance</x:v>
      </x:c>
      <x:c r="E7" s="87" t="str">
        <x:v>ISA</x:v>
      </x:c>
      <x:c r="F7" s="87" t="str">
        <x:v>Drafting</x:v>
      </x:c>
      <x:c r="G7" s="88" t="n">
        <x:v>46178</x:v>
      </x:c>
      <x:c r="H7" s="88" t="str"/>
      <x:c r="I7" s="88" t="n">
        <x:v>46254</x:v>
      </x:c>
      <x:c r="J7" s="87" t="n">
        <x:f>IF(K7="",I7-G7,K7-G7)</x:f>
        <x:v>76</x:v>
      </x:c>
      <x:c r="K7" s="88" t="str"/>
      <x:c r="L7" s="87" t="str">
        <x:v>Pricing assumptions alignment</x:v>
      </x:c>
      <x:c r="M7" s="87" t="str">
        <x:v>Low</x:v>
      </x:c>
      <x:c r="N7" s="87" t="str">
        <x:v>Complete actuarial memo</x:v>
      </x:c>
    </x:row>
    <x:row r="8">
      <x:c r="A8" s="87" t="str">
        <x:v>PROD-004</x:v>
      </x:c>
      <x:c r="B8" s="87" t="str">
        <x:v>Family Protection 2026</x:v>
      </x:c>
      <x:c r="C8" s="87" t="str">
        <x:v>Traditional life</x:v>
      </x:c>
      <x:c r="D8" s="87" t="str">
        <x:v>Product</x:v>
      </x:c>
      <x:c r="E8" s="87" t="str">
        <x:v>ISA</x:v>
      </x:c>
      <x:c r="F8" s="87" t="str">
        <x:v>Approved</x:v>
      </x:c>
      <x:c r="G8" s="88" t="n">
        <x:v>46127</x:v>
      </x:c>
      <x:c r="H8" s="88" t="n">
        <x:v>46147</x:v>
      </x:c>
      <x:c r="I8" s="88" t="n">
        <x:v>46198</x:v>
      </x:c>
      <x:c r="J8" s="87" t="n">
        <x:f>IF(K8="",I8-G8,K8-G8)</x:f>
        <x:v>54</x:v>
      </x:c>
      <x:c r="K8" s="88" t="n">
        <x:v>46181</x:v>
      </x:c>
      <x:c r="L8" s="87" t="str">
        <x:v>None</x:v>
      </x:c>
      <x:c r="M8" s="87" t="str">
        <x:v>Low</x:v>
      </x:c>
      <x:c r="N8" s="87" t="str">
        <x:v>Archive approval and notify distribution</x:v>
      </x:c>
    </x:row>
    <x:row r="9">
      <x:c r="A9" s="87" t="str">
        <x:v>PROD-005</x:v>
      </x:c>
      <x:c r="B9" s="87" t="str">
        <x:v>Digital Term Life</x:v>
      </x:c>
      <x:c r="C9" s="87" t="str">
        <x:v>Protection / digital</x:v>
      </x:c>
      <x:c r="D9" s="87" t="str">
        <x:v>Digital / Product</x:v>
      </x:c>
      <x:c r="E9" s="87" t="str">
        <x:v>ISA / MIC</x:v>
      </x:c>
      <x:c r="F9" s="87" t="str">
        <x:v>Pre-consultation</x:v>
      </x:c>
      <x:c r="G9" s="88" t="n">
        <x:v>46176</x:v>
      </x:c>
      <x:c r="H9" s="88" t="str"/>
      <x:c r="I9" s="88" t="n">
        <x:v>46275</x:v>
      </x:c>
      <x:c r="J9" s="87" t="n">
        <x:f>IF(K9="",I9-G9,K9-G9)</x:f>
        <x:v>99</x:v>
      </x:c>
      <x:c r="K9" s="88" t="str"/>
      <x:c r="L9" s="87" t="str">
        <x:v>Data consent and e-KYC process</x:v>
      </x:c>
      <x:c r="M9" s="87" t="str">
        <x:v>High</x:v>
      </x:c>
      <x:c r="N9" s="87" t="str">
        <x:v>Hold pre-consultation with data/legal team</x:v>
      </x:c>
    </x:row>
    <x:row r="10">
      <x:c r="A10" s="87" t="str">
        <x:v>PROD-006</x:v>
      </x:c>
      <x:c r="B10" s="87" t="str">
        <x:v>Banca Savings Plan</x:v>
      </x:c>
      <x:c r="C10" s="87" t="str">
        <x:v>Bancassurance</x:v>
      </x:c>
      <x:c r="D10" s="87" t="str">
        <x:v>Partnership Distribution</x:v>
      </x:c>
      <x:c r="E10" s="87" t="str">
        <x:v>ISA / SBV</x:v>
      </x:c>
      <x:c r="F10" s="87" t="str">
        <x:v>On Hold</x:v>
      </x:c>
      <x:c r="G10" s="88" t="n">
        <x:v>46162</x:v>
      </x:c>
      <x:c r="H10" s="88" t="str"/>
      <x:c r="I10" s="88" t="n">
        <x:v>46239</x:v>
      </x:c>
      <x:c r="J10" s="87" t="n">
        <x:f>IF(K10="",I10-G10,K10-G10)</x:f>
        <x:v>77</x:v>
      </x:c>
      <x:c r="K10" s="88" t="str"/>
      <x:c r="L10" s="87" t="str">
        <x:v>Bancassurance conduct review</x:v>
      </x:c>
      <x:c r="M10" s="87" t="str">
        <x:v>High</x:v>
      </x:c>
      <x:c r="N10" s="87" t="str">
        <x:v>Await internal conduct remediation evidence</x:v>
      </x:c>
    </x:row>
  </x:sheetData>
  <x:mergeCells>
    <x:mergeCell ref="A1:N1"/>
    <x:mergeCell ref="A2:N2"/>
  </x:mergeCells>
  <x:conditionalFormatting sqref="M5:M10">
    <x:cfRule type="expression" dxfId="14" priority="1">
      <x:formula>M5="High"</x:formula>
    </x:cfRule>
    <x:cfRule type="expression" dxfId="15" priority="2">
      <x:formula>M5="Medium"</x:formula>
    </x:cfRule>
  </x:conditionalFormatting>
  <x:dataValidations count="2">
    <x:dataValidation type="list" sqref="F5:F80">
      <x:formula1>"Drafting,Internal Legal Review,Compliance Review,Submitted,Regulator Review,Pre-consultation,Approved,On Hold,Rejected/Withdrawn"</x:formula1>
    </x:dataValidation>
    <x:dataValidation type="list" sqref="M5:M80">
      <x:formula1>"Low,Medium,High"</x:formula1>
    </x:dataValidation>
  </x:dataValidations>
  <x:pageMargins left="0.7" right="0.7" top="0.75" bottom="0.75" header="0.3" footer="0.3"/>
  <x:tableParts count="1">
    <x:tablePart xmlns:r="http://schemas.openxmlformats.org/officeDocument/2006/relationships" r:id="R2708e142d87e4eea"/>
  </x:tableParts>
</x:worksheet>
</file>

<file path=xl/worksheets/sheet2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Internal Coordination Tracker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Follow-up matrix with Legal, Compliance, Product, Finance, Distribution and Regional Office</x:v>
      </x:c>
    </x:row>
    <x:row r="4" ht="30" customHeight="1">
      <x:c r="A4" s="86" t="str">
        <x:v>Item ID</x:v>
      </x:c>
      <x:c r="B4" s="86" t="str">
        <x:v>Department</x:v>
      </x:c>
      <x:c r="C4" s="86" t="str">
        <x:v>Request / Input Needed</x:v>
      </x:c>
      <x:c r="D4" s="86" t="str">
        <x:v>Linked Matter</x:v>
      </x:c>
      <x:c r="E4" s="86" t="str">
        <x:v>Request Date</x:v>
      </x:c>
      <x:c r="F4" s="86" t="str">
        <x:v>Due Date</x:v>
      </x:c>
      <x:c r="G4" s="86" t="str">
        <x:v>SLA Days</x:v>
      </x:c>
      <x:c r="H4" s="86" t="str">
        <x:v>Owner</x:v>
      </x:c>
      <x:c r="I4" s="86" t="str">
        <x:v>Status</x:v>
      </x:c>
      <x:c r="J4" s="86" t="str">
        <x:v>Escalation</x:v>
      </x:c>
      <x:c r="K4" s="86" t="str">
        <x:v>Days to Due</x:v>
      </x:c>
      <x:c r="L4" s="86" t="str">
        <x:v>Reminder Sent</x:v>
      </x:c>
      <x:c r="M4" s="86" t="str">
        <x:v>Management Attention</x:v>
      </x:c>
    </x:row>
    <x:row r="5">
      <x:c r="A5" s="87" t="str">
        <x:v>INT-001</x:v>
      </x:c>
      <x:c r="B5" s="87" t="str">
        <x:v>Legal</x:v>
      </x:c>
      <x:c r="C5" s="87" t="str">
        <x:v>Review official letter to ISA for product clarification</x:v>
      </x:c>
      <x:c r="D5" s="87" t="str">
        <x:v>PROD-001</x:v>
      </x:c>
      <x:c r="E5" s="88" t="n">
        <x:v>46181</x:v>
      </x:c>
      <x:c r="F5" s="88" t="n">
        <x:v>46186</x:v>
      </x:c>
      <x:c r="G5" s="87" t="n">
        <x:f>F5-E5</x:f>
        <x:v>5</x:v>
      </x:c>
      <x:c r="H5" s="87" t="str">
        <x:v>Legal Counsel</x:v>
      </x:c>
      <x:c r="I5" s="87" t="str">
        <x:v>In Progress</x:v>
      </x:c>
      <x:c r="J5" s="87" t="str">
        <x:v>No</x:v>
      </x:c>
      <x:c r="K5" s="87" t="n">
        <x:f>F5-TODAY()</x:f>
        <x:v>2</x:v>
      </x:c>
      <x:c r="L5" s="87" t="str">
        <x:v>Yes</x:v>
      </x:c>
      <x:c r="M5" s="87" t="str">
        <x:f>IF(K5&lt;0,"Yes",IF(AND(K5&lt;=2,I5&lt;&gt;"Done"),"Potential","No"))</x:f>
        <x:v>Potential</x:v>
      </x:c>
    </x:row>
    <x:row r="6">
      <x:c r="A6" s="87" t="str">
        <x:v>INT-002</x:v>
      </x:c>
      <x:c r="B6" s="87" t="str">
        <x:v>Compliance</x:v>
      </x:c>
      <x:c r="C6" s="87" t="str">
        <x:v>Confirm market conduct controls for bancassurance response</x:v>
      </x:c>
      <x:c r="D6" s="87" t="str">
        <x:v>SBV-IN-2026-006</x:v>
      </x:c>
      <x:c r="E6" s="88" t="n">
        <x:v>46179</x:v>
      </x:c>
      <x:c r="F6" s="88" t="n">
        <x:v>46185</x:v>
      </x:c>
      <x:c r="G6" s="87" t="n">
        <x:f>F6-E6</x:f>
        <x:v>6</x:v>
      </x:c>
      <x:c r="H6" s="87" t="str">
        <x:v>Compliance Manager</x:v>
      </x:c>
      <x:c r="I6" s="87" t="str">
        <x:v>Pending</x:v>
      </x:c>
      <x:c r="J6" s="87" t="str">
        <x:v>Yes</x:v>
      </x:c>
      <x:c r="K6" s="87" t="n">
        <x:f>F6-TODAY()</x:f>
        <x:v>1</x:v>
      </x:c>
      <x:c r="L6" s="87" t="str">
        <x:v>Yes</x:v>
      </x:c>
      <x:c r="M6" s="87" t="str">
        <x:f>IF(K6&lt;0,"Yes",IF(AND(K6&lt;=2,I6&lt;&gt;"Done"),"Potential","No"))</x:f>
        <x:v>Potential</x:v>
      </x:c>
    </x:row>
    <x:row r="7">
      <x:c r="A7" s="87" t="str">
        <x:v>INT-003</x:v>
      </x:c>
      <x:c r="B7" s="87" t="str">
        <x:v>Finance</x:v>
      </x:c>
      <x:c r="C7" s="87" t="str">
        <x:v>Provide capital adequacy figures and management sign-off</x:v>
      </x:c>
      <x:c r="D7" s="87" t="str">
        <x:v>OBL-002</x:v>
      </x:c>
      <x:c r="E7" s="88" t="n">
        <x:v>46183</x:v>
      </x:c>
      <x:c r="F7" s="88" t="n">
        <x:v>46191</x:v>
      </x:c>
      <x:c r="G7" s="87" t="n">
        <x:f>F7-E7</x:f>
        <x:v>8</x:v>
      </x:c>
      <x:c r="H7" s="87" t="str">
        <x:v>Finance Controller</x:v>
      </x:c>
      <x:c r="I7" s="87" t="str">
        <x:v>Open</x:v>
      </x:c>
      <x:c r="J7" s="87" t="str">
        <x:v>No</x:v>
      </x:c>
      <x:c r="K7" s="87" t="n">
        <x:f>F7-TODAY()</x:f>
        <x:v>7</x:v>
      </x:c>
      <x:c r="L7" s="87" t="str">
        <x:v>No</x:v>
      </x:c>
      <x:c r="M7" s="87" t="str">
        <x:f>IF(K7&lt;0,"Yes",IF(AND(K7&lt;=2,I7&lt;&gt;"Done"),"Potential","No"))</x:f>
        <x:v>No</x:v>
      </x:c>
    </x:row>
    <x:row r="8">
      <x:c r="A8" s="87" t="str">
        <x:v>INT-004</x:v>
      </x:c>
      <x:c r="B8" s="87" t="str">
        <x:v>Product</x:v>
      </x:c>
      <x:c r="C8" s="87" t="str">
        <x:v>Update product disclosure comparison table</x:v>
      </x:c>
      <x:c r="D8" s="87" t="str">
        <x:v>PROD-001</x:v>
      </x:c>
      <x:c r="E8" s="88" t="n">
        <x:v>46182</x:v>
      </x:c>
      <x:c r="F8" s="88" t="n">
        <x:v>46187</x:v>
      </x:c>
      <x:c r="G8" s="87" t="n">
        <x:f>F8-E8</x:f>
        <x:v>5</x:v>
      </x:c>
      <x:c r="H8" s="87" t="str">
        <x:v>Product Lead</x:v>
      </x:c>
      <x:c r="I8" s="87" t="str">
        <x:v>In Progress</x:v>
      </x:c>
      <x:c r="J8" s="87" t="str">
        <x:v>No</x:v>
      </x:c>
      <x:c r="K8" s="87" t="n">
        <x:f>F8-TODAY()</x:f>
        <x:v>3</x:v>
      </x:c>
      <x:c r="L8" s="87" t="str">
        <x:v>Yes</x:v>
      </x:c>
      <x:c r="M8" s="87" t="str">
        <x:f>IF(K8&lt;0,"Yes",IF(AND(K8&lt;=2,I8&lt;&gt;"Done"),"Potential","No"))</x:f>
        <x:v>No</x:v>
      </x:c>
    </x:row>
    <x:row r="9">
      <x:c r="A9" s="87" t="str">
        <x:v>INT-005</x:v>
      </x:c>
      <x:c r="B9" s="87" t="str">
        <x:v>Customer Service</x:v>
      </x:c>
      <x:c r="C9" s="87" t="str">
        <x:v>Extract monthly complaint statistics and root-cause analysis</x:v>
      </x:c>
      <x:c r="D9" s="87" t="str">
        <x:v>MOF-IN-2026-022</x:v>
      </x:c>
      <x:c r="E9" s="88" t="n">
        <x:v>46180</x:v>
      </x:c>
      <x:c r="F9" s="88" t="n">
        <x:v>46186</x:v>
      </x:c>
      <x:c r="G9" s="87" t="n">
        <x:f>F9-E9</x:f>
        <x:v>6</x:v>
      </x:c>
      <x:c r="H9" s="87" t="str">
        <x:v>CS Manager</x:v>
      </x:c>
      <x:c r="I9" s="87" t="str">
        <x:v>In Progress</x:v>
      </x:c>
      <x:c r="J9" s="87" t="str">
        <x:v>No</x:v>
      </x:c>
      <x:c r="K9" s="87" t="n">
        <x:f>F9-TODAY()</x:f>
        <x:v>2</x:v>
      </x:c>
      <x:c r="L9" s="87" t="str">
        <x:v>Yes</x:v>
      </x:c>
      <x:c r="M9" s="87" t="str">
        <x:f>IF(K9&lt;0,"Yes",IF(AND(K9&lt;=2,I9&lt;&gt;"Done"),"Potential","No"))</x:f>
        <x:v>Potential</x:v>
      </x:c>
    </x:row>
    <x:row r="10">
      <x:c r="A10" s="87" t="str">
        <x:v>INT-006</x:v>
      </x:c>
      <x:c r="B10" s="87" t="str">
        <x:v>IT / Data</x:v>
      </x:c>
      <x:c r="C10" s="87" t="str">
        <x:v>Validate data processing inventory for MIC consultation</x:v>
      </x:c>
      <x:c r="D10" s="87" t="str">
        <x:v>MIC-IN-2026-004</x:v>
      </x:c>
      <x:c r="E10" s="88" t="n">
        <x:v>46178</x:v>
      </x:c>
      <x:c r="F10" s="88" t="n">
        <x:v>46192</x:v>
      </x:c>
      <x:c r="G10" s="87" t="n">
        <x:f>F10-E10</x:f>
        <x:v>14</x:v>
      </x:c>
      <x:c r="H10" s="87" t="str">
        <x:v>Data Privacy Officer</x:v>
      </x:c>
      <x:c r="I10" s="87" t="str">
        <x:v>Open</x:v>
      </x:c>
      <x:c r="J10" s="87" t="str">
        <x:v>No</x:v>
      </x:c>
      <x:c r="K10" s="87" t="n">
        <x:f>F10-TODAY()</x:f>
        <x:v>8</x:v>
      </x:c>
      <x:c r="L10" s="87" t="str">
        <x:v>No</x:v>
      </x:c>
      <x:c r="M10" s="87" t="str">
        <x:f>IF(K10&lt;0,"Yes",IF(AND(K10&lt;=2,I10&lt;&gt;"Done"),"Potential","No"))</x:f>
        <x:v>No</x:v>
      </x:c>
    </x:row>
    <x:row r="11">
      <x:c r="A11" s="87" t="str">
        <x:v>INT-007</x:v>
      </x:c>
      <x:c r="B11" s="87" t="str">
        <x:v>Regional Office</x:v>
      </x:c>
      <x:c r="C11" s="87" t="str">
        <x:v>Confirm APAC position on ESG disclosure readiness</x:v>
      </x:c>
      <x:c r="D11" s="87" t="str">
        <x:v>OBL-009</x:v>
      </x:c>
      <x:c r="E11" s="88" t="n">
        <x:v>46183</x:v>
      </x:c>
      <x:c r="F11" s="88" t="n">
        <x:v>46198</x:v>
      </x:c>
      <x:c r="G11" s="87" t="n">
        <x:f>F11-E11</x:f>
        <x:v>15</x:v>
      </x:c>
      <x:c r="H11" s="87" t="str">
        <x:v>Regional PA</x:v>
      </x:c>
      <x:c r="I11" s="87" t="str">
        <x:v>Open</x:v>
      </x:c>
      <x:c r="J11" s="87" t="str">
        <x:v>No</x:v>
      </x:c>
      <x:c r="K11" s="87" t="n">
        <x:f>F11-TODAY()</x:f>
        <x:v>14</x:v>
      </x:c>
      <x:c r="L11" s="87" t="str">
        <x:v>No</x:v>
      </x:c>
      <x:c r="M11" s="87" t="str">
        <x:f>IF(K11&lt;0,"Yes",IF(AND(K11&lt;=2,I11&lt;&gt;"Done"),"Potential","No"))</x:f>
        <x:v>No</x:v>
      </x:c>
    </x:row>
  </x:sheetData>
  <x:mergeCells>
    <x:mergeCell ref="A1:M1"/>
    <x:mergeCell ref="A2:M2"/>
  </x:mergeCells>
  <x:conditionalFormatting sqref="J5:J11">
    <x:cfRule type="expression" dxfId="16" priority="1">
      <x:formula>J5="Yes"</x:formula>
    </x:cfRule>
  </x:conditionalFormatting>
  <x:conditionalFormatting sqref="M5:M11">
    <x:cfRule type="expression" dxfId="17" priority="2">
      <x:formula>M5="Yes"</x:formula>
    </x:cfRule>
  </x:conditionalFormatting>
  <x:dataValidations count="1">
    <x:dataValidation type="list" sqref="I5:I80">
      <x:formula1>"Open,Pending,In Progress,Done,Blocked"</x:formula1>
    </x:dataValidation>
  </x:dataValidations>
  <x:pageMargins left="0.7" right="0.7" top="0.75" bottom="0.75" header="0.3" footer="0.3"/>
  <x:tableParts count="1">
    <x:tablePart xmlns:r="http://schemas.openxmlformats.org/officeDocument/2006/relationships" r:id="Rfe2a05a32f1e49f8"/>
  </x:tableParts>
</x:worksheet>
</file>

<file path=xl/worksheets/sheet2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Meeting Intelligence</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Before-meeting preparation and after-meeting commitments/action tracking</x:v>
      </x:c>
    </x:row>
    <x:row r="4" ht="30" customHeight="1">
      <x:c r="A4" s="86" t="str">
        <x:v>Meeting ID</x:v>
      </x:c>
      <x:c r="B4" s="86" t="str">
        <x:v>Date</x:v>
      </x:c>
      <x:c r="C4" s="86" t="str">
        <x:v>Regulator</x:v>
      </x:c>
      <x:c r="D4" s="86" t="str">
        <x:v>Topic</x:v>
      </x:c>
      <x:c r="E4" s="86" t="str">
        <x:v>Meeting Type</x:v>
      </x:c>
      <x:c r="F4" s="86" t="str">
        <x:v>Pre-Meeting Objective</x:v>
      </x:c>
      <x:c r="G4" s="86" t="str">
        <x:v>Key Talking Points</x:v>
      </x:c>
      <x:c r="H4" s="86" t="str">
        <x:v>Potential Regulator Questions</x:v>
      </x:c>
      <x:c r="I4" s="86" t="str">
        <x:v>Recommended Position</x:v>
      </x:c>
      <x:c r="J4" s="86" t="str">
        <x:v>Commitments Made</x:v>
      </x:c>
      <x:c r="K4" s="86" t="str">
        <x:v>Action Owner</x:v>
      </x:c>
      <x:c r="L4" s="86" t="str">
        <x:v>Action Due Date</x:v>
      </x:c>
      <x:c r="M4" s="86" t="str">
        <x:v>Status</x:v>
      </x:c>
      <x:c r="N4" s="86" t="str">
        <x:v>Institutional Memory Note</x:v>
      </x:c>
      <x:c r="O4" s="86" t="str">
        <x:v>Linked Documents</x:v>
      </x:c>
    </x:row>
    <x:row r="5">
      <x:c r="A5" s="87" t="str">
        <x:v>MTG-001</x:v>
      </x:c>
      <x:c r="B5" s="88" t="n">
        <x:v>46187</x:v>
      </x:c>
      <x:c r="C5" s="87" t="str">
        <x:v>ISA</x:v>
      </x:c>
      <x:c r="D5" s="87" t="str">
        <x:v>Product approval clarification</x:v>
      </x:c>
      <x:c r="E5" s="87" t="str">
        <x:v>Technical session</x:v>
      </x:c>
      <x:c r="F5" s="87" t="str">
        <x:v>Clarify disclosure and benefit illustration questions</x:v>
      </x:c>
      <x:c r="G5" s="87" t="str">
        <x:v>Customer protection; transparent illustration; internal controls</x:v>
      </x:c>
      <x:c r="H5" s="87" t="str">
        <x:v>How does the product avoid mis-selling? What disclosures are provided?</x:v>
      </x:c>
      <x:c r="I5" s="87" t="str">
        <x:v>Support ISA's customer protection objective with evidence</x:v>
      </x:c>
      <x:c r="J5" s="87" t="str">
        <x:v>Submit revised Q&amp;A and disclosure note</x:v>
      </x:c>
      <x:c r="K5" s="87" t="str">
        <x:v>Product / Legal</x:v>
      </x:c>
      <x:c r="L5" s="88" t="n">
        <x:v>46190</x:v>
      </x:c>
      <x:c r="M5" s="87" t="str">
        <x:v>Open</x:v>
      </x:c>
      <x:c r="N5" s="87" t="str">
        <x:v>ISA focused strongly on customer understanding and sales training evidence</x:v>
      </x:c>
      <x:c r="O5" s="87" t="str">
        <x:v>PROD-001 dossier</x:v>
      </x:c>
    </x:row>
    <x:row r="6">
      <x:c r="A6" s="87" t="str">
        <x:v>MTG-002</x:v>
      </x:c>
      <x:c r="B6" s="88" t="n">
        <x:v>46191</x:v>
      </x:c>
      <x:c r="C6" s="87" t="str">
        <x:v>MOF</x:v>
      </x:c>
      <x:c r="D6" s="87" t="str">
        <x:v>Capital adequacy reporting</x:v>
      </x:c>
      <x:c r="E6" s="87" t="str">
        <x:v>Strategic dialogue</x:v>
      </x:c>
      <x:c r="F6" s="87" t="str">
        <x:v>Confirm reporting expectations and timeline</x:v>
      </x:c>
      <x:c r="G6" s="87" t="str">
        <x:v>Capital strength; consistency; no delay</x:v>
      </x:c>
      <x:c r="H6" s="87" t="str">
        <x:v>Are solvency assumptions consistent with last quarter?</x:v>
      </x:c>
      <x:c r="I6" s="87" t="str">
        <x:v>Transparent and technical, avoid over-promising</x:v>
      </x:c>
      <x:c r="J6" s="87" t="str">
        <x:v>Provide signed actuarial memo</x:v>
      </x:c>
      <x:c r="K6" s="87" t="str">
        <x:v>Finance</x:v>
      </x:c>
      <x:c r="L6" s="88" t="n">
        <x:v>46195</x:v>
      </x:c>
      <x:c r="M6" s="87" t="str">
        <x:v>Open</x:v>
      </x:c>
      <x:c r="N6" s="87" t="str">
        <x:v>MOF values concise explanations and audited evidence</x:v>
      </x:c>
      <x:c r="O6" s="87" t="str">
        <x:v>Capital report pack</x:v>
      </x:c>
    </x:row>
    <x:row r="7">
      <x:c r="A7" s="87" t="str">
        <x:v>MTG-003</x:v>
      </x:c>
      <x:c r="B7" s="88" t="n">
        <x:v>46193</x:v>
      </x:c>
      <x:c r="C7" s="87" t="str">
        <x:v>IAV</x:v>
      </x:c>
      <x:c r="D7" s="87" t="str">
        <x:v>Product transparency working group</x:v>
      </x:c>
      <x:c r="E7" s="87" t="str">
        <x:v>Industry working group</x:v>
      </x:c>
      <x:c r="F7" s="87" t="str">
        <x:v>Align industry feedback on product disclosure</x:v>
      </x:c>
      <x:c r="G7" s="87" t="str">
        <x:v>Comparable disclosure; consumer education; implementation timeline</x:v>
      </x:c>
      <x:c r="H7" s="87" t="str">
        <x:v>Can industry agree on minimum disclosure standards?</x:v>
      </x:c>
      <x:c r="I7" s="87" t="str">
        <x:v>Use IAV channel to support balanced implementation</x:v>
      </x:c>
      <x:c r="J7" s="87" t="str">
        <x:v>Share Manulife draft position</x:v>
      </x:c>
      <x:c r="K7" s="87" t="str">
        <x:v>Regulatory &amp; PA</x:v>
      </x:c>
      <x:c r="L7" s="88" t="n">
        <x:v>46197</x:v>
      </x:c>
      <x:c r="M7" s="87" t="str">
        <x:v>Open</x:v>
      </x:c>
      <x:c r="N7" s="87" t="str">
        <x:v>IAV can help aggregate technical input</x:v>
      </x:c>
      <x:c r="O7" s="87" t="str">
        <x:v>IAV memo</x:v>
      </x:c>
    </x:row>
    <x:row r="8">
      <x:c r="A8" s="87" t="str">
        <x:v>MTG-004</x:v>
      </x:c>
      <x:c r="B8" s="88" t="n">
        <x:v>46198</x:v>
      </x:c>
      <x:c r="C8" s="87" t="str">
        <x:v>MIC</x:v>
      </x:c>
      <x:c r="D8" s="87" t="str">
        <x:v>Data localization consultation</x:v>
      </x:c>
      <x:c r="E8" s="87" t="str">
        <x:v>Consultation meeting</x:v>
      </x:c>
      <x:c r="F8" s="87" t="str">
        <x:v>Understand data storage interpretation</x:v>
      </x:c>
      <x:c r="G8" s="87" t="str">
        <x:v>Data security; cross-border processing; customer consent</x:v>
      </x:c>
      <x:c r="H8" s="87" t="str">
        <x:v>What data is stored overseas and why?</x:v>
      </x:c>
      <x:c r="I8" s="87" t="str">
        <x:v>Acknowledge policy objective; propose practical transition period</x:v>
      </x:c>
      <x:c r="J8" s="87" t="str">
        <x:v>Submit data flow summary</x:v>
      </x:c>
      <x:c r="K8" s="87" t="str">
        <x:v>IT / Legal</x:v>
      </x:c>
      <x:c r="L8" s="88" t="n">
        <x:v>46203</x:v>
      </x:c>
      <x:c r="M8" s="87" t="str">
        <x:v>Planned</x:v>
      </x:c>
      <x:c r="N8" s="87" t="str">
        <x:v>MIC likely expects clear mapping of customer data flows</x:v>
      </x:c>
      <x:c r="O8" s="87" t="str">
        <x:v>Data privacy inventory</x:v>
      </x:c>
    </x:row>
  </x:sheetData>
  <x:mergeCells>
    <x:mergeCell ref="A1:O1"/>
    <x:mergeCell ref="A2:O2"/>
  </x:mergeCells>
  <x:dataValidations count="1">
    <x:dataValidation type="list" sqref="M5:M80">
      <x:formula1>"Planned,Open,In Progress,Closed"</x:formula1>
    </x:dataValidation>
  </x:dataValidations>
  <x:pageMargins left="0.7" right="0.7" top="0.75" bottom="0.75" header="0.3" footer="0.3"/>
  <x:tableParts count="1">
    <x:tablePart xmlns:r="http://schemas.openxmlformats.org/officeDocument/2006/relationships" r:id="Ra534e8a5b3b14987"/>
  </x:tableParts>
</x:worksheet>
</file>

<file path=xl/worksheets/sheet2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Inspection Readiness</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Self-assessment dashboard for regulator inspection preparedness</x:v>
      </x:c>
    </x:row>
    <x:row r="4" ht="30" customHeight="1">
      <x:c r="A4" s="86" t="str">
        <x:v>Area</x:v>
      </x:c>
      <x:c r="B4" s="86" t="str">
        <x:v>Regulator Focus</x:v>
      </x:c>
      <x:c r="C4" s="86" t="str">
        <x:v>Required Evidence</x:v>
      </x:c>
      <x:c r="D4" s="86" t="str">
        <x:v>Owner</x:v>
      </x:c>
      <x:c r="E4" s="86" t="str">
        <x:v>Last Review Date</x:v>
      </x:c>
      <x:c r="F4" s="86" t="str">
        <x:v>Readiness Score (0-100)</x:v>
      </x:c>
      <x:c r="G4" s="86" t="str">
        <x:v>Gap</x:v>
      </x:c>
      <x:c r="H4" s="86" t="str">
        <x:v>Remediation Action</x:v>
      </x:c>
      <x:c r="I4" s="86" t="str">
        <x:v>Due Date</x:v>
      </x:c>
      <x:c r="J4" s="86" t="str">
        <x:v>Status</x:v>
      </x:c>
      <x:c r="K4" s="86" t="str">
        <x:v>RAG</x:v>
      </x:c>
    </x:row>
    <x:row r="5">
      <x:c r="A5" s="87" t="str">
        <x:v>Regulatory reporting</x:v>
      </x:c>
      <x:c r="B5" s="87" t="str">
        <x:v>Timeliness and accuracy of periodic reports</x:v>
      </x:c>
      <x:c r="C5" s="87" t="str">
        <x:v>Submission log, signed reports, proof of receipt</x:v>
      </x:c>
      <x:c r="D5" s="87" t="str">
        <x:v>Regulatory Affairs</x:v>
      </x:c>
      <x:c r="E5" s="88" t="n">
        <x:v>46174</x:v>
      </x:c>
      <x:c r="F5" s="87" t="n">
        <x:v>88</x:v>
      </x:c>
      <x:c r="G5" s="87" t="str">
        <x:v>Some hard-copy receipts not archived</x:v>
      </x:c>
      <x:c r="H5" s="87" t="str">
        <x:v>Scan and archive receipt stamps</x:v>
      </x:c>
      <x:c r="I5" s="88" t="n">
        <x:v>46193</x:v>
      </x:c>
      <x:c r="J5" s="87" t="str">
        <x:v>In Progress</x:v>
      </x:c>
      <x:c r="K5" s="87" t="str">
        <x:f>IF(F5&lt;70,"Red",IF(F5&lt;85,"Amber","Green"))</x:f>
        <x:v>Green</x:v>
      </x:c>
    </x:row>
    <x:row r="6">
      <x:c r="A6" s="87" t="str">
        <x:v>Product filing</x:v>
      </x:c>
      <x:c r="B6" s="87" t="str">
        <x:v>Approval dossier completeness</x:v>
      </x:c>
      <x:c r="C6" s="87" t="str">
        <x:v>Product wordings, approval letters, actuarial memo</x:v>
      </x:c>
      <x:c r="D6" s="87" t="str">
        <x:v>Product / Legal</x:v>
      </x:c>
      <x:c r="E6" s="88" t="n">
        <x:v>46176</x:v>
      </x:c>
      <x:c r="F6" s="87" t="n">
        <x:v>82</x:v>
      </x:c>
      <x:c r="G6" s="87" t="str">
        <x:v>Benefit illustration Q&amp;A pending</x:v>
      </x:c>
      <x:c r="H6" s="87" t="str">
        <x:v>Finalize regulator Q&amp;A pack</x:v>
      </x:c>
      <x:c r="I6" s="88" t="n">
        <x:v>46190</x:v>
      </x:c>
      <x:c r="J6" s="87" t="str">
        <x:v>In Progress</x:v>
      </x:c>
      <x:c r="K6" s="87" t="str">
        <x:f>IF(F6&lt;70,"Red",IF(F6&lt;85,"Amber","Green"))</x:f>
        <x:v>Amber</x:v>
      </x:c>
    </x:row>
    <x:row r="7">
      <x:c r="A7" s="87" t="str">
        <x:v>Market conduct</x:v>
      </x:c>
      <x:c r="B7" s="87" t="str">
        <x:v>Complaint handling and sales conduct</x:v>
      </x:c>
      <x:c r="C7" s="87" t="str">
        <x:v>Complaint log, training evidence, root cause analysis</x:v>
      </x:c>
      <x:c r="D7" s="87" t="str">
        <x:v>Compliance / CS</x:v>
      </x:c>
      <x:c r="E7" s="88" t="n">
        <x:v>46178</x:v>
      </x:c>
      <x:c r="F7" s="87" t="n">
        <x:v>76</x:v>
      </x:c>
      <x:c r="G7" s="87" t="str">
        <x:v>Root-cause analysis incomplete</x:v>
      </x:c>
      <x:c r="H7" s="87" t="str">
        <x:v>Complete complaint trend report</x:v>
      </x:c>
      <x:c r="I7" s="88" t="n">
        <x:v>46188</x:v>
      </x:c>
      <x:c r="J7" s="87" t="str">
        <x:v>Open</x:v>
      </x:c>
      <x:c r="K7" s="87" t="str">
        <x:f>IF(F7&lt;70,"Red",IF(F7&lt;85,"Amber","Green"))</x:f>
        <x:v>Amber</x:v>
      </x:c>
    </x:row>
    <x:row r="8">
      <x:c r="A8" s="87" t="str">
        <x:v>Bancassurance</x:v>
      </x:c>
      <x:c r="B8" s="87" t="str">
        <x:v>Bank partner sales practice controls</x:v>
      </x:c>
      <x:c r="C8" s="87" t="str">
        <x:v>Partner training, scripts, monitoring evidence</x:v>
      </x:c>
      <x:c r="D8" s="87" t="str">
        <x:v>Distribution / Compliance</x:v>
      </x:c>
      <x:c r="E8" s="88" t="n">
        <x:v>46170</x:v>
      </x:c>
      <x:c r="F8" s="87" t="n">
        <x:v>68</x:v>
      </x:c>
      <x:c r="G8" s="87" t="str">
        <x:v>Bank partner data validation not complete</x:v>
      </x:c>
      <x:c r="H8" s="87" t="str">
        <x:v>Escalate to partnership distribution</x:v>
      </x:c>
      <x:c r="I8" s="88" t="n">
        <x:v>46185</x:v>
      </x:c>
      <x:c r="J8" s="87" t="str">
        <x:v>Escalated</x:v>
      </x:c>
      <x:c r="K8" s="87" t="str">
        <x:f>IF(F8&lt;70,"Red",IF(F8&lt;85,"Amber","Green"))</x:f>
        <x:v>Red</x:v>
      </x:c>
    </x:row>
    <x:row r="9">
      <x:c r="A9" s="87" t="str">
        <x:v>Data privacy</x:v>
      </x:c>
      <x:c r="B9" s="87" t="str">
        <x:v>Consent, data flow, localization readiness</x:v>
      </x:c>
      <x:c r="C9" s="87" t="str">
        <x:v>DPIA, consent logs, data map</x:v>
      </x:c>
      <x:c r="D9" s="87" t="str">
        <x:v>IT / Legal</x:v>
      </x:c>
      <x:c r="E9" s="88" t="n">
        <x:v>46175</x:v>
      </x:c>
      <x:c r="F9" s="87" t="n">
        <x:v>74</x:v>
      </x:c>
      <x:c r="G9" s="87" t="str">
        <x:v>Data flow inventory needs update</x:v>
      </x:c>
      <x:c r="H9" s="87" t="str">
        <x:v>Update customer data map</x:v>
      </x:c>
      <x:c r="I9" s="88" t="n">
        <x:v>46203</x:v>
      </x:c>
      <x:c r="J9" s="87" t="str">
        <x:v>Open</x:v>
      </x:c>
      <x:c r="K9" s="87" t="str">
        <x:f>IF(F9&lt;70,"Red",IF(F9&lt;85,"Amber","Green"))</x:f>
        <x:v>Amber</x:v>
      </x:c>
    </x:row>
    <x:row r="10">
      <x:c r="A10" s="87" t="str">
        <x:v>Governance archive</x:v>
      </x:c>
      <x:c r="B10" s="87" t="str">
        <x:v>Institutional memory and document traceability</x:v>
      </x:c>
      <x:c r="C10" s="87" t="str">
        <x:v>Meeting minutes, official letters, tracker references</x:v>
      </x:c>
      <x:c r="D10" s="87" t="str">
        <x:v>Regulatory Affairs</x:v>
      </x:c>
      <x:c r="E10" s="88" t="n">
        <x:v>46179</x:v>
      </x:c>
      <x:c r="F10" s="87" t="n">
        <x:v>90</x:v>
      </x:c>
      <x:c r="G10" s="87" t="str">
        <x:v>No major gap</x:v>
      </x:c>
      <x:c r="H10" s="87" t="str">
        <x:v>Maintain monthly archive review</x:v>
      </x:c>
      <x:c r="I10" s="88" t="n">
        <x:v>46208</x:v>
      </x:c>
      <x:c r="J10" s="87" t="str">
        <x:v>On Track</x:v>
      </x:c>
      <x:c r="K10" s="87" t="str">
        <x:f>IF(F10&lt;70,"Red",IF(F10&lt;85,"Amber","Green"))</x:f>
        <x:v>Green</x:v>
      </x:c>
    </x:row>
  </x:sheetData>
  <x:mergeCells>
    <x:mergeCell ref="A1:K1"/>
    <x:mergeCell ref="A2:K2"/>
  </x:mergeCells>
  <x:conditionalFormatting sqref="F5:F10">
    <x:cfRule type="colorScale" priority="1">
      <x:colorScale>
        <x:cfvo type="min"/>
        <x:cfvo type="percentile" val="50"/>
        <x:cfvo type="max"/>
        <x:color rgb="FECACA"/>
        <x:color rgb="FEF3C7"/>
        <x:color rgb="DCFCE7"/>
      </x:colorScale>
    </x:cfRule>
  </x:conditionalFormatting>
  <x:conditionalFormatting sqref="K5:K10">
    <x:cfRule type="expression" dxfId="18" priority="2">
      <x:formula>K5="Red"</x:formula>
    </x:cfRule>
    <x:cfRule type="expression" dxfId="19" priority="3">
      <x:formula>K5="Amber"</x:formula>
    </x:cfRule>
  </x:conditionalFormatting>
  <x:dataValidations count="1">
    <x:dataValidation type="list" sqref="J5:J80">
      <x:formula1>"Open,In Progress,Escalated,On Track,Closed"</x:formula1>
    </x:dataValidation>
  </x:dataValidations>
  <x:pageMargins left="0.7" right="0.7" top="0.75" bottom="0.75" header="0.3" footer="0.3"/>
  <x:tableParts count="1">
    <x:tablePart xmlns:r="http://schemas.openxmlformats.org/officeDocument/2006/relationships" r:id="R0594d180d3c24cd6"/>
  </x:tableParts>
</x:worksheet>
</file>

<file path=xl/worksheets/sheet2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Intelligence News Feed</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Policy signal log for MOF, ISA, IAV, data/privacy and consumer protection developments</x:v>
      </x:c>
    </x:row>
    <x:row r="4" ht="30" customHeight="1">
      <x:c r="A4" s="86" t="str">
        <x:v>Signal ID</x:v>
      </x:c>
      <x:c r="B4" s="86" t="str">
        <x:v>Date</x:v>
      </x:c>
      <x:c r="C4" s="86" t="str">
        <x:v>Source / Agency</x:v>
      </x:c>
      <x:c r="D4" s="86" t="str">
        <x:v>Headline / Signal</x:v>
      </x:c>
      <x:c r="E4" s="86" t="str">
        <x:v>Category</x:v>
      </x:c>
      <x:c r="F4" s="86" t="str">
        <x:v>Auto Tag</x:v>
      </x:c>
      <x:c r="G4" s="86" t="str">
        <x:v>Relevance to Manulife</x:v>
      </x:c>
      <x:c r="H4" s="86" t="str">
        <x:v>Probability (1-5)</x:v>
      </x:c>
      <x:c r="I4" s="86" t="str">
        <x:v>Impact (1-5)</x:v>
      </x:c>
      <x:c r="J4" s="86" t="str">
        <x:v>Signal Score</x:v>
      </x:c>
      <x:c r="K4" s="86" t="str">
        <x:v>Suggested Action</x:v>
      </x:c>
      <x:c r="L4" s="86" t="str">
        <x:v>Owner</x:v>
      </x:c>
      <x:c r="M4" s="86" t="str">
        <x:v>Status</x:v>
      </x:c>
    </x:row>
    <x:row r="5">
      <x:c r="A5" s="87" t="str">
        <x:v>NEWS-001</x:v>
      </x:c>
      <x:c r="B5" s="88" t="n">
        <x:v>46177</x:v>
      </x:c>
      <x:c r="C5" s="87" t="str">
        <x:v>MOF</x:v>
      </x:c>
      <x:c r="D5" s="87" t="str">
        <x:v>Draft discussion on capital adequacy strengthening</x:v>
      </x:c>
      <x:c r="E5" s="87" t="str">
        <x:v>Capital</x:v>
      </x:c>
      <x:c r="F5" s="87" t="str">
        <x:v>Capital</x:v>
      </x:c>
      <x:c r="G5" s="87" t="str">
        <x:v>Potential increase in capital planning and reporting pressure</x:v>
      </x:c>
      <x:c r="H5" s="87" t="n">
        <x:v>4</x:v>
      </x:c>
      <x:c r="I5" s="87" t="n">
        <x:v>5</x:v>
      </x:c>
      <x:c r="J5" s="87" t="n">
        <x:f>H5*I5</x:f>
        <x:v>20</x:v>
      </x:c>
      <x:c r="K5" s="87" t="str">
        <x:v>Prepare capital impact note and Finance briefing</x:v>
      </x:c>
      <x:c r="L5" s="87" t="str">
        <x:v>Finance / PA</x:v>
      </x:c>
      <x:c r="M5" s="87" t="str">
        <x:v>Monitoring</x:v>
      </x:c>
    </x:row>
    <x:row r="6">
      <x:c r="A6" s="87" t="str">
        <x:v>NEWS-002</x:v>
      </x:c>
      <x:c r="B6" s="88" t="n">
        <x:v>46178</x:v>
      </x:c>
      <x:c r="C6" s="87" t="str">
        <x:v>ISA</x:v>
      </x:c>
      <x:c r="D6" s="87" t="str">
        <x:v>Market conduct inspection activity increases across insurers</x:v>
      </x:c>
      <x:c r="E6" s="87" t="str">
        <x:v>Consumer Protection</x:v>
      </x:c>
      <x:c r="F6" s="87" t="str">
        <x:v>Market Conduct</x:v>
      </x:c>
      <x:c r="G6" s="87" t="str">
        <x:v>Higher scrutiny on complaints, sales conduct and product disclosure</x:v>
      </x:c>
      <x:c r="H6" s="87" t="n">
        <x:v>5</x:v>
      </x:c>
      <x:c r="I6" s="87" t="n">
        <x:v>4</x:v>
      </x:c>
      <x:c r="J6" s="87" t="n">
        <x:f>H6*I6</x:f>
        <x:v>20</x:v>
      </x:c>
      <x:c r="K6" s="87" t="str">
        <x:v>Review complaint report and sales training evidence</x:v>
      </x:c>
      <x:c r="L6" s="87" t="str">
        <x:v>Compliance / PA</x:v>
      </x:c>
      <x:c r="M6" s="87" t="str">
        <x:v>Action Required</x:v>
      </x:c>
    </x:row>
    <x:row r="7">
      <x:c r="A7" s="87" t="str">
        <x:v>NEWS-003</x:v>
      </x:c>
      <x:c r="B7" s="88" t="n">
        <x:v>46179</x:v>
      </x:c>
      <x:c r="C7" s="87" t="str">
        <x:v>IAV</x:v>
      </x:c>
      <x:c r="D7" s="87" t="str">
        <x:v>Working group formed on standardized product disclosure</x:v>
      </x:c>
      <x:c r="E7" s="87" t="str">
        <x:v>Product Approval</x:v>
      </x:c>
      <x:c r="F7" s="87" t="str">
        <x:v>Product</x:v>
      </x:c>
      <x:c r="G7" s="87" t="str">
        <x:v>Opportunity to shape industry position on disclosure standards</x:v>
      </x:c>
      <x:c r="H7" s="87" t="n">
        <x:v>3</x:v>
      </x:c>
      <x:c r="I7" s="87" t="n">
        <x:v>4</x:v>
      </x:c>
      <x:c r="J7" s="87" t="n">
        <x:f>H7*I7</x:f>
        <x:v>12</x:v>
      </x:c>
      <x:c r="K7" s="87" t="str">
        <x:v>Join working group and draft Manulife input</x:v>
      </x:c>
      <x:c r="L7" s="87" t="str">
        <x:v>Product / PA</x:v>
      </x:c>
      <x:c r="M7" s="87" t="str">
        <x:v>Open</x:v>
      </x:c>
    </x:row>
    <x:row r="8">
      <x:c r="A8" s="87" t="str">
        <x:v>NEWS-004</x:v>
      </x:c>
      <x:c r="B8" s="88" t="n">
        <x:v>46180</x:v>
      </x:c>
      <x:c r="C8" s="87" t="str">
        <x:v>MIC</x:v>
      </x:c>
      <x:c r="D8" s="87" t="str">
        <x:v>Consultation on data localization implementation guidance</x:v>
      </x:c>
      <x:c r="E8" s="87" t="str">
        <x:v>Data Privacy</x:v>
      </x:c>
      <x:c r="F8" s="87" t="str">
        <x:v>Data</x:v>
      </x:c>
      <x:c r="G8" s="87" t="str">
        <x:v>Potential impact on digital insurance and regional data processing</x:v>
      </x:c>
      <x:c r="H8" s="87" t="n">
        <x:v>4</x:v>
      </x:c>
      <x:c r="I8" s="87" t="n">
        <x:v>4</x:v>
      </x:c>
      <x:c r="J8" s="87" t="n">
        <x:f>H8*I8</x:f>
        <x:v>16</x:v>
      </x:c>
      <x:c r="K8" s="87" t="str">
        <x:v>Prepare data-flow map and legal position</x:v>
      </x:c>
      <x:c r="L8" s="87" t="str">
        <x:v>IT / Legal</x:v>
      </x:c>
      <x:c r="M8" s="87" t="str">
        <x:v>Monitoring</x:v>
      </x:c>
    </x:row>
    <x:row r="9">
      <x:c r="A9" s="87" t="str">
        <x:v>NEWS-005</x:v>
      </x:c>
      <x:c r="B9" s="88" t="n">
        <x:v>46181</x:v>
      </x:c>
      <x:c r="C9" s="87" t="str">
        <x:v>SBV</x:v>
      </x:c>
      <x:c r="D9" s="87" t="str">
        <x:v>Review of bancassurance sales practice risk</x:v>
      </x:c>
      <x:c r="E9" s="87" t="str">
        <x:v>Distribution</x:v>
      </x:c>
      <x:c r="F9" s="87" t="str">
        <x:v>Bancassurance</x:v>
      </x:c>
      <x:c r="G9" s="87" t="str">
        <x:v>Potential change to bank channel monitoring requirements</x:v>
      </x:c>
      <x:c r="H9" s="87" t="n">
        <x:v>4</x:v>
      </x:c>
      <x:c r="I9" s="87" t="n">
        <x:v>5</x:v>
      </x:c>
      <x:c r="J9" s="87" t="n">
        <x:f>H9*I9</x:f>
        <x:v>20</x:v>
      </x:c>
      <x:c r="K9" s="87" t="str">
        <x:v>Coordinate with bank partners and Compliance</x:v>
      </x:c>
      <x:c r="L9" s="87" t="str">
        <x:v>Distribution</x:v>
      </x:c>
      <x:c r="M9" s="87" t="str">
        <x:v>Action Required</x:v>
      </x:c>
    </x:row>
    <x:row r="10">
      <x:c r="A10" s="87" t="str">
        <x:v>NEWS-006</x:v>
      </x:c>
      <x:c r="B10" s="88" t="n">
        <x:v>46183</x:v>
      </x:c>
      <x:c r="C10" s="87" t="str">
        <x:v>Regional Office</x:v>
      </x:c>
      <x:c r="D10" s="87" t="str">
        <x:v>APAC request for ESG disclosure readiness update</x:v>
      </x:c>
      <x:c r="E10" s="87" t="str">
        <x:v>ESG</x:v>
      </x:c>
      <x:c r="F10" s="87" t="str">
        <x:v>ESG</x:v>
      </x:c>
      <x:c r="G10" s="87" t="str">
        <x:v>Need consistent local-to-regional ESG reporting pack</x:v>
      </x:c>
      <x:c r="H10" s="87" t="n">
        <x:v>3</x:v>
      </x:c>
      <x:c r="I10" s="87" t="n">
        <x:v>3</x:v>
      </x:c>
      <x:c r="J10" s="87" t="n">
        <x:f>H10*I10</x:f>
        <x:v>9</x:v>
      </x:c>
      <x:c r="K10" s="87" t="str">
        <x:v>Prepare ESG readiness note</x:v>
      </x:c>
      <x:c r="L10" s="87" t="str">
        <x:v>Strategy / PA</x:v>
      </x:c>
      <x:c r="M10" s="87" t="str">
        <x:v>Open</x:v>
      </x:c>
    </x:row>
  </x:sheetData>
  <x:mergeCells>
    <x:mergeCell ref="A1:M1"/>
    <x:mergeCell ref="A2:M2"/>
  </x:mergeCells>
  <x:conditionalFormatting sqref="J5:J10">
    <x:cfRule type="colorScale" priority="1">
      <x:colorScale>
        <x:cfvo type="min"/>
        <x:cfvo type="percentile" val="50"/>
        <x:cfvo type="max"/>
        <x:color rgb="DCFCE7"/>
        <x:color rgb="FEF3C7"/>
        <x:color rgb="FECACA"/>
      </x:colorScale>
    </x:cfRule>
  </x:conditionalFormatting>
  <x:dataValidations count="1">
    <x:dataValidation type="list" sqref="M5:M80">
      <x:formula1>"Monitoring,Open,Action Required,Closed"</x:formula1>
    </x:dataValidation>
  </x:dataValidations>
  <x:pageMargins left="0.7" right="0.7" top="0.75" bottom="0.75" header="0.3" footer="0.3"/>
  <x:tableParts count="1">
    <x:tablePart xmlns:r="http://schemas.openxmlformats.org/officeDocument/2006/relationships" r:id="Rada82e87cbf14fad"/>
  </x:tableParts>
</x:worksheet>
</file>

<file path=xl/worksheets/sheet3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What Requires Management Attention Today?</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One-page attention list for CEO/EMT and Regulatory &amp; Public Affairs manager</x:v>
      </x:c>
    </x:row>
    <x:row r="4" ht="30" customHeight="1">
      <x:c r="A4" s="86" t="str">
        <x:v>Priority</x:v>
      </x:c>
      <x:c r="B4" s="86" t="str">
        <x:v>Item</x:v>
      </x:c>
      <x:c r="C4" s="86" t="str">
        <x:v>Source Module</x:v>
      </x:c>
      <x:c r="D4" s="86" t="str">
        <x:v>Owner</x:v>
      </x:c>
      <x:c r="E4" s="86" t="str">
        <x:v>Due Date</x:v>
      </x:c>
      <x:c r="F4" s="86" t="str">
        <x:v>Why It Matters</x:v>
      </x:c>
      <x:c r="G4" s="86" t="str">
        <x:v>Recommended Decision / Action</x:v>
      </x:c>
      <x:c r="H4" s="86" t="str">
        <x:v>Status</x:v>
      </x:c>
    </x:row>
    <x:row r="5">
      <x:c r="A5" s="87" t="str">
        <x:v>1</x:v>
      </x:c>
      <x:c r="B5" s="87" t="str">
        <x:v>Bancassurance conduct response due soon</x:v>
      </x:c>
      <x:c r="C5" s="87" t="str">
        <x:v>Regulatory Response Tracker</x:v>
      </x:c>
      <x:c r="D5" s="87" t="str">
        <x:v>Distribution / Compliance</x:v>
      </x:c>
      <x:c r="E5" s="88" t="n">
        <x:v>46185</x:v>
      </x:c>
      <x:c r="F5" s="87" t="str">
        <x:v>High regulator sensitivity and channel impact</x:v>
      </x:c>
      <x:c r="G5" s="87" t="str">
        <x:v>Escalate partner data validation and align final response</x:v>
      </x:c>
      <x:c r="H5" s="87" t="str">
        <x:v>Open</x:v>
      </x:c>
    </x:row>
    <x:row r="6">
      <x:c r="A6" s="87" t="str">
        <x:v>2</x:v>
      </x:c>
      <x:c r="B6" s="87" t="str">
        <x:v>ISA product approval clarification</x:v>
      </x:c>
      <x:c r="C6" s="87" t="str">
        <x:v>Product Approval Command Center</x:v>
      </x:c>
      <x:c r="D6" s="87" t="str">
        <x:v>Product / Legal</x:v>
      </x:c>
      <x:c r="E6" s="88" t="n">
        <x:v>46190</x:v>
      </x:c>
      <x:c r="F6" s="87" t="str">
        <x:v>Directly affects product launch timeline</x:v>
      </x:c>
      <x:c r="G6" s="87" t="str">
        <x:v>Approve Q&amp;A position and revised disclosure pack</x:v>
      </x:c>
      <x:c r="H6" s="87" t="str">
        <x:v>Open</x:v>
      </x:c>
    </x:row>
    <x:row r="7">
      <x:c r="A7" s="87" t="str">
        <x:v>3</x:v>
      </x:c>
      <x:c r="B7" s="87" t="str">
        <x:v>Complaint handling data request from MOF</x:v>
      </x:c>
      <x:c r="C7" s="87" t="str">
        <x:v>Response Tracker / Internal Coordination</x:v>
      </x:c>
      <x:c r="D7" s="87" t="str">
        <x:v>Customer Service</x:v>
      </x:c>
      <x:c r="E7" s="88" t="n">
        <x:v>46188</x:v>
      </x:c>
      <x:c r="F7" s="87" t="str">
        <x:v>Market conduct risk and reputation exposure</x:v>
      </x:c>
      <x:c r="G7" s="87" t="str">
        <x:v>Finalize complaint statistics and root-cause summary</x:v>
      </x:c>
      <x:c r="H7" s="87" t="str">
        <x:v>In Progress</x:v>
      </x:c>
    </x:row>
    <x:row r="8">
      <x:c r="A8" s="87" t="str">
        <x:v>4</x:v>
      </x:c>
      <x:c r="B8" s="87" t="str">
        <x:v>Data localization consultation</x:v>
      </x:c>
      <x:c r="C8" s="87" t="str">
        <x:v>Regulatory News Feed</x:v>
      </x:c>
      <x:c r="D8" s="87" t="str">
        <x:v>IT / Legal</x:v>
      </x:c>
      <x:c r="E8" s="88" t="n">
        <x:v>46203</x:v>
      </x:c>
      <x:c r="F8" s="87" t="str">
        <x:v>Potential digital/data processing business impact</x:v>
      </x:c>
      <x:c r="G8" s="87" t="str">
        <x:v>Prepare data-flow inventory and industry response</x:v>
      </x:c>
      <x:c r="H8" s="87" t="str">
        <x:v>Monitoring</x:v>
      </x:c>
    </x:row>
    <x:row r="9">
      <x:c r="A9" s="87" t="str">
        <x:v>5</x:v>
      </x:c>
      <x:c r="B9" s="87" t="str">
        <x:v>Inspection readiness gap in bancassurance</x:v>
      </x:c>
      <x:c r="C9" s="87" t="str">
        <x:v>Inspection Readiness</x:v>
      </x:c>
      <x:c r="D9" s="87" t="str">
        <x:v>Compliance / Distribution</x:v>
      </x:c>
      <x:c r="E9" s="88" t="n">
        <x:v>46185</x:v>
      </x:c>
      <x:c r="F9" s="87" t="str">
        <x:v>Readiness score below target threshold</x:v>
      </x:c>
      <x:c r="G9" s="87" t="str">
        <x:v>Complete evidence pack or escalate remediation</x:v>
      </x:c>
      <x:c r="H9" s="87" t="str">
        <x:v>Escalated</x:v>
      </x:c>
    </x:row>
  </x:sheetData>
  <x:mergeCells>
    <x:mergeCell ref="A1:H1"/>
    <x:mergeCell ref="A2:H2"/>
  </x:mergeCells>
  <x:conditionalFormatting sqref="A5:A9">
    <x:cfRule type="colorScale" priority="1">
      <x:colorScale>
        <x:cfvo type="min"/>
        <x:cfvo type="percentile" val="50"/>
        <x:cfvo type="max"/>
        <x:color rgb="FECACA"/>
        <x:color rgb="FEF3C7"/>
        <x:color rgb="DCFCE7"/>
      </x:colorScale>
    </x:cfRule>
  </x:conditionalFormatting>
  <x:pageMargins left="0.7" right="0.7" top="0.75" bottom="0.75" header="0.3" footer="0.3"/>
  <x:tableParts count="1">
    <x:tablePart xmlns:r="http://schemas.openxmlformats.org/officeDocument/2006/relationships" r:id="Rfe1ce0ae933341f2"/>
  </x:tableParts>
</x:worksheet>
</file>

<file path=xl/worksheets/sheet31.xml><?xml version="1.0" encoding="utf-8"?>
<x:worksheet xmlns:x="http://schemas.openxmlformats.org/spreadsheetml/2006/main">
  <x:sheetFormatPr defaultRowHeight="15"/>
  <x:cols>
    <x:col min="1" max="1" width="28" hidden="0" customWidth="1"/>
    <x:col min="2" max="2" width="28" hidden="0" customWidth="1"/>
    <x:col min="3" max="3" width="42" hidden="0" customWidth="1"/>
    <x:col min="4" max="4" width="36" hidden="0" customWidth="1"/>
    <x:col min="5" max="5" width="48" hidden="0" customWidth="1"/>
    <x:col min="6" max="6" width="12" hidden="0" customWidth="1"/>
  </x:cols>
  <x:sheetData>
    <x:row r="1" ht="28" customHeight="1">
      <x:c r="A1" s="97" t="str">
        <x:v>Interview Story Mode - Manulife Regulatory &amp; Public Affairs Command Center</x:v>
      </x:c>
      <x:c r="B1" s="97"/>
      <x:c r="C1" s="97"/>
      <x:c r="D1" s="97"/>
      <x:c r="E1" s="97"/>
      <x:c r="F1" s="97"/>
    </x:row>
    <x:row r="3">
      <x:c r="A3" s="102" t="str">
        <x:v>JD Pain Point / Requirement</x:v>
      </x:c>
      <x:c r="B3" s="102" t="str">
        <x:v>System Module</x:v>
      </x:c>
      <x:c r="C3" s="102" t="str">
        <x:v>How It Works</x:v>
      </x:c>
      <x:c r="D3" s="102" t="str">
        <x:v>Business Benefit</x:v>
      </x:c>
      <x:c r="E3" s="102" t="str">
        <x:v>Demo Script (English)</x:v>
      </x:c>
      <x:c r="F3" s="102" t="str">
        <x:v>Priority</x:v>
      </x:c>
    </x:row>
    <x:row r="4">
      <x:c r="A4" s="87" t="str">
        <x:v>Prepare periodic/ad-hoc reports for Regional Office</x:v>
      </x:c>
      <x:c r="B4" s="87" t="str">
        <x:v>Monthly RO Report Generator</x:v>
      </x:c>
      <x:c r="C4" s="87" t="str">
        <x:v>Auto consolidates regulatory developments, pending approvals, overdue items, regulator meetings, emerging risks and next-month priorities.</x:v>
      </x:c>
      <x:c r="D4" s="87" t="str">
        <x:v>Saves preparation time and improves consistency of management reporting.</x:v>
      </x:c>
      <x:c r="E4" s="87" t="str">
        <x:v>This module turns fragmented trackers into a concise Regional Office update within minutes.</x:v>
      </x:c>
      <x:c r="F4" s="87" t="str">
        <x:v>Critical</x:v>
      </x:c>
    </x:row>
    <x:row r="5">
      <x:c r="A5" s="87" t="str">
        <x:v>Remind deadlines and ensure report quality</x:v>
      </x:c>
      <x:c r="B5" s="87" t="str">
        <x:v>Regulatory Calendar + Obligation Register</x:v>
      </x:c>
      <x:c r="C5" s="87" t="str">
        <x:v>Tracks frequency, due dates, owners, penalties, escalation status and days to deadline.</x:v>
      </x:c>
      <x:c r="D5" s="87" t="str">
        <x:v>Reduces late submissions and creates operational discipline.</x:v>
      </x:c>
      <x:c r="E5" s="87" t="str">
        <x:v>For daily work, I would start from this control tower to identify what requires action today.</x:v>
      </x:c>
      <x:c r="F5" s="87" t="str">
        <x:v>Critical</x:v>
      </x:c>
    </x:row>
    <x:row r="6">
      <x:c r="A6" s="87" t="str">
        <x:v>Review format of official letters and reports</x:v>
      </x:c>
      <x:c r="B6" s="87" t="str">
        <x:v>Document QC Checklist</x:v>
      </x:c>
      <x:c r="C6" s="87" t="str">
        <x:v>Checks template, reference number, attachments, legal review, compliance review, signature authority and translation status.</x:v>
      </x:c>
      <x:c r="D6" s="87" t="str">
        <x:v>Reduces submission errors and regulator rework.</x:v>
      </x:c>
      <x:c r="E6" s="87" t="str">
        <x:v>Before any submission, the checklist provides a simple control gate.</x:v>
      </x:c>
      <x:c r="F6" s="87" t="str">
        <x:v>High</x:v>
      </x:c>
    </x:row>
    <x:row r="7">
      <x:c r="A7" s="87" t="str">
        <x:v>Support regulatory approvals for licenses and products</x:v>
      </x:c>
      <x:c r="B7" s="87" t="str">
        <x:v>Product Approval Command Center</x:v>
      </x:c>
      <x:c r="C7" s="87" t="str">
        <x:v>Monitors each approval item by stage, regulator, owner, bottleneck and expected decision date.</x:v>
      </x:c>
      <x:c r="D7" s="87" t="str">
        <x:v>Improves visibility for Product, Legal, Compliance and senior management.</x:v>
      </x:c>
      <x:c r="E7" s="87" t="str">
        <x:v>This pipeline shows where each approval sits and where follow-up is needed.</x:v>
      </x:c>
      <x:c r="F7" s="87" t="str">
        <x:v>Critical</x:v>
      </x:c>
    </x:row>
    <x:row r="8">
      <x:c r="A8" s="87" t="str">
        <x:v>Maintain regulator working relationships</x:v>
      </x:c>
      <x:c r="B8" s="87" t="str">
        <x:v>Regulator CRM + Meeting Intelligence</x:v>
      </x:c>
      <x:c r="C8" s="87" t="str">
        <x:v>Stores regulator profile, meeting history, open commitments, next actions and relationship score.</x:v>
      </x:c>
      <x:c r="D8" s="87" t="str">
        <x:v>Builds institutional memory and avoids losing knowledge when people move roles.</x:v>
      </x:c>
      <x:c r="E8" s="87" t="str">
        <x:v>This turns relationship management from personal memory into an institutional database.</x:v>
      </x:c>
      <x:c r="F8" s="87" t="str">
        <x:v>High</x:v>
      </x:c>
    </x:row>
    <x:row r="9">
      <x:c r="A9" s="87" t="str">
        <x:v>Research political and regulatory developments</x:v>
      </x:c>
      <x:c r="B9" s="87" t="str">
        <x:v>Policy Monitoring + Risk Radar + Knowledge Base</x:v>
      </x:c>
      <x:c r="C9" s="87" t="str">
        <x:v>Summarizes policy changes, affected departments, probability, impact and required actions.</x:v>
      </x:c>
      <x:c r="D9" s="87" t="str">
        <x:v>Enables early-warning and proactive preparation.</x:v>
      </x:c>
      <x:c r="E9" s="87" t="str">
        <x:v>This is where my analytical background adds value: I translate policy signals into business implications.</x:v>
      </x:c>
      <x:c r="F9" s="87" t="str">
        <x:v>High</x:v>
      </x:c>
    </x:row>
    <x:row r="10">
      <x:c r="A10" s="87" t="str">
        <x:v>Coordinate with Legal, Compliance and business units</x:v>
      </x:c>
      <x:c r="B10" s="87" t="str">
        <x:v>Internal Coordination Tracker</x:v>
      </x:c>
      <x:c r="C10" s="87" t="str">
        <x:v>Tracks internal requests, SLA, overdue items, escalation and responsible departments.</x:v>
      </x:c>
      <x:c r="D10" s="87" t="str">
        <x:v>Improves accountability across departments.</x:v>
      </x:c>
      <x:c r="E10" s="87" t="str">
        <x:v>Public Affairs is often a coordination role; this module makes the coordination visible.</x:v>
      </x:c>
      <x:c r="F10" s="87" t="str">
        <x:v>High</x:v>
      </x:c>
    </x:row>
    <x:row r="11">
      <x:c r="A11" s="87" t="str">
        <x:v>Translate documents when required</x:v>
      </x:c>
      <x:c r="B11" s="87" t="str">
        <x:v>Translation Tracker</x:v>
      </x:c>
      <x:c r="C11" s="87" t="str">
        <x:v>Tracks VN/EN translation status, turnaround time and owner.</x:v>
      </x:c>
      <x:c r="D11" s="87" t="str">
        <x:v>Prevents delay caused by language/document bottlenecks.</x:v>
      </x:c>
      <x:c r="E11" s="87" t="str">
        <x:v>Even small operational tasks can create delays, so I included translation workflow tracking.</x:v>
      </x:c>
      <x:c r="F11" s="87" t="str">
        <x:v>Medium</x:v>
      </x:c>
    </x:row>
  </x:sheetData>
  <x:mergeCells>
    <x:mergeCell ref="A1:F1"/>
  </x:mergeCells>
  <x:conditionalFormatting sqref="F4:F11">
    <x:cfRule type="expression" dxfId="20" priority="1">
      <x:formula>F4="Critical"</x:formula>
    </x:cfRule>
    <x:cfRule type="expression" dxfId="21" priority="2">
      <x:formula>F4="High"</x:formula>
    </x:cfRule>
  </x:conditionalFormatting>
  <x:dataValidations count="1">
    <x:dataValidation type="list" sqref="F4:F11">
      <x:formula1>"Critical,High,Medium,Low"</x:formula1>
    </x:dataValidation>
  </x:dataValidations>
  <x:pageMargins left="0.7" right="0.7" top="0.75" bottom="0.75" header="0.3" footer="0.3"/>
  <x:tableParts count="1">
    <x:tablePart xmlns:r="http://schemas.openxmlformats.org/officeDocument/2006/relationships" r:id="Rcd793c5eafc047d7"/>
  </x:tableParts>
</x:worksheet>
</file>

<file path=xl/worksheets/sheet32.xml><?xml version="1.0" encoding="utf-8"?>
<x:worksheet xmlns:x="http://schemas.openxmlformats.org/spreadsheetml/2006/main">
  <x:sheetFormatPr defaultRowHeight="15"/>
  <x:cols>
    <x:col min="1" max="1" width="28" hidden="0" customWidth="1"/>
    <x:col min="2" max="2" width="36" hidden="0" customWidth="1"/>
    <x:col min="3" max="3" width="22" hidden="0" customWidth="1"/>
    <x:col min="4" max="4" width="18" hidden="0" customWidth="1"/>
    <x:col min="5" max="5" width="32" hidden="0" customWidth="1"/>
    <x:col min="6" max="6" width="28" hidden="0" customWidth="1"/>
    <x:col min="7" max="7" width="22" hidden="0" customWidth="1"/>
    <x:col min="8" max="8" width="36" hidden="0" customWidth="1"/>
  </x:cols>
  <x:sheetData>
    <x:row r="1" ht="28" customHeight="1">
      <x:c r="A1" s="97" t="str">
        <x:v>Data Dictionary &amp; User Guide - Handover-Ready Operating Manual</x:v>
      </x:c>
      <x:c r="B1" s="97"/>
      <x:c r="C1" s="97"/>
      <x:c r="D1" s="97"/>
      <x:c r="E1" s="97"/>
      <x:c r="F1" s="97"/>
      <x:c r="G1" s="97"/>
      <x:c r="H1" s="97"/>
    </x:row>
    <x:row r="3">
      <x:c r="A3" s="102" t="str">
        <x:v>Sheet / Module</x:v>
      </x:c>
      <x:c r="B3" s="102" t="str">
        <x:v>Purpose</x:v>
      </x:c>
      <x:c r="C3" s="102" t="str">
        <x:v>Primary User</x:v>
      </x:c>
      <x:c r="D3" s="102" t="str">
        <x:v>Update Frequency</x:v>
      </x:c>
      <x:c r="E3" s="102" t="str">
        <x:v>Key Inputs</x:v>
      </x:c>
      <x:c r="F3" s="102" t="str">
        <x:v>Key Outputs</x:v>
      </x:c>
      <x:c r="G3" s="102" t="str">
        <x:v>Typical KPI</x:v>
      </x:c>
      <x:c r="H3" s="102" t="str">
        <x:v>Notes</x:v>
      </x:c>
    </x:row>
    <x:row r="4">
      <x:c r="A4" s="87" t="str">
        <x:v>Executive_Dashboard</x:v>
      </x:c>
      <x:c r="B4" s="87" t="str">
        <x:v>Senior summary of overall PA/regulatory workload and risk.</x:v>
      </x:c>
      <x:c r="C4" s="87" t="str">
        <x:v>Head of Regulatory &amp; Public Affairs</x:v>
      </x:c>
      <x:c r="D4" s="87" t="str">
        <x:v>Weekly</x:v>
      </x:c>
      <x:c r="E4" s="87" t="str">
        <x:v>All tracker data</x:v>
      </x:c>
      <x:c r="F4" s="87" t="str">
        <x:v>KPIs, alerts, priorities</x:v>
      </x:c>
      <x:c r="G4" s="87" t="str">
        <x:v>Overall PA effectiveness</x:v>
      </x:c>
      <x:c r="H4" s="87" t="str">
        <x:v>Use in weekly management update.</x:v>
      </x:c>
    </x:row>
    <x:row r="5">
      <x:c r="A5" s="87" t="str">
        <x:v>Daily_Control_Tower</x:v>
      </x:c>
      <x:c r="B5" s="87" t="str">
        <x:v>Daily view of urgent work items.</x:v>
      </x:c>
      <x:c r="C5" s="87" t="str">
        <x:v>PA Executive</x:v>
      </x:c>
      <x:c r="D5" s="87" t="str">
        <x:v>Daily</x:v>
      </x:c>
      <x:c r="E5" s="87" t="str">
        <x:v>Deadlines, actions, meetings</x:v>
      </x:c>
      <x:c r="F5" s="87" t="str">
        <x:v>Today/this-week priorities</x:v>
      </x:c>
      <x:c r="G5" s="87" t="str">
        <x:v>Overdue actions</x:v>
      </x:c>
      <x:c r="H5" s="87" t="str">
        <x:v>Open first every morning.</x:v>
      </x:c>
    </x:row>
    <x:row r="6">
      <x:c r="A6" s="87" t="str">
        <x:v>Regulatory_Obligation_Register</x:v>
      </x:c>
      <x:c r="B6" s="87" t="str">
        <x:v>Master register of recurring and ad-hoc regulatory obligations.</x:v>
      </x:c>
      <x:c r="C6" s="87" t="str">
        <x:v>PA + Compliance</x:v>
      </x:c>
      <x:c r="D6" s="87" t="str">
        <x:v>Monthly or when rules change</x:v>
      </x:c>
      <x:c r="E6" s="87" t="str">
        <x:v>Obligation, regulator, owner, frequency, penalty</x:v>
      </x:c>
      <x:c r="F6" s="87" t="str">
        <x:v>Obligation map</x:v>
      </x:c>
      <x:c r="G6" s="87" t="str">
        <x:v>On-time completion rate</x:v>
      </x:c>
      <x:c r="H6" s="87" t="str">
        <x:v>Core control document.</x:v>
      </x:c>
    </x:row>
    <x:row r="7">
      <x:c r="A7" s="87" t="str">
        <x:v>Regulatory_Calendar</x:v>
      </x:c>
      <x:c r="B7" s="87" t="str">
        <x:v>Calendar of report due dates and regulatory milestones.</x:v>
      </x:c>
      <x:c r="C7" s="87" t="str">
        <x:v>PA Executive</x:v>
      </x:c>
      <x:c r="D7" s="87" t="str">
        <x:v>Daily/weekly</x:v>
      </x:c>
      <x:c r="E7" s="87" t="str">
        <x:v>Due date, regulator, owner, status</x:v>
      </x:c>
      <x:c r="F7" s="87" t="str">
        <x:v>Deadline countdown</x:v>
      </x:c>
      <x:c r="G7" s="87" t="str">
        <x:v>Reports due in 7 days</x:v>
      </x:c>
      <x:c r="H7" s="87" t="str">
        <x:v>Feeds daily attention view.</x:v>
      </x:c>
    </x:row>
    <x:row r="8">
      <x:c r="A8" s="87" t="str">
        <x:v>Submission_Tracker</x:v>
      </x:c>
      <x:c r="B8" s="87" t="str">
        <x:v>Tracks outgoing regulatory submissions.</x:v>
      </x:c>
      <x:c r="C8" s="87" t="str">
        <x:v>PA Executive</x:v>
      </x:c>
      <x:c r="D8" s="87" t="str">
        <x:v>Daily</x:v>
      </x:c>
      <x:c r="E8" s="87" t="str">
        <x:v>Submission details, status, ref no.</x:v>
      </x:c>
      <x:c r="F8" s="87" t="str">
        <x:v>Submission status</x:v>
      </x:c>
      <x:c r="G8" s="87" t="str">
        <x:v>On-time submission rate</x:v>
      </x:c>
      <x:c r="H8" s="87" t="str">
        <x:v>Use for MOF/ISA filings.</x:v>
      </x:c>
    </x:row>
    <x:row r="9">
      <x:c r="A9" s="87" t="str">
        <x:v>Regulatory_Response_Tracker</x:v>
      </x:c>
      <x:c r="B9" s="87" t="str">
        <x:v>Tracks incoming/outgoing regulatory letters and pending responses.</x:v>
      </x:c>
      <x:c r="C9" s="87" t="str">
        <x:v>PA + Legal</x:v>
      </x:c>
      <x:c r="D9" s="87" t="str">
        <x:v>Daily</x:v>
      </x:c>
      <x:c r="E9" s="87" t="str">
        <x:v>Request, response owner, due date</x:v>
      </x:c>
      <x:c r="F9" s="87" t="str">
        <x:v>Open regulator requests</x:v>
      </x:c>
      <x:c r="G9" s="87" t="str">
        <x:v>Average response time</x:v>
      </x:c>
      <x:c r="H9" s="87" t="str">
        <x:v>Useful for audit trail.</x:v>
      </x:c>
    </x:row>
    <x:row r="10">
      <x:c r="A10" s="87" t="str">
        <x:v>Product_Approval_Command_Center</x:v>
      </x:c>
      <x:c r="B10" s="87" t="str">
        <x:v>Tracks product/license/capital approval workflow.</x:v>
      </x:c>
      <x:c r="C10" s="87" t="str">
        <x:v>Product + PA + Legal</x:v>
      </x:c>
      <x:c r="D10" s="87" t="str">
        <x:v>Weekly</x:v>
      </x:c>
      <x:c r="E10" s="87" t="str">
        <x:v>Product, regulator, stage, owner</x:v>
      </x:c>
      <x:c r="F10" s="87" t="str">
        <x:v>Approval pipeline</x:v>
      </x:c>
      <x:c r="G10" s="87" t="str">
        <x:v>Average approval days</x:v>
      </x:c>
      <x:c r="H10" s="87" t="str">
        <x:v>Important for business enablement.</x:v>
      </x:c>
    </x:row>
    <x:row r="11">
      <x:c r="A11" s="87" t="str">
        <x:v>Internal_Coordination_Tracker</x:v>
      </x:c>
      <x:c r="B11" s="87" t="str">
        <x:v>Tracks follow-up with internal departments.</x:v>
      </x:c>
      <x:c r="C11" s="87" t="str">
        <x:v>PA Executive</x:v>
      </x:c>
      <x:c r="D11" s="87" t="str">
        <x:v>Daily</x:v>
      </x:c>
      <x:c r="E11" s="87" t="str">
        <x:v>Department, action, SLA, owner</x:v>
      </x:c>
      <x:c r="F11" s="87" t="str">
        <x:v>Overdue internal actions</x:v>
      </x:c>
      <x:c r="G11" s="87" t="str">
        <x:v>SLA compliance</x:v>
      </x:c>
      <x:c r="H11" s="87" t="str">
        <x:v>Supports cross-functional discipline.</x:v>
      </x:c>
    </x:row>
    <x:row r="12">
      <x:c r="A12" s="87" t="str">
        <x:v>Regulator_CRM</x:v>
      </x:c>
      <x:c r="B12" s="87" t="str">
        <x:v>Regulator relationship database.</x:v>
      </x:c>
      <x:c r="C12" s="87" t="str">
        <x:v>PA team</x:v>
      </x:c>
      <x:c r="D12" s="87" t="str">
        <x:v>After each meeting/contact</x:v>
      </x:c>
      <x:c r="E12" s="87" t="str">
        <x:v>Profile, contact history, open issues</x:v>
      </x:c>
      <x:c r="F12" s="87" t="str">
        <x:v>Relationship map</x:v>
      </x:c>
      <x:c r="G12" s="87" t="str">
        <x:v>Relationship score</x:v>
      </x:c>
      <x:c r="H12" s="87" t="str">
        <x:v>Institutional memory.</x:v>
      </x:c>
    </x:row>
    <x:row r="13">
      <x:c r="A13" s="87" t="str">
        <x:v>Meeting_Intelligence</x:v>
      </x:c>
      <x:c r="B13" s="87" t="str">
        <x:v>Before/after meeting brief and action log.</x:v>
      </x:c>
      <x:c r="C13" s="87" t="str">
        <x:v>PA + EMT</x:v>
      </x:c>
      <x:c r="D13" s="87" t="str">
        <x:v>Per meeting</x:v>
      </x:c>
      <x:c r="E13" s="87" t="str">
        <x:v>Objective, talking points, commitments</x:v>
      </x:c>
      <x:c r="F13" s="87" t="str">
        <x:v>Meeting brief and follow-ups</x:v>
      </x:c>
      <x:c r="G13" s="87" t="str">
        <x:v>Follow-up closure rate</x:v>
      </x:c>
      <x:c r="H13" s="87" t="str">
        <x:v>Fits JD briefing notes.</x:v>
      </x:c>
    </x:row>
    <x:row r="14">
      <x:c r="A14" s="87" t="str">
        <x:v>Document_QC_Checklist</x:v>
      </x:c>
      <x:c r="B14" s="87" t="str">
        <x:v>Quality control for official letters/reports before submission.</x:v>
      </x:c>
      <x:c r="C14" s="87" t="str">
        <x:v>PA + Legal + Compliance</x:v>
      </x:c>
      <x:c r="D14" s="87" t="str">
        <x:v>Per submission</x:v>
      </x:c>
      <x:c r="E14" s="87" t="str">
        <x:v>Template, attachment, review status</x:v>
      </x:c>
      <x:c r="F14" s="87" t="str">
        <x:v>Ready/not ready decision</x:v>
      </x:c>
      <x:c r="G14" s="87" t="str">
        <x:v>QC pass rate</x:v>
      </x:c>
      <x:c r="H14" s="87" t="str">
        <x:v>Pre-submission control gate.</x:v>
      </x:c>
    </x:row>
    <x:row r="15">
      <x:c r="A15" s="87" t="str">
        <x:v>Policy_Monitoring</x:v>
      </x:c>
      <x:c r="B15" s="87" t="str">
        <x:v>Monitors laws, circulars and regulatory developments.</x:v>
      </x:c>
      <x:c r="C15" s="87" t="str">
        <x:v>PA + Legal</x:v>
      </x:c>
      <x:c r="D15" s="87" t="str">
        <x:v>Weekly</x:v>
      </x:c>
      <x:c r="E15" s="87" t="str">
        <x:v>Policy item, source, impact, action</x:v>
      </x:c>
      <x:c r="F15" s="87" t="str">
        <x:v>Impact assessment</x:v>
      </x:c>
      <x:c r="G15" s="87" t="str">
        <x:v>New items assessed</x:v>
      </x:c>
      <x:c r="H15" s="87" t="str">
        <x:v>Supports research task in JD.</x:v>
      </x:c>
    </x:row>
    <x:row r="16">
      <x:c r="A16" s="87" t="str">
        <x:v>Risk_Radar</x:v>
      </x:c>
      <x:c r="B16" s="87" t="str">
        <x:v>Quantifies probability and business impact of policy issues.</x:v>
      </x:c>
      <x:c r="C16" s="87" t="str">
        <x:v>PA + Risk</x:v>
      </x:c>
      <x:c r="D16" s="87" t="str">
        <x:v>Monthly</x:v>
      </x:c>
      <x:c r="E16" s="87" t="str">
        <x:v>Probability, impact, mitigation</x:v>
      </x:c>
      <x:c r="F16" s="87" t="str">
        <x:v>Risk score</x:v>
      </x:c>
      <x:c r="G16" s="87" t="str">
        <x:v>High-risk items</x:v>
      </x:c>
      <x:c r="H16" s="87" t="str">
        <x:v>Differentiates candidate with risk background.</x:v>
      </x:c>
    </x:row>
    <x:row r="17">
      <x:c r="A17" s="87" t="str">
        <x:v>Regional_Report_Pack</x:v>
      </x:c>
      <x:c r="B17" s="87" t="str">
        <x:v>Regional Office update pack.</x:v>
      </x:c>
      <x:c r="C17" s="87" t="str">
        <x:v>PA Manager</x:v>
      </x:c>
      <x:c r="D17" s="87" t="str">
        <x:v>Monthly/ad-hoc</x:v>
      </x:c>
      <x:c r="E17" s="87" t="str">
        <x:v>Key developments, approvals, risks</x:v>
      </x:c>
      <x:c r="F17" s="87" t="str">
        <x:v>RO report</x:v>
      </x:c>
      <x:c r="G17" s="87" t="str">
        <x:v>Report readiness</x:v>
      </x:c>
      <x:c r="H17" s="87" t="str">
        <x:v>Use for APAC reporting.</x:v>
      </x:c>
    </x:row>
    <x:row r="18">
      <x:c r="A18" s="87" t="str">
        <x:v>Translation_Tracker</x:v>
      </x:c>
      <x:c r="B18" s="87" t="str">
        <x:v>Tracks VN/EN translation work.</x:v>
      </x:c>
      <x:c r="C18" s="87" t="str">
        <x:v>PA Executive</x:v>
      </x:c>
      <x:c r="D18" s="87" t="str">
        <x:v>As needed</x:v>
      </x:c>
      <x:c r="E18" s="87" t="str">
        <x:v>Document, language, owner, due date</x:v>
      </x:c>
      <x:c r="F18" s="87" t="str">
        <x:v>Translation status</x:v>
      </x:c>
      <x:c r="G18" s="87" t="str">
        <x:v>Turnaround time</x:v>
      </x:c>
      <x:c r="H18" s="87" t="str">
        <x:v>Small but directly in JD.</x:v>
      </x:c>
    </x:row>
    <x:row r="19">
      <x:c r="A19" s="87" t="str">
        <x:v>Inspection_Readiness</x:v>
      </x:c>
      <x:c r="B19" s="87" t="str">
        <x:v>Self-assessment for regulatory inspection readiness.</x:v>
      </x:c>
      <x:c r="C19" s="87" t="str">
        <x:v>PA + Compliance</x:v>
      </x:c>
      <x:c r="D19" s="87" t="str">
        <x:v>Quarterly</x:v>
      </x:c>
      <x:c r="E19" s="87" t="str">
        <x:v>Documentation and controls score</x:v>
      </x:c>
      <x:c r="F19" s="87" t="str">
        <x:v>Readiness score</x:v>
      </x:c>
      <x:c r="G19" s="87" t="str">
        <x:v>Inspection readiness %</x:v>
      </x:c>
      <x:c r="H19" s="87" t="str">
        <x:v>Useful for regulated industry.</x:v>
      </x:c>
    </x:row>
    <x:row r="20">
      <x:c r="A20" s="87" t="str">
        <x:v>Knowledge_Base</x:v>
      </x:c>
      <x:c r="B20" s="87" t="str">
        <x:v>Regulatory knowledge repository.</x:v>
      </x:c>
      <x:c r="C20" s="87" t="str">
        <x:v>PA + Legal</x:v>
      </x:c>
      <x:c r="D20" s="87" t="str">
        <x:v>When new policy is issued</x:v>
      </x:c>
      <x:c r="E20" s="87" t="str">
        <x:v>Summary, obligations, departments affected</x:v>
      </x:c>
      <x:c r="F20" s="87" t="str">
        <x:v>Quick reference</x:v>
      </x:c>
      <x:c r="G20" s="87" t="str">
        <x:v>Knowledge completeness</x:v>
      </x:c>
      <x:c r="H20" s="87" t="str">
        <x:v>AI-lite knowledge base.</x:v>
      </x:c>
    </x:row>
    <x:row r="21">
      <x:c r="A21" s="87" t="str">
        <x:v>Interview_Story_Mode</x:v>
      </x:c>
      <x:c r="B21" s="87" t="str">
        <x:v>3-minute demo narrative mapped to JD.</x:v>
      </x:c>
      <x:c r="C21" s="87" t="str">
        <x:v>Candidate</x:v>
      </x:c>
      <x:c r="D21" s="87" t="str">
        <x:v>Before interview</x:v>
      </x:c>
      <x:c r="E21" s="87" t="str">
        <x:v>JD pain points + modules</x:v>
      </x:c>
      <x:c r="F21" s="87" t="str">
        <x:v>Demo storyline</x:v>
      </x:c>
      <x:c r="G21" s="87" t="str">
        <x:v>N/A</x:v>
      </x:c>
      <x:c r="H21" s="87" t="str">
        <x:v>Use to present the prototype.</x:v>
      </x:c>
    </x:row>
    <x:row r="22">
      <x:c r="A22" s="87" t="str">
        <x:v>Monthly_RO_Report_Generator</x:v>
      </x:c>
      <x:c r="B22" s="87" t="str">
        <x:v>One-click style monthly report text for Regional Office.</x:v>
      </x:c>
      <x:c r="C22" s="87" t="str">
        <x:v>PA team</x:v>
      </x:c>
      <x:c r="D22" s="87" t="str">
        <x:v>Monthly</x:v>
      </x:c>
      <x:c r="E22" s="87" t="str">
        <x:v>Trackers + narrative fields</x:v>
      </x:c>
      <x:c r="F22" s="87" t="str">
        <x:v>English report</x:v>
      </x:c>
      <x:c r="G22" s="87" t="str">
        <x:v>Report production time</x:v>
      </x:c>
      <x:c r="H22" s="87" t="str">
        <x:v>New in v6 polish.</x:v>
      </x:c>
    </x:row>
  </x:sheetData>
  <x:mergeCells>
    <x:mergeCell ref="A1:H1"/>
  </x:mergeCells>
  <x:dataValidations count="1">
    <x:dataValidation type="list" sqref="D4:D22">
      <x:formula1>"Daily,Daily/weekly,Weekly,Monthly,Monthly/ad-hoc,Quarterly,Per meeting,Per submission,As needed,Before interview,When new policy is issued,Monthly or when rules change,After each meeting/contact"</x:formula1>
    </x:dataValidation>
  </x:dataValidations>
  <x:pageMargins left="0.7" right="0.7" top="0.75" bottom="0.75" header="0.3" footer="0.3"/>
  <x:tableParts count="1">
    <x:tablePart xmlns:r="http://schemas.openxmlformats.org/officeDocument/2006/relationships" r:id="R9773dcfae5b3458b"/>
  </x:tableParts>
</x:worksheet>
</file>

<file path=xl/worksheets/sheet33.xml><?xml version="1.0" encoding="utf-8"?>
<x:worksheet xmlns:x="http://schemas.openxmlformats.org/spreadsheetml/2006/main">
  <x:sheetFormatPr defaultRowHeight="15"/>
  <x:cols>
    <x:col min="1" max="1" width="100" hidden="0" customWidth="1"/>
    <x:col min="2" max="2" width="18" hidden="0" customWidth="1"/>
    <x:col min="3" max="3" width="28" hidden="0" customWidth="1"/>
    <x:col min="4" max="4" width="4" hidden="0" customWidth="1"/>
    <x:col min="5" max="5" width="30" hidden="0" customWidth="1"/>
    <x:col min="6" max="6" width="80" hidden="0" customWidth="1"/>
    <x:col min="7" max="7" width="4" hidden="0" customWidth="1"/>
    <x:col min="8" max="8" width="4" hidden="0" customWidth="1"/>
  </x:cols>
  <x:sheetData>
    <x:row r="1" ht="28" customHeight="1">
      <x:c r="A1" s="97" t="str">
        <x:v>One-Click Monthly Regional Office Report Generator (English Draft)</x:v>
      </x:c>
      <x:c r="B1" s="97"/>
      <x:c r="C1" s="97"/>
      <x:c r="D1" s="97"/>
      <x:c r="E1" s="97"/>
      <x:c r="F1" s="97"/>
      <x:c r="G1" s="97"/>
      <x:c r="H1" s="97"/>
    </x:row>
    <x:row r="3">
      <x:c r="A3" s="102" t="str">
        <x:v>Field</x:v>
      </x:c>
      <x:c r="B3" s="102" t="str">
        <x:v>Value</x:v>
      </x:c>
      <x:c r="C3" s="102" t="str">
        <x:v>Notes</x:v>
      </x:c>
      <x:c r="D3" t="str"/>
      <x:c r="E3" s="102" t="str">
        <x:v>Section</x:v>
      </x:c>
      <x:c r="F3" s="102" t="str">
        <x:v>Draft Text</x:v>
      </x:c>
      <x:c r="G3" t="str"/>
      <x:c r="H3" t="str"/>
    </x:row>
    <x:row r="4">
      <x:c r="A4" s="87" t="str">
        <x:v>Reporting Month</x:v>
      </x:c>
      <x:c r="B4" s="87" t="str">
        <x:v>June 2026</x:v>
      </x:c>
      <x:c r="C4" s="87" t="str">
        <x:v>Change monthly</x:v>
      </x:c>
      <x:c r="D4" t="str"/>
      <x:c r="E4" s="87" t="str">
        <x:v>1. Executive Summary</x:v>
      </x:c>
      <x:c r="F4" s="87" t="str">
        <x:v>Overall regulatory workload remains manageable. Key focus areas are product approval follow-up, consumer protection monitoring, and timely completion of periodic reports.</x:v>
      </x:c>
      <x:c r="G4" t="str"/>
      <x:c r="H4" t="str"/>
    </x:row>
    <x:row r="5">
      <x:c r="A5" s="87" t="str">
        <x:v>Reports Submitted On Time</x:v>
      </x:c>
      <x:c r="B5" s="87" t="n">
        <x:v>18</x:v>
      </x:c>
      <x:c r="C5" s="87" t="str">
        <x:v>Sample data</x:v>
      </x:c>
      <x:c r="D5" t="str"/>
      <x:c r="E5" s="87" t="str">
        <x:v>2. Key Regulatory Developments</x:v>
      </x:c>
      <x:c r="F5" s="87" t="str">
        <x:v>No major finalized regulation this month. The team continues to monitor draft guidance on bancassurance, data privacy and consumer protection.</x:v>
      </x:c>
      <x:c r="G5" t="str"/>
      <x:c r="H5" t="str"/>
    </x:row>
    <x:row r="6">
      <x:c r="A6" s="87" t="str">
        <x:v>Overdue Reports</x:v>
      </x:c>
      <x:c r="B6" s="87" t="n">
        <x:v>1</x:v>
      </x:c>
      <x:c r="C6" s="87" t="str">
        <x:v>Sample data</x:v>
      </x:c>
      <x:c r="D6" t="str"/>
      <x:c r="E6" s="87" t="str">
        <x:v>3. Pending Approvals</x:v>
      </x:c>
      <x:c r="F6" s="87" t="str">
        <x:v>Two approval items remain pending with the regulator: one product filing and one agent training-related submission. Follow-up actions have been assigned.</x:v>
      </x:c>
      <x:c r="G6" t="str"/>
      <x:c r="H6" t="str"/>
    </x:row>
    <x:row r="7">
      <x:c r="A7" s="87" t="str">
        <x:v>Pending Approvals</x:v>
      </x:c>
      <x:c r="B7" s="87" t="n">
        <x:v>2</x:v>
      </x:c>
      <x:c r="C7" s="87" t="str">
        <x:v>Sample data</x:v>
      </x:c>
      <x:c r="D7" t="str"/>
      <x:c r="E7" s="87" t="str">
        <x:v>4. Regulator Engagements</x:v>
      </x:c>
      <x:c r="F7" s="87" t="str">
        <x:v>The team maintained regular working contact with ISA and MOF through technical follow-ups, document submissions and preparation for upcoming meetings.</x:v>
      </x:c>
      <x:c r="G7" t="str"/>
      <x:c r="H7" t="str"/>
    </x:row>
    <x:row r="8">
      <x:c r="A8" s="87" t="str">
        <x:v>Regulator Meetings</x:v>
      </x:c>
      <x:c r="B8" s="87" t="n">
        <x:v>4</x:v>
      </x:c>
      <x:c r="C8" s="87" t="str">
        <x:v>Sample data</x:v>
      </x:c>
      <x:c r="D8" t="str"/>
      <x:c r="E8" s="87" t="str">
        <x:v>5. Emerging Risks</x:v>
      </x:c>
      <x:c r="F8" s="87" t="str">
        <x:v>Emerging risks include potential tightening of product approval requirements, heightened market conduct supervision and evolving data localization expectations.</x:v>
      </x:c>
      <x:c r="G8" t="str"/>
      <x:c r="H8" t="str"/>
    </x:row>
    <x:row r="9">
      <x:c r="A9" s="87" t="str">
        <x:v>High Risk Policy Issues</x:v>
      </x:c>
      <x:c r="B9" s="87" t="n">
        <x:v>3</x:v>
      </x:c>
      <x:c r="C9" s="87" t="str">
        <x:v>Sample data</x:v>
      </x:c>
      <x:c r="D9" t="str"/>
      <x:c r="E9" s="87" t="str">
        <x:v>6. Next Month Priorities</x:v>
      </x:c>
      <x:c r="F9" s="87" t="str">
        <x:v>Priorities for next month are: close pending approval actions, prepare for upcoming regulator meetings, complete documentation quality checks, and update policy risk assessment.</x:v>
      </x:c>
      <x:c r="G9" t="str"/>
      <x:c r="H9" t="str"/>
    </x:row>
    <x:row r="10">
      <x:c r="A10" s="87" t="str">
        <x:v>Internal Overdue Follow-ups</x:v>
      </x:c>
      <x:c r="B10" s="87" t="n">
        <x:v>2</x:v>
      </x:c>
      <x:c r="C10" s="87" t="str">
        <x:v>Sample data</x:v>
      </x:c>
      <x:c r="D10" t="str"/>
      <x:c r="E10" s="87" t="str">
        <x:v>7. Support Needed from Regional Office</x:v>
      </x:c>
      <x:c r="F10" s="87" t="str">
        <x:v>No immediate escalation is required. Regional guidance may be useful if new APAC-level interpretation is issued on data privacy or market conduct.</x:v>
      </x:c>
      <x:c r="G10" t="str"/>
      <x:c r="H10" t="str"/>
    </x:row>
    <x:row r="12">
      <x:c r="A12" s="105" t="str">
        <x:v>Generated Monthly Report Draft</x:v>
      </x:c>
      <x:c r="B12" s="105"/>
      <x:c r="C12" s="105"/>
      <x:c r="D12" s="105"/>
      <x:c r="E12" s="105"/>
      <x:c r="F12" s="105"/>
      <x:c r="G12" s="105"/>
      <x:c r="H12" s="105"/>
    </x:row>
    <x:row r="13" ht="22" customHeight="1">
      <x:c r="A13" s="87" t="str">
        <x:v>To: Regional Office</x:v>
      </x:c>
    </x:row>
    <x:row r="14" ht="22" customHeight="1">
      <x:c r="A14" s="87" t="str">
        <x:v>Subject: Vietnam Regulatory &amp; Public Affairs Monthly Update - June 2026</x:v>
      </x:c>
    </x:row>
    <x:row r="15" ht="22" customHeight="1">
      <x:c r="A15" s="87" t="str"/>
    </x:row>
    <x:row r="16" ht="22" customHeight="1">
      <x:c r="A16" s="87" t="str">
        <x:v>1. Executive Summary</x:v>
      </x:c>
    </x:row>
    <x:row r="17" ht="22" customHeight="1">
      <x:c r="A17" s="87" t="str">
        <x:v>Overall regulatory workload remains manageable. The main focus areas are product approval follow-up, consumer protection monitoring, and timely completion of regulatory reporting obligations.</x:v>
      </x:c>
    </x:row>
    <x:row r="18" ht="22" customHeight="1">
      <x:c r="A18" s="87" t="str"/>
    </x:row>
    <x:row r="19" ht="22" customHeight="1">
      <x:c r="A19" s="87" t="str">
        <x:v>2. Key Metrics</x:v>
      </x:c>
    </x:row>
    <x:row r="20" ht="22" customHeight="1">
      <x:c r="A20" s="87" t="str">
        <x:v>- Reports submitted on time: 18</x:v>
      </x:c>
    </x:row>
    <x:row r="21" ht="22" customHeight="1">
      <x:c r="A21" s="87" t="str">
        <x:v>- Overdue reports: 1</x:v>
      </x:c>
    </x:row>
    <x:row r="22" ht="22" customHeight="1">
      <x:c r="A22" s="87" t="str">
        <x:v>- Pending approvals: 2</x:v>
      </x:c>
    </x:row>
    <x:row r="23" ht="22" customHeight="1">
      <x:c r="A23" s="87" t="str">
        <x:v>- Regulator meetings/interactions: 4</x:v>
      </x:c>
    </x:row>
    <x:row r="24" ht="22" customHeight="1">
      <x:c r="A24" s="87" t="str">
        <x:v>- High-risk policy issues: 3</x:v>
      </x:c>
    </x:row>
    <x:row r="25" ht="22" customHeight="1">
      <x:c r="A25" s="87" t="str">
        <x:v>- Internal overdue follow-ups: 2</x:v>
      </x:c>
    </x:row>
    <x:row r="26" ht="22" customHeight="1">
      <x:c r="A26" s="87" t="str"/>
    </x:row>
    <x:row r="27" ht="22" customHeight="1">
      <x:c r="A27" s="87" t="str">
        <x:v>3. Key Regulatory Developments</x:v>
      </x:c>
    </x:row>
    <x:row r="28" ht="22" customHeight="1">
      <x:c r="A28" s="87" t="str">
        <x:v>No major finalized regulation was identified this month. The team continues to monitor draft guidance relating to bancassurance, data privacy, consumer protection and market conduct supervision.</x:v>
      </x:c>
    </x:row>
    <x:row r="29" ht="22" customHeight="1">
      <x:c r="A29" s="87" t="str"/>
    </x:row>
    <x:row r="30" ht="22" customHeight="1">
      <x:c r="A30" s="87" t="str">
        <x:v>4. Pending Approvals and Submissions</x:v>
      </x:c>
    </x:row>
    <x:row r="31" ht="22" customHeight="1">
      <x:c r="A31" s="87" t="str">
        <x:v>Two approval items remain pending with the regulator: one product filing and one agent training-related submission. Responsible owners have been assigned and follow-up actions are being tracked.</x:v>
      </x:c>
    </x:row>
    <x:row r="32" ht="22" customHeight="1">
      <x:c r="A32" s="87" t="str"/>
    </x:row>
    <x:row r="33" ht="22" customHeight="1">
      <x:c r="A33" s="87" t="str">
        <x:v>5. Regulator Engagements</x:v>
      </x:c>
    </x:row>
    <x:row r="34" ht="22" customHeight="1">
      <x:c r="A34" s="87" t="str">
        <x:v>The team maintained regular working contact with ISA and MOF through technical follow-ups, document submissions and preparation for upcoming meetings.</x:v>
      </x:c>
    </x:row>
    <x:row r="35" ht="22" customHeight="1">
      <x:c r="A35" s="87" t="str"/>
    </x:row>
    <x:row r="36" ht="22" customHeight="1">
      <x:c r="A36" s="87" t="str">
        <x:v>6. Emerging Risks</x:v>
      </x:c>
    </x:row>
    <x:row r="37" ht="22" customHeight="1">
      <x:c r="A37" s="87" t="str">
        <x:v>Emerging risks include potential tightening of product approval requirements, increased market conduct review and evolving data localization expectations.</x:v>
      </x:c>
    </x:row>
    <x:row r="38" ht="22" customHeight="1">
      <x:c r="A38" s="87" t="str"/>
    </x:row>
    <x:row r="39" ht="22" customHeight="1">
      <x:c r="A39" s="87" t="str">
        <x:v>7. Next Month Priorities</x:v>
      </x:c>
    </x:row>
    <x:row r="40" ht="22" customHeight="1">
      <x:c r="A40" s="87" t="str">
        <x:v>Priorities for next month are to close pending approval actions, prepare for upcoming regulator meetings, complete documentation quality checks and update the policy risk assessment.</x:v>
      </x:c>
    </x:row>
  </x:sheetData>
  <x:mergeCells>
    <x:mergeCell ref="A1:H1"/>
    <x:mergeCell ref="A12:H12"/>
  </x:mergeCells>
  <x:pageMargins left="0.7" right="0.7" top="0.75" bottom="0.75" header="0.3" footer="0.3"/>
</x:worksheet>
</file>

<file path=xl/worksheets/sheet34.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36" hidden="0" customWidth="1"/>
    <x:col min="5" max="5" width="14" hidden="0" customWidth="1"/>
    <x:col min="6" max="6" width="14" hidden="0" customWidth="1"/>
    <x:col min="7" max="7" width="36" hidden="0" customWidth="1"/>
  </x:cols>
  <x:sheetData>
    <x:row r="1" ht="28" customHeight="1">
      <x:c r="A1" s="97" t="str">
        <x:v>Version Change Log - Inherited Build History</x:v>
      </x:c>
      <x:c r="B1" s="97"/>
      <x:c r="C1" s="97"/>
      <x:c r="D1" s="97"/>
      <x:c r="E1" s="97"/>
      <x:c r="F1" s="97"/>
      <x:c r="G1" s="97"/>
    </x:row>
    <x:row r="3">
      <x:c r="A3" s="102" t="str">
        <x:v>Version</x:v>
      </x:c>
      <x:c r="B3" s="102" t="str">
        <x:v>Inheritance Principle</x:v>
      </x:c>
      <x:c r="C3" s="102" t="str">
        <x:v>New Modules Added</x:v>
      </x:c>
      <x:c r="D3" s="102" t="str">
        <x:v>Purpose</x:v>
      </x:c>
      <x:c r="E3" s="102" t="str">
        <x:v>Status</x:v>
      </x:c>
      <x:c r="F3" s="102" t="str">
        <x:v>Date</x:v>
      </x:c>
      <x:c r="G3" s="102" t="str">
        <x:v>Notes</x:v>
      </x:c>
    </x:row>
    <x:row r="4">
      <x:c r="A4" s="87" t="str">
        <x:v>v3</x:v>
      </x:c>
      <x:c r="B4" s="87" t="str">
        <x:v>Operational JD-fit model</x:v>
      </x:c>
      <x:c r="C4" s="87" t="str">
        <x:v>Daily Control Tower; Document QC; Interview Demo Mode</x:v>
      </x:c>
      <x:c r="D4" s="87" t="str">
        <x:v>Make daily work visible and demo-friendly</x:v>
      </x:c>
      <x:c r="E4" s="87" t="str">
        <x:v>Inherited</x:v>
      </x:c>
      <x:c r="F4" s="87" t="str">
        <x:v>2026-06-11</x:v>
      </x:c>
      <x:c r="G4" s="87" t="str">
        <x:v>Baseline operational model.</x:v>
      </x:c>
    </x:row>
    <x:row r="5">
      <x:c r="A5" s="87" t="str">
        <x:v>v4</x:v>
      </x:c>
      <x:c r="B5" s="87" t="str">
        <x:v>v3 + strategic intelligence</x:v>
      </x:c>
      <x:c r="C5" s="87" t="str">
        <x:v>Regulator CRM; Knowledge Base; Workflow Engine; Executive Brief; Approval Analytics; PA Scorecard; Risk Radar</x:v>
      </x:c>
      <x:c r="D5" s="87" t="str">
        <x:v>Add institutional memory and executive reporting</x:v>
      </x:c>
      <x:c r="E5" s="87" t="str">
        <x:v>Inherited</x:v>
      </x:c>
      <x:c r="F5" s="87" t="str">
        <x:v>2026-06-11</x:v>
      </x:c>
      <x:c r="G5" s="87" t="str">
        <x:v>Inherited rather than rebuilt.</x:v>
      </x:c>
    </x:row>
    <x:row r="6">
      <x:c r="A6" s="87" t="str">
        <x:v>v5</x:v>
      </x:c>
      <x:c r="B6" s="87" t="str">
        <x:v>v4 + JD execution depth</x:v>
      </x:c>
      <x:c r="C6" s="87" t="str">
        <x:v>Obligation Register; Response Tracker; Product Approval Command Center; Internal Coordination; Meeting Intelligence; Inspection Readiness; News Feed; Management Attention Today</x:v>
      </x:c>
      <x:c r="D6" s="87" t="str">
        <x:v>Fit Manulife Regulatory &amp; Public Affairs JD</x:v>
      </x:c>
      <x:c r="E6" s="87" t="str">
        <x:v>Inherited</x:v>
      </x:c>
      <x:c r="F6" s="87" t="str">
        <x:v>2026-06-11</x:v>
      </x:c>
      <x:c r="G6" s="87" t="str">
        <x:v>Current core version.</x:v>
      </x:c>
    </x:row>
    <x:row r="7">
      <x:c r="A7" s="87" t="str">
        <x:v>v6</x:v>
      </x:c>
      <x:c r="B7" s="87" t="str">
        <x:v>v5 + polished interview/operating layer</x:v>
      </x:c>
      <x:c r="C7" s="87" t="str">
        <x:v>Interview Story Mode; Data Dictionary/User Guide; Monthly RO Report Generator; Version Change Log</x:v>
      </x:c>
      <x:c r="D7" s="87" t="str">
        <x:v>Improve handover, demo narrative and Regional Office reporting</x:v>
      </x:c>
      <x:c r="E7" s="87" t="str">
        <x:v>New</x:v>
      </x:c>
      <x:c r="F7" s="87" t="str">
        <x:v>2026-06-11</x:v>
      </x:c>
      <x:c r="G7" s="87" t="str">
        <x:v>No previous sheets removed.</x:v>
      </x:c>
    </x:row>
  </x:sheetData>
  <x:mergeCells>
    <x:mergeCell ref="A1:G1"/>
  </x:mergeCells>
  <x:dataValidations count="1">
    <x:dataValidation type="list" sqref="E4:E7">
      <x:formula1>"Inherited,New,Deprecated,Planned"</x:formula1>
    </x:dataValidation>
  </x:dataValidations>
  <x:pageMargins left="0.7" right="0.7" top="0.75" bottom="0.75" header="0.3" footer="0.3"/>
  <x:tableParts count="1">
    <x:tablePart xmlns:r="http://schemas.openxmlformats.org/officeDocument/2006/relationships" r:id="R8eb5d1e394204111"/>
  </x:tableParts>
</x:worksheet>
</file>